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Staff Folder\Richmond Templates\!Templates\"/>
    </mc:Choice>
  </mc:AlternateContent>
  <xr:revisionPtr revIDLastSave="0" documentId="13_ncr:1_{553CFC9B-7472-4E19-8B9A-421795A94808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  <sheet name="Sheet2" sheetId="2" state="hidden" r:id="rId2"/>
  </sheets>
  <definedNames>
    <definedName name="rAddRow">Sheet1!$E$5</definedName>
    <definedName name="rTable">Sheet1!$B$10:$K$100</definedName>
    <definedName name="Spindles">Sheet1!$M$10:$M$72</definedName>
    <definedName name="SpindleTable">Sheet1!$M$10:$Q$72</definedName>
    <definedName name="ViscometerTable">Sheet1!$S$10:$T$13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1" i="1" l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" i="1"/>
  <c r="K43" i="1" l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41" i="1"/>
  <c r="K42" i="1"/>
  <c r="K24" i="1" l="1"/>
  <c r="K39" i="1"/>
  <c r="K18" i="1" l="1"/>
  <c r="K19" i="1"/>
  <c r="K20" i="1"/>
  <c r="K21" i="1"/>
  <c r="K22" i="1"/>
  <c r="K23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40" i="1"/>
  <c r="K11" i="1" l="1"/>
  <c r="K12" i="1"/>
  <c r="K13" i="1"/>
  <c r="K14" i="1"/>
  <c r="K15" i="1"/>
  <c r="K16" i="1"/>
  <c r="K17" i="1"/>
  <c r="K10" i="1"/>
</calcChain>
</file>

<file path=xl/sharedStrings.xml><?xml version="1.0" encoding="utf-8"?>
<sst xmlns="http://schemas.openxmlformats.org/spreadsheetml/2006/main" count="265" uniqueCount="196">
  <si>
    <t>Sample</t>
  </si>
  <si>
    <t>cP</t>
  </si>
  <si>
    <t>Spindle</t>
  </si>
  <si>
    <t>Scale Divisions</t>
  </si>
  <si>
    <t>LV Spindle Coefficient</t>
  </si>
  <si>
    <t>RV Spindle Coefficient</t>
  </si>
  <si>
    <t>HA Spindle Coefficient</t>
  </si>
  <si>
    <t>HB Spindle Coefficient</t>
  </si>
  <si>
    <t>T-B</t>
  </si>
  <si>
    <t>T-C</t>
  </si>
  <si>
    <t>T-D</t>
  </si>
  <si>
    <t>Viscometer</t>
  </si>
  <si>
    <t>LV</t>
  </si>
  <si>
    <t>RV</t>
  </si>
  <si>
    <t>HA</t>
  </si>
  <si>
    <t>HB</t>
  </si>
  <si>
    <t>Spindle Coefficient</t>
  </si>
  <si>
    <t>RPM</t>
  </si>
  <si>
    <t>Speed</t>
  </si>
  <si>
    <t>EU</t>
  </si>
  <si>
    <t>RVT</t>
  </si>
  <si>
    <t>50 rpm</t>
  </si>
  <si>
    <t>US</t>
  </si>
  <si>
    <t>Nala</t>
  </si>
  <si>
    <t>1% DCF Na</t>
  </si>
  <si>
    <t>Simba</t>
  </si>
  <si>
    <t>1.16% DCF DEA</t>
  </si>
  <si>
    <t>Crystal</t>
  </si>
  <si>
    <t>2.32% DCF DEA</t>
  </si>
  <si>
    <t>Poseidon</t>
  </si>
  <si>
    <t>2% DCF Na</t>
  </si>
  <si>
    <t>Zeus</t>
  </si>
  <si>
    <t>4% DCF Na</t>
  </si>
  <si>
    <t>Product</t>
  </si>
  <si>
    <t>Notebook</t>
  </si>
  <si>
    <t>Viscosity Converter</t>
  </si>
  <si>
    <t>Add Row</t>
  </si>
  <si>
    <t>Assembly &amp; Operating Instructions</t>
  </si>
  <si>
    <t>Data in this table came from</t>
  </si>
  <si>
    <t>Helipath</t>
  </si>
  <si>
    <t>Torque</t>
  </si>
  <si>
    <t>Instrument</t>
  </si>
  <si>
    <t>˚C</t>
  </si>
  <si>
    <t>75 rpm</t>
  </si>
  <si>
    <t>Brookfield DV2T</t>
  </si>
  <si>
    <t>Manual No. M13-167-B0614</t>
  </si>
  <si>
    <t xml:space="preserve">RV1 </t>
  </si>
  <si>
    <t xml:space="preserve">RV2 </t>
  </si>
  <si>
    <t xml:space="preserve">RV3 </t>
  </si>
  <si>
    <t xml:space="preserve">RV4 </t>
  </si>
  <si>
    <t xml:space="preserve">RV5 </t>
  </si>
  <si>
    <t xml:space="preserve">RV6 </t>
  </si>
  <si>
    <t xml:space="preserve">RV7 </t>
  </si>
  <si>
    <t xml:space="preserve">HA1 </t>
  </si>
  <si>
    <t xml:space="preserve">HA2 </t>
  </si>
  <si>
    <t xml:space="preserve">HA3 </t>
  </si>
  <si>
    <t xml:space="preserve">HA4 </t>
  </si>
  <si>
    <t xml:space="preserve">HA5 </t>
  </si>
  <si>
    <t xml:space="preserve">HA6 </t>
  </si>
  <si>
    <t xml:space="preserve">HA7 </t>
  </si>
  <si>
    <t xml:space="preserve">HB1 </t>
  </si>
  <si>
    <t xml:space="preserve">HB2 </t>
  </si>
  <si>
    <t xml:space="preserve">HB3 </t>
  </si>
  <si>
    <t xml:space="preserve">HB4 </t>
  </si>
  <si>
    <t xml:space="preserve">HB5 </t>
  </si>
  <si>
    <t xml:space="preserve">HB6 </t>
  </si>
  <si>
    <t xml:space="preserve">HB7 </t>
  </si>
  <si>
    <t xml:space="preserve">LV1 </t>
  </si>
  <si>
    <t xml:space="preserve">LV2 </t>
  </si>
  <si>
    <t xml:space="preserve">LV3 </t>
  </si>
  <si>
    <t xml:space="preserve">LV4 </t>
  </si>
  <si>
    <t xml:space="preserve">LV5 </t>
  </si>
  <si>
    <t xml:space="preserve">LV-2C </t>
  </si>
  <si>
    <t xml:space="preserve">LV-3C </t>
  </si>
  <si>
    <t xml:space="preserve">T-A </t>
  </si>
  <si>
    <t xml:space="preserve">T-B </t>
  </si>
  <si>
    <t xml:space="preserve">T-C </t>
  </si>
  <si>
    <t xml:space="preserve">T-D </t>
  </si>
  <si>
    <t xml:space="preserve">T-E </t>
  </si>
  <si>
    <t xml:space="preserve">T-F </t>
  </si>
  <si>
    <t xml:space="preserve">Spiral </t>
  </si>
  <si>
    <t xml:space="preserve">ULA </t>
  </si>
  <si>
    <t xml:space="preserve">HT-DIN-81 </t>
  </si>
  <si>
    <t xml:space="preserve">SC4-DIN-82 </t>
  </si>
  <si>
    <t xml:space="preserve">SC4-DIN-83 </t>
  </si>
  <si>
    <t xml:space="preserve">ULA-DIN-85 </t>
  </si>
  <si>
    <t xml:space="preserve">ULA-DIN-86 </t>
  </si>
  <si>
    <t xml:space="preserve">ULA-DIN-87 </t>
  </si>
  <si>
    <t xml:space="preserve">SC4-14/6R </t>
  </si>
  <si>
    <t xml:space="preserve">SC4-15/7R </t>
  </si>
  <si>
    <t xml:space="preserve">SC4-16/8R </t>
  </si>
  <si>
    <t xml:space="preserve">SC4-18/13R </t>
  </si>
  <si>
    <t xml:space="preserve">SC4-21/13R </t>
  </si>
  <si>
    <t xml:space="preserve">SC4-25/13R </t>
  </si>
  <si>
    <t xml:space="preserve">SC4-27/13R </t>
  </si>
  <si>
    <t xml:space="preserve">SC4-28/13R </t>
  </si>
  <si>
    <t xml:space="preserve">SC4-29/13R </t>
  </si>
  <si>
    <t xml:space="preserve">SC4-31/13R </t>
  </si>
  <si>
    <t xml:space="preserve">SC4-34/13R </t>
  </si>
  <si>
    <t xml:space="preserve">CPA-40, </t>
  </si>
  <si>
    <t xml:space="preserve">CPA-41, </t>
  </si>
  <si>
    <t xml:space="preserve">CPA-42, </t>
  </si>
  <si>
    <t xml:space="preserve">CPA-51, </t>
  </si>
  <si>
    <t xml:space="preserve">CPA-52, </t>
  </si>
  <si>
    <t xml:space="preserve">V-71 </t>
  </si>
  <si>
    <t xml:space="preserve">V-72 </t>
  </si>
  <si>
    <t xml:space="preserve">V-73 </t>
  </si>
  <si>
    <t xml:space="preserve">V-74 </t>
  </si>
  <si>
    <t xml:space="preserve">V-75 </t>
  </si>
  <si>
    <t>937</t>
  </si>
  <si>
    <t xml:space="preserve"> 10,000</t>
  </si>
  <si>
    <t xml:space="preserve"> 20,000 </t>
  </si>
  <si>
    <t>80,000</t>
  </si>
  <si>
    <t>3,750</t>
  </si>
  <si>
    <t xml:space="preserve"> 40,000</t>
  </si>
  <si>
    <t xml:space="preserve"> 80,000 </t>
  </si>
  <si>
    <t>320,000</t>
  </si>
  <si>
    <t>9,375</t>
  </si>
  <si>
    <t xml:space="preserve"> 100,000</t>
  </si>
  <si>
    <t xml:space="preserve"> 200,000</t>
  </si>
  <si>
    <t xml:space="preserve"> 800,000</t>
  </si>
  <si>
    <t>18,750</t>
  </si>
  <si>
    <t xml:space="preserve"> 400,000</t>
  </si>
  <si>
    <t xml:space="preserve"> 1,600,000</t>
  </si>
  <si>
    <t>3,7500</t>
  </si>
  <si>
    <t xml:space="preserve"> 3,200,000</t>
  </si>
  <si>
    <t>93,750</t>
  </si>
  <si>
    <t xml:space="preserve"> 1,000,00</t>
  </si>
  <si>
    <t>2,000,000</t>
  </si>
  <si>
    <t xml:space="preserve"> 8,000,000</t>
  </si>
  <si>
    <t>375,000</t>
  </si>
  <si>
    <t xml:space="preserve"> 4,000,00</t>
  </si>
  <si>
    <t>8,000,000</t>
  </si>
  <si>
    <t xml:space="preserve"> 32,000,000</t>
  </si>
  <si>
    <t>37,500</t>
  </si>
  <si>
    <t>6,000</t>
  </si>
  <si>
    <t>64,000</t>
  </si>
  <si>
    <t>128,000</t>
  </si>
  <si>
    <t>512,000</t>
  </si>
  <si>
    <t>30,000</t>
  </si>
  <si>
    <t>320,00</t>
  </si>
  <si>
    <t xml:space="preserve"> 640,000</t>
  </si>
  <si>
    <t>2,560,000</t>
  </si>
  <si>
    <t>120,000</t>
  </si>
  <si>
    <t>1,280,000</t>
  </si>
  <si>
    <t>10,240,000</t>
  </si>
  <si>
    <t>600,000</t>
  </si>
  <si>
    <t>6,400,000</t>
  </si>
  <si>
    <t>12,800,000</t>
  </si>
  <si>
    <t>51,200,000</t>
  </si>
  <si>
    <t>1,200,000</t>
  </si>
  <si>
    <t>25,600,000</t>
  </si>
  <si>
    <t>102,400,000</t>
  </si>
  <si>
    <t>640,000</t>
  </si>
  <si>
    <t xml:space="preserve">18,750 </t>
  </si>
  <si>
    <t xml:space="preserve">37,440 </t>
  </si>
  <si>
    <t xml:space="preserve">9,3600 </t>
  </si>
  <si>
    <t>187,200</t>
  </si>
  <si>
    <t>4,000,000</t>
  </si>
  <si>
    <t>16,000,000</t>
  </si>
  <si>
    <t>468,000</t>
  </si>
  <si>
    <t>5,000,000</t>
  </si>
  <si>
    <t>10,000,000</t>
  </si>
  <si>
    <t>40,000,000</t>
  </si>
  <si>
    <t>936,000</t>
  </si>
  <si>
    <t>20,000,000</t>
  </si>
  <si>
    <t>80,000,000</t>
  </si>
  <si>
    <t>98,400</t>
  </si>
  <si>
    <t>1,050,000</t>
  </si>
  <si>
    <t>2,100,000</t>
  </si>
  <si>
    <t>8,400,000</t>
  </si>
  <si>
    <t>600</t>
  </si>
  <si>
    <t>6,400</t>
  </si>
  <si>
    <t>12,800</t>
  </si>
  <si>
    <t>51,200</t>
  </si>
  <si>
    <t>3,420</t>
  </si>
  <si>
    <t>36,500</t>
  </si>
  <si>
    <t>73,000</t>
  </si>
  <si>
    <t>292,000</t>
  </si>
  <si>
    <t>11,340</t>
  </si>
  <si>
    <t>121,300</t>
  </si>
  <si>
    <t>242,600</t>
  </si>
  <si>
    <t>970,400</t>
  </si>
  <si>
    <t>1,144</t>
  </si>
  <si>
    <t>12,200</t>
  </si>
  <si>
    <t>24,400</t>
  </si>
  <si>
    <t>97,600</t>
  </si>
  <si>
    <t>117,200</t>
  </si>
  <si>
    <t>1,250,000</t>
  </si>
  <si>
    <t xml:space="preserve"> 2,500,000</t>
  </si>
  <si>
    <t>46,880</t>
  </si>
  <si>
    <t xml:space="preserve"> 500,000</t>
  </si>
  <si>
    <t xml:space="preserve">1,000,000 </t>
  </si>
  <si>
    <t xml:space="preserve"> 1,280,000</t>
  </si>
  <si>
    <t xml:space="preserve">2,560,000 </t>
  </si>
  <si>
    <t>This spreadsheet is not validated.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</si>
</sst>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theme="0" tint="-0.24994659260841701"/>
      </right>
      <top/>
      <bottom style="thick">
        <color theme="0" tint="-0.24994659260841701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3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0" fillId="0" borderId="1" xfId="0" applyBorder="1"/>
    <xf numFmtId="3" fontId="0" fillId="0" borderId="1" xfId="0" applyNumberFormat="1" applyFill="1" applyBorder="1" applyAlignment="1">
      <alignment horizontal="center"/>
    </xf>
    <xf numFmtId="9" fontId="0" fillId="0" borderId="0" xfId="0" applyNumberFormat="1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2" borderId="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1" xfId="0" quotePrefix="1" applyBorder="1" applyAlignment="1">
      <alignment horizontal="left"/>
    </xf>
    <xf numFmtId="0" fontId="3" fillId="0" borderId="0" xfId="0" applyFont="1" applyAlignment="1">
      <alignment horizontal="left"/>
    </xf>
    <xf numFmtId="0" fontId="1" fillId="0" borderId="0" xfId="0" applyFont="1" applyAlignment="1">
      <alignment horizontal="left" wrapText="1"/>
    </xf>
    <xf numFmtId="164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 wrapText="1"/>
    </xf>
    <xf numFmtId="164" fontId="0" fillId="0" borderId="1" xfId="0" applyNumberFormat="1" applyBorder="1" applyAlignment="1">
      <alignment horizontal="center"/>
    </xf>
    <xf numFmtId="164" fontId="4" fillId="0" borderId="0" xfId="0" applyNumberFormat="1" applyFont="1" applyAlignment="1">
      <alignment horizontal="center" wrapText="1"/>
    </xf>
    <xf numFmtId="164" fontId="0" fillId="0" borderId="1" xfId="0" quotePrefix="1" applyNumberFormat="1" applyBorder="1" applyAlignment="1">
      <alignment horizontal="center"/>
    </xf>
    <xf numFmtId="0" fontId="5" fillId="3" borderId="3" xfId="0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T101"/>
  <sheetViews>
    <sheetView showGridLines="0" tabSelected="1" workbookViewId="0">
      <selection activeCell="A2" sqref="A2"/>
    </sheetView>
  </sheetViews>
  <sheetFormatPr defaultRowHeight="14.4" x14ac:dyDescent="0.3"/>
  <cols>
    <col min="1" max="1" width="4.44140625" customWidth="1"/>
    <col min="2" max="2" width="13.5546875" style="9" customWidth="1"/>
    <col min="3" max="3" width="16.88671875" style="3" customWidth="1"/>
    <col min="4" max="4" width="9.109375" style="3" customWidth="1"/>
    <col min="5" max="6" width="8.88671875" style="3"/>
    <col min="7" max="7" width="8.88671875" style="17"/>
    <col min="8" max="8" width="8.88671875" style="3"/>
    <col min="9" max="9" width="8.88671875" style="17"/>
    <col min="10" max="10" width="10.77734375" style="3" customWidth="1"/>
    <col min="11" max="11" width="8.88671875" style="3"/>
    <col min="12" max="12" width="8.88671875" style="17"/>
    <col min="13" max="13" width="12.88671875" style="3" hidden="1" customWidth="1"/>
    <col min="14" max="14" width="11.33203125" style="3" hidden="1" customWidth="1"/>
    <col min="15" max="15" width="11.44140625" style="3" hidden="1" customWidth="1"/>
    <col min="16" max="16" width="12" style="3" hidden="1" customWidth="1"/>
    <col min="17" max="17" width="12.6640625" style="3" hidden="1" customWidth="1"/>
    <col min="19" max="19" width="3.33203125" hidden="1" customWidth="1"/>
    <col min="20" max="20" width="2" hidden="1" customWidth="1"/>
  </cols>
  <sheetData>
    <row r="2" spans="2:20" ht="23.4" x14ac:dyDescent="0.45">
      <c r="B2" s="15" t="s">
        <v>35</v>
      </c>
    </row>
    <row r="3" spans="2:20" ht="18" x14ac:dyDescent="0.3">
      <c r="B3" s="22" t="s">
        <v>195</v>
      </c>
      <c r="C3" s="23"/>
      <c r="D3" s="23"/>
      <c r="E3" s="23"/>
      <c r="F3" s="23"/>
      <c r="G3" s="23"/>
      <c r="H3" s="23"/>
      <c r="I3" s="23"/>
      <c r="J3" s="23"/>
      <c r="K3" s="23"/>
    </row>
    <row r="5" spans="2:20" ht="15" thickBot="1" x14ac:dyDescent="0.35">
      <c r="B5" s="9" t="s">
        <v>33</v>
      </c>
      <c r="C5" s="10"/>
      <c r="E5" s="11" t="s">
        <v>36</v>
      </c>
    </row>
    <row r="6" spans="2:20" ht="15" thickTop="1" x14ac:dyDescent="0.3">
      <c r="B6" s="9" t="s">
        <v>41</v>
      </c>
      <c r="C6" s="10"/>
    </row>
    <row r="7" spans="2:20" x14ac:dyDescent="0.3">
      <c r="B7" s="9" t="s">
        <v>34</v>
      </c>
      <c r="C7" s="10"/>
    </row>
    <row r="9" spans="2:20" ht="28.8" x14ac:dyDescent="0.3">
      <c r="B9" s="16" t="s">
        <v>0</v>
      </c>
      <c r="C9" s="1" t="s">
        <v>11</v>
      </c>
      <c r="D9" s="1" t="s">
        <v>39</v>
      </c>
      <c r="E9" s="1" t="s">
        <v>2</v>
      </c>
      <c r="F9" s="1" t="s">
        <v>17</v>
      </c>
      <c r="G9" s="20" t="s">
        <v>42</v>
      </c>
      <c r="H9" s="1" t="s">
        <v>1</v>
      </c>
      <c r="I9" s="18" t="s">
        <v>40</v>
      </c>
      <c r="J9" s="1" t="s">
        <v>16</v>
      </c>
      <c r="K9" s="1" t="s">
        <v>3</v>
      </c>
      <c r="M9" s="1" t="s">
        <v>2</v>
      </c>
      <c r="N9" s="1" t="s">
        <v>4</v>
      </c>
      <c r="O9" s="1" t="s">
        <v>5</v>
      </c>
      <c r="P9" s="1" t="s">
        <v>6</v>
      </c>
      <c r="Q9" s="1" t="s">
        <v>7</v>
      </c>
    </row>
    <row r="10" spans="2:20" x14ac:dyDescent="0.3">
      <c r="B10" s="14"/>
      <c r="C10" s="2"/>
      <c r="D10" s="2"/>
      <c r="E10" s="2"/>
      <c r="F10" s="2"/>
      <c r="G10" s="19"/>
      <c r="H10" s="2"/>
      <c r="I10" s="19"/>
      <c r="J10" s="2" t="str">
        <f t="shared" ref="J10:J41" si="0">IF(E10="","",VLOOKUP(E10,SpindleTable,VLOOKUP(C10,ViscometerTable,2,FALSE),FALSE))</f>
        <v/>
      </c>
      <c r="K10" s="5" t="str">
        <f>IF(H10="","",H10/((J10/F10)/100))</f>
        <v/>
      </c>
      <c r="M10" s="2" t="s">
        <v>46</v>
      </c>
      <c r="N10" s="4">
        <v>937</v>
      </c>
      <c r="O10" s="4">
        <v>10000</v>
      </c>
      <c r="P10" s="4">
        <v>20000</v>
      </c>
      <c r="Q10" s="4">
        <v>80000</v>
      </c>
      <c r="S10" s="6" t="s">
        <v>12</v>
      </c>
      <c r="T10" s="7">
        <v>2</v>
      </c>
    </row>
    <row r="11" spans="2:20" hidden="1" x14ac:dyDescent="0.3">
      <c r="B11" s="14"/>
      <c r="C11" s="2"/>
      <c r="D11" s="2"/>
      <c r="E11" s="2"/>
      <c r="F11" s="2"/>
      <c r="G11" s="21"/>
      <c r="H11" s="2"/>
      <c r="I11" s="19"/>
      <c r="J11" s="2" t="str">
        <f t="shared" si="0"/>
        <v/>
      </c>
      <c r="K11" s="5" t="str">
        <f t="shared" ref="K11:K74" si="1">IF(H11="","",H11/((J11/F11)/100))</f>
        <v/>
      </c>
      <c r="M11" s="2" t="s">
        <v>47</v>
      </c>
      <c r="N11" s="4">
        <v>3750</v>
      </c>
      <c r="O11" s="4">
        <v>40000</v>
      </c>
      <c r="P11" s="4">
        <v>80000</v>
      </c>
      <c r="Q11" s="4">
        <v>320000</v>
      </c>
      <c r="S11" s="6" t="s">
        <v>13</v>
      </c>
      <c r="T11" s="7">
        <v>3</v>
      </c>
    </row>
    <row r="12" spans="2:20" hidden="1" x14ac:dyDescent="0.3">
      <c r="B12" s="14"/>
      <c r="C12" s="2"/>
      <c r="D12" s="2"/>
      <c r="E12" s="2"/>
      <c r="F12" s="2"/>
      <c r="G12" s="21"/>
      <c r="H12" s="2"/>
      <c r="I12" s="19"/>
      <c r="J12" s="2" t="str">
        <f t="shared" si="0"/>
        <v/>
      </c>
      <c r="K12" s="5" t="str">
        <f t="shared" si="1"/>
        <v/>
      </c>
      <c r="M12" s="2" t="s">
        <v>48</v>
      </c>
      <c r="N12" s="4">
        <v>9375</v>
      </c>
      <c r="O12" s="4">
        <v>100000</v>
      </c>
      <c r="P12" s="4">
        <v>200000</v>
      </c>
      <c r="Q12" s="4">
        <v>800000</v>
      </c>
      <c r="S12" s="6" t="s">
        <v>14</v>
      </c>
      <c r="T12" s="7">
        <v>4</v>
      </c>
    </row>
    <row r="13" spans="2:20" hidden="1" x14ac:dyDescent="0.3">
      <c r="B13" s="14"/>
      <c r="C13" s="2"/>
      <c r="D13" s="2"/>
      <c r="E13" s="2"/>
      <c r="F13" s="2"/>
      <c r="G13" s="21"/>
      <c r="H13" s="2"/>
      <c r="I13" s="19"/>
      <c r="J13" s="2" t="str">
        <f t="shared" si="0"/>
        <v/>
      </c>
      <c r="K13" s="5" t="str">
        <f t="shared" si="1"/>
        <v/>
      </c>
      <c r="M13" s="2" t="s">
        <v>49</v>
      </c>
      <c r="N13" s="4">
        <v>18750</v>
      </c>
      <c r="O13" s="4">
        <v>200000</v>
      </c>
      <c r="P13" s="4">
        <v>400000</v>
      </c>
      <c r="Q13" s="4">
        <v>1600000</v>
      </c>
      <c r="S13" s="6" t="s">
        <v>15</v>
      </c>
      <c r="T13" s="7">
        <v>5</v>
      </c>
    </row>
    <row r="14" spans="2:20" hidden="1" x14ac:dyDescent="0.3">
      <c r="B14" s="14"/>
      <c r="C14" s="2"/>
      <c r="D14" s="2"/>
      <c r="E14" s="2"/>
      <c r="F14" s="2"/>
      <c r="G14" s="19"/>
      <c r="H14" s="2"/>
      <c r="I14" s="19"/>
      <c r="J14" s="2" t="str">
        <f t="shared" si="0"/>
        <v/>
      </c>
      <c r="K14" s="5" t="str">
        <f t="shared" si="1"/>
        <v/>
      </c>
      <c r="M14" s="2" t="s">
        <v>50</v>
      </c>
      <c r="N14" s="4">
        <v>37500</v>
      </c>
      <c r="O14" s="4">
        <v>400000</v>
      </c>
      <c r="P14" s="4">
        <v>800000</v>
      </c>
      <c r="Q14" s="4">
        <v>3200000</v>
      </c>
    </row>
    <row r="15" spans="2:20" hidden="1" x14ac:dyDescent="0.3">
      <c r="B15" s="14"/>
      <c r="C15" s="2"/>
      <c r="D15" s="2"/>
      <c r="E15" s="2"/>
      <c r="F15" s="2"/>
      <c r="G15" s="21"/>
      <c r="H15" s="2"/>
      <c r="I15" s="19"/>
      <c r="J15" s="2" t="str">
        <f t="shared" si="0"/>
        <v/>
      </c>
      <c r="K15" s="5" t="str">
        <f t="shared" si="1"/>
        <v/>
      </c>
      <c r="M15" s="2" t="s">
        <v>51</v>
      </c>
      <c r="N15" s="4">
        <v>93750</v>
      </c>
      <c r="O15" s="4">
        <v>1000000</v>
      </c>
      <c r="P15" s="4">
        <v>2000000</v>
      </c>
      <c r="Q15" s="4">
        <v>8000000</v>
      </c>
    </row>
    <row r="16" spans="2:20" hidden="1" x14ac:dyDescent="0.3">
      <c r="B16" s="14"/>
      <c r="C16" s="2"/>
      <c r="D16" s="2"/>
      <c r="E16" s="2"/>
      <c r="F16" s="2"/>
      <c r="G16" s="21"/>
      <c r="H16" s="2"/>
      <c r="I16" s="19"/>
      <c r="J16" s="2" t="str">
        <f t="shared" si="0"/>
        <v/>
      </c>
      <c r="K16" s="5" t="str">
        <f t="shared" si="1"/>
        <v/>
      </c>
      <c r="M16" s="2" t="s">
        <v>52</v>
      </c>
      <c r="N16" s="4">
        <v>375000</v>
      </c>
      <c r="O16" s="4">
        <v>4000000</v>
      </c>
      <c r="P16" s="4">
        <v>8000000</v>
      </c>
      <c r="Q16" s="4">
        <v>32000000</v>
      </c>
    </row>
    <row r="17" spans="2:17" hidden="1" x14ac:dyDescent="0.3">
      <c r="B17" s="14"/>
      <c r="C17" s="2"/>
      <c r="D17" s="2"/>
      <c r="E17" s="2"/>
      <c r="F17" s="2"/>
      <c r="G17" s="21"/>
      <c r="H17" s="2"/>
      <c r="I17" s="19"/>
      <c r="J17" s="2" t="str">
        <f t="shared" si="0"/>
        <v/>
      </c>
      <c r="K17" s="5" t="str">
        <f t="shared" si="1"/>
        <v/>
      </c>
      <c r="M17" s="2" t="s">
        <v>53</v>
      </c>
      <c r="N17" s="4" t="s">
        <v>109</v>
      </c>
      <c r="O17" s="4" t="s">
        <v>110</v>
      </c>
      <c r="P17" s="4" t="s">
        <v>111</v>
      </c>
      <c r="Q17" s="4" t="s">
        <v>112</v>
      </c>
    </row>
    <row r="18" spans="2:17" hidden="1" x14ac:dyDescent="0.3">
      <c r="B18" s="14"/>
      <c r="C18" s="2"/>
      <c r="D18" s="2"/>
      <c r="E18" s="2"/>
      <c r="F18" s="2"/>
      <c r="G18" s="19"/>
      <c r="H18" s="2"/>
      <c r="I18" s="19"/>
      <c r="J18" s="2" t="str">
        <f t="shared" si="0"/>
        <v/>
      </c>
      <c r="K18" s="5" t="str">
        <f t="shared" si="1"/>
        <v/>
      </c>
      <c r="M18" s="2" t="s">
        <v>54</v>
      </c>
      <c r="N18" s="4" t="s">
        <v>113</v>
      </c>
      <c r="O18" s="4" t="s">
        <v>114</v>
      </c>
      <c r="P18" s="4" t="s">
        <v>115</v>
      </c>
      <c r="Q18" s="4" t="s">
        <v>116</v>
      </c>
    </row>
    <row r="19" spans="2:17" hidden="1" x14ac:dyDescent="0.3">
      <c r="B19" s="14"/>
      <c r="C19" s="2"/>
      <c r="D19" s="2"/>
      <c r="E19" s="2"/>
      <c r="F19" s="2"/>
      <c r="G19" s="21"/>
      <c r="H19" s="2"/>
      <c r="I19" s="19"/>
      <c r="J19" s="2" t="str">
        <f t="shared" si="0"/>
        <v/>
      </c>
      <c r="K19" s="5" t="str">
        <f t="shared" si="1"/>
        <v/>
      </c>
      <c r="M19" s="2" t="s">
        <v>55</v>
      </c>
      <c r="N19" s="4" t="s">
        <v>117</v>
      </c>
      <c r="O19" s="4" t="s">
        <v>118</v>
      </c>
      <c r="P19" s="4" t="s">
        <v>119</v>
      </c>
      <c r="Q19" s="4" t="s">
        <v>120</v>
      </c>
    </row>
    <row r="20" spans="2:17" hidden="1" x14ac:dyDescent="0.3">
      <c r="B20" s="14"/>
      <c r="C20" s="2"/>
      <c r="D20" s="2"/>
      <c r="E20" s="2"/>
      <c r="F20" s="2"/>
      <c r="G20" s="21"/>
      <c r="H20" s="2"/>
      <c r="I20" s="19"/>
      <c r="J20" s="2" t="str">
        <f t="shared" si="0"/>
        <v/>
      </c>
      <c r="K20" s="5" t="str">
        <f t="shared" si="1"/>
        <v/>
      </c>
      <c r="M20" s="2" t="s">
        <v>56</v>
      </c>
      <c r="N20" s="4" t="s">
        <v>121</v>
      </c>
      <c r="O20" s="4" t="s">
        <v>119</v>
      </c>
      <c r="P20" s="4" t="s">
        <v>122</v>
      </c>
      <c r="Q20" s="4" t="s">
        <v>123</v>
      </c>
    </row>
    <row r="21" spans="2:17" hidden="1" x14ac:dyDescent="0.3">
      <c r="B21" s="14"/>
      <c r="C21" s="2"/>
      <c r="D21" s="2"/>
      <c r="E21" s="2"/>
      <c r="F21" s="2"/>
      <c r="G21" s="21"/>
      <c r="H21" s="2"/>
      <c r="I21" s="19"/>
      <c r="J21" s="2" t="str">
        <f t="shared" si="0"/>
        <v/>
      </c>
      <c r="K21" s="5" t="str">
        <f t="shared" si="1"/>
        <v/>
      </c>
      <c r="M21" s="2" t="s">
        <v>57</v>
      </c>
      <c r="N21" s="4" t="s">
        <v>124</v>
      </c>
      <c r="O21" s="4" t="s">
        <v>122</v>
      </c>
      <c r="P21" s="4" t="s">
        <v>120</v>
      </c>
      <c r="Q21" s="4" t="s">
        <v>125</v>
      </c>
    </row>
    <row r="22" spans="2:17" hidden="1" x14ac:dyDescent="0.3">
      <c r="B22" s="14"/>
      <c r="C22" s="2"/>
      <c r="D22" s="2"/>
      <c r="E22" s="2"/>
      <c r="F22" s="2"/>
      <c r="G22" s="21"/>
      <c r="H22" s="2"/>
      <c r="I22" s="19"/>
      <c r="J22" s="2" t="str">
        <f t="shared" si="0"/>
        <v/>
      </c>
      <c r="K22" s="5" t="str">
        <f t="shared" si="1"/>
        <v/>
      </c>
      <c r="M22" s="2" t="s">
        <v>58</v>
      </c>
      <c r="N22" s="4" t="s">
        <v>126</v>
      </c>
      <c r="O22" s="4" t="s">
        <v>127</v>
      </c>
      <c r="P22" s="4" t="s">
        <v>128</v>
      </c>
      <c r="Q22" s="4" t="s">
        <v>129</v>
      </c>
    </row>
    <row r="23" spans="2:17" hidden="1" x14ac:dyDescent="0.3">
      <c r="B23" s="14"/>
      <c r="C23" s="2"/>
      <c r="D23" s="2"/>
      <c r="E23" s="2"/>
      <c r="F23" s="2"/>
      <c r="G23" s="21"/>
      <c r="H23" s="2"/>
      <c r="I23" s="19"/>
      <c r="J23" s="2" t="str">
        <f t="shared" si="0"/>
        <v/>
      </c>
      <c r="K23" s="5" t="str">
        <f t="shared" si="1"/>
        <v/>
      </c>
      <c r="M23" s="2" t="s">
        <v>59</v>
      </c>
      <c r="N23" s="4" t="s">
        <v>130</v>
      </c>
      <c r="O23" s="4" t="s">
        <v>131</v>
      </c>
      <c r="P23" s="4" t="s">
        <v>132</v>
      </c>
      <c r="Q23" s="4" t="s">
        <v>133</v>
      </c>
    </row>
    <row r="24" spans="2:17" hidden="1" x14ac:dyDescent="0.3">
      <c r="B24" s="14"/>
      <c r="C24" s="2"/>
      <c r="D24" s="2"/>
      <c r="E24" s="2"/>
      <c r="F24" s="2"/>
      <c r="G24" s="19"/>
      <c r="H24" s="2"/>
      <c r="I24" s="19"/>
      <c r="J24" s="2" t="str">
        <f t="shared" si="0"/>
        <v/>
      </c>
      <c r="K24" s="5" t="str">
        <f t="shared" si="1"/>
        <v/>
      </c>
      <c r="M24" s="2" t="s">
        <v>60</v>
      </c>
      <c r="N24" s="4" t="s">
        <v>109</v>
      </c>
      <c r="O24" s="4" t="s">
        <v>110</v>
      </c>
      <c r="P24" s="4" t="s">
        <v>111</v>
      </c>
      <c r="Q24" s="4" t="s">
        <v>112</v>
      </c>
    </row>
    <row r="25" spans="2:17" hidden="1" x14ac:dyDescent="0.3">
      <c r="B25" s="14"/>
      <c r="C25" s="2"/>
      <c r="D25" s="2"/>
      <c r="E25" s="2"/>
      <c r="F25" s="2"/>
      <c r="G25" s="19"/>
      <c r="H25" s="2"/>
      <c r="I25" s="19"/>
      <c r="J25" s="2" t="str">
        <f t="shared" si="0"/>
        <v/>
      </c>
      <c r="K25" s="5" t="str">
        <f t="shared" si="1"/>
        <v/>
      </c>
      <c r="M25" s="2" t="s">
        <v>61</v>
      </c>
      <c r="N25" s="4" t="s">
        <v>113</v>
      </c>
      <c r="O25" s="4" t="s">
        <v>114</v>
      </c>
      <c r="P25" s="4" t="s">
        <v>115</v>
      </c>
      <c r="Q25" s="4" t="s">
        <v>116</v>
      </c>
    </row>
    <row r="26" spans="2:17" hidden="1" x14ac:dyDescent="0.3">
      <c r="B26" s="14"/>
      <c r="C26" s="2"/>
      <c r="D26" s="2"/>
      <c r="E26" s="2"/>
      <c r="F26" s="2"/>
      <c r="G26" s="21"/>
      <c r="H26" s="2"/>
      <c r="I26" s="19"/>
      <c r="J26" s="2" t="str">
        <f t="shared" si="0"/>
        <v/>
      </c>
      <c r="K26" s="5" t="str">
        <f t="shared" si="1"/>
        <v/>
      </c>
      <c r="M26" s="2" t="s">
        <v>62</v>
      </c>
      <c r="N26" s="4" t="s">
        <v>117</v>
      </c>
      <c r="O26" s="4" t="s">
        <v>118</v>
      </c>
      <c r="P26" s="4" t="s">
        <v>119</v>
      </c>
      <c r="Q26" s="4" t="s">
        <v>120</v>
      </c>
    </row>
    <row r="27" spans="2:17" hidden="1" x14ac:dyDescent="0.3">
      <c r="B27" s="14"/>
      <c r="C27" s="2"/>
      <c r="D27" s="2"/>
      <c r="E27" s="2"/>
      <c r="F27" s="2"/>
      <c r="G27" s="21"/>
      <c r="H27" s="2"/>
      <c r="I27" s="19"/>
      <c r="J27" s="2" t="str">
        <f t="shared" si="0"/>
        <v/>
      </c>
      <c r="K27" s="5" t="str">
        <f t="shared" si="1"/>
        <v/>
      </c>
      <c r="M27" s="2" t="s">
        <v>63</v>
      </c>
      <c r="N27" s="4" t="s">
        <v>121</v>
      </c>
      <c r="O27" s="4" t="s">
        <v>119</v>
      </c>
      <c r="P27" s="4" t="s">
        <v>122</v>
      </c>
      <c r="Q27" s="4" t="s">
        <v>123</v>
      </c>
    </row>
    <row r="28" spans="2:17" hidden="1" x14ac:dyDescent="0.3">
      <c r="B28" s="14"/>
      <c r="C28" s="2"/>
      <c r="D28" s="2"/>
      <c r="E28" s="2"/>
      <c r="F28" s="2"/>
      <c r="G28" s="21"/>
      <c r="H28" s="2"/>
      <c r="I28" s="19"/>
      <c r="J28" s="2" t="str">
        <f t="shared" si="0"/>
        <v/>
      </c>
      <c r="K28" s="5" t="str">
        <f t="shared" si="1"/>
        <v/>
      </c>
      <c r="M28" s="2" t="s">
        <v>64</v>
      </c>
      <c r="N28" s="4" t="s">
        <v>134</v>
      </c>
      <c r="O28" s="4" t="s">
        <v>122</v>
      </c>
      <c r="P28" s="4" t="s">
        <v>120</v>
      </c>
      <c r="Q28" s="4" t="s">
        <v>125</v>
      </c>
    </row>
    <row r="29" spans="2:17" hidden="1" x14ac:dyDescent="0.3">
      <c r="B29" s="14"/>
      <c r="C29" s="2"/>
      <c r="D29" s="2"/>
      <c r="E29" s="2"/>
      <c r="F29" s="2"/>
      <c r="G29" s="21"/>
      <c r="H29" s="2"/>
      <c r="I29" s="19"/>
      <c r="J29" s="2" t="str">
        <f t="shared" si="0"/>
        <v/>
      </c>
      <c r="K29" s="5" t="str">
        <f t="shared" si="1"/>
        <v/>
      </c>
      <c r="M29" s="2" t="s">
        <v>65</v>
      </c>
      <c r="N29" s="4" t="s">
        <v>126</v>
      </c>
      <c r="O29" s="4" t="s">
        <v>127</v>
      </c>
      <c r="P29" s="4" t="s">
        <v>128</v>
      </c>
      <c r="Q29" s="4" t="s">
        <v>129</v>
      </c>
    </row>
    <row r="30" spans="2:17" hidden="1" x14ac:dyDescent="0.3">
      <c r="B30" s="14"/>
      <c r="C30" s="2"/>
      <c r="D30" s="2"/>
      <c r="E30" s="2"/>
      <c r="F30" s="2"/>
      <c r="G30" s="21"/>
      <c r="H30" s="2"/>
      <c r="I30" s="19"/>
      <c r="J30" s="2" t="str">
        <f t="shared" si="0"/>
        <v/>
      </c>
      <c r="K30" s="5" t="str">
        <f t="shared" si="1"/>
        <v/>
      </c>
      <c r="M30" s="2" t="s">
        <v>66</v>
      </c>
      <c r="N30" s="4" t="s">
        <v>130</v>
      </c>
      <c r="O30" s="4" t="s">
        <v>131</v>
      </c>
      <c r="P30" s="4" t="s">
        <v>132</v>
      </c>
      <c r="Q30" s="4" t="s">
        <v>133</v>
      </c>
    </row>
    <row r="31" spans="2:17" hidden="1" x14ac:dyDescent="0.3">
      <c r="B31" s="14"/>
      <c r="C31" s="2"/>
      <c r="D31" s="2"/>
      <c r="E31" s="2"/>
      <c r="F31" s="2"/>
      <c r="G31" s="21"/>
      <c r="H31" s="2"/>
      <c r="I31" s="19"/>
      <c r="J31" s="2" t="str">
        <f t="shared" si="0"/>
        <v/>
      </c>
      <c r="K31" s="5" t="str">
        <f t="shared" si="1"/>
        <v/>
      </c>
      <c r="M31" s="2" t="s">
        <v>67</v>
      </c>
      <c r="N31" s="4" t="s">
        <v>135</v>
      </c>
      <c r="O31" s="4" t="s">
        <v>136</v>
      </c>
      <c r="P31" s="4" t="s">
        <v>137</v>
      </c>
      <c r="Q31" s="4" t="s">
        <v>138</v>
      </c>
    </row>
    <row r="32" spans="2:17" hidden="1" x14ac:dyDescent="0.3">
      <c r="B32" s="14"/>
      <c r="C32" s="2"/>
      <c r="D32" s="2"/>
      <c r="E32" s="2"/>
      <c r="F32" s="2"/>
      <c r="G32" s="21"/>
      <c r="H32" s="2"/>
      <c r="I32" s="19"/>
      <c r="J32" s="2" t="str">
        <f t="shared" si="0"/>
        <v/>
      </c>
      <c r="K32" s="5" t="str">
        <f t="shared" si="1"/>
        <v/>
      </c>
      <c r="M32" s="2" t="s">
        <v>68</v>
      </c>
      <c r="N32" s="4" t="s">
        <v>139</v>
      </c>
      <c r="O32" s="4" t="s">
        <v>140</v>
      </c>
      <c r="P32" s="4" t="s">
        <v>141</v>
      </c>
      <c r="Q32" s="4" t="s">
        <v>142</v>
      </c>
    </row>
    <row r="33" spans="2:17" hidden="1" x14ac:dyDescent="0.3">
      <c r="B33" s="14"/>
      <c r="C33" s="2"/>
      <c r="D33" s="2"/>
      <c r="E33" s="2"/>
      <c r="F33" s="2"/>
      <c r="G33" s="21"/>
      <c r="H33" s="2"/>
      <c r="I33" s="19"/>
      <c r="J33" s="2" t="str">
        <f t="shared" si="0"/>
        <v/>
      </c>
      <c r="K33" s="5" t="str">
        <f t="shared" si="1"/>
        <v/>
      </c>
      <c r="M33" s="2" t="s">
        <v>69</v>
      </c>
      <c r="N33" s="4" t="s">
        <v>143</v>
      </c>
      <c r="O33" s="4" t="s">
        <v>144</v>
      </c>
      <c r="P33" s="4" t="s">
        <v>142</v>
      </c>
      <c r="Q33" s="4" t="s">
        <v>145</v>
      </c>
    </row>
    <row r="34" spans="2:17" hidden="1" x14ac:dyDescent="0.3">
      <c r="B34" s="14"/>
      <c r="C34" s="2"/>
      <c r="D34" s="2"/>
      <c r="E34" s="2"/>
      <c r="F34" s="2"/>
      <c r="G34" s="21"/>
      <c r="H34" s="2"/>
      <c r="I34" s="19"/>
      <c r="J34" s="2" t="str">
        <f t="shared" si="0"/>
        <v/>
      </c>
      <c r="K34" s="5" t="str">
        <f t="shared" si="1"/>
        <v/>
      </c>
      <c r="M34" s="2" t="s">
        <v>70</v>
      </c>
      <c r="N34" s="4" t="s">
        <v>146</v>
      </c>
      <c r="O34" s="4" t="s">
        <v>147</v>
      </c>
      <c r="P34" s="4" t="s">
        <v>148</v>
      </c>
      <c r="Q34" s="4" t="s">
        <v>149</v>
      </c>
    </row>
    <row r="35" spans="2:17" hidden="1" x14ac:dyDescent="0.3">
      <c r="B35" s="14"/>
      <c r="C35" s="2"/>
      <c r="D35" s="2"/>
      <c r="E35" s="2"/>
      <c r="F35" s="2"/>
      <c r="G35" s="21"/>
      <c r="H35" s="2"/>
      <c r="I35" s="19"/>
      <c r="J35" s="2" t="str">
        <f t="shared" si="0"/>
        <v/>
      </c>
      <c r="K35" s="5" t="str">
        <f t="shared" si="1"/>
        <v/>
      </c>
      <c r="M35" s="2" t="s">
        <v>71</v>
      </c>
      <c r="N35" s="4" t="s">
        <v>150</v>
      </c>
      <c r="O35" s="4" t="s">
        <v>148</v>
      </c>
      <c r="P35" s="4" t="s">
        <v>151</v>
      </c>
      <c r="Q35" s="4" t="s">
        <v>152</v>
      </c>
    </row>
    <row r="36" spans="2:17" hidden="1" x14ac:dyDescent="0.3">
      <c r="B36" s="14"/>
      <c r="C36" s="2"/>
      <c r="D36" s="2"/>
      <c r="E36" s="2"/>
      <c r="F36" s="2"/>
      <c r="G36" s="21"/>
      <c r="H36" s="2"/>
      <c r="I36" s="19"/>
      <c r="J36" s="2" t="str">
        <f t="shared" si="0"/>
        <v/>
      </c>
      <c r="K36" s="5" t="str">
        <f t="shared" si="1"/>
        <v/>
      </c>
      <c r="M36" s="2" t="s">
        <v>72</v>
      </c>
      <c r="N36" s="4" t="s">
        <v>139</v>
      </c>
      <c r="O36" s="4" t="s">
        <v>116</v>
      </c>
      <c r="P36" s="4" t="s">
        <v>153</v>
      </c>
      <c r="Q36" s="4" t="s">
        <v>142</v>
      </c>
    </row>
    <row r="37" spans="2:17" hidden="1" x14ac:dyDescent="0.3">
      <c r="B37" s="14"/>
      <c r="C37" s="2"/>
      <c r="D37" s="2"/>
      <c r="E37" s="2"/>
      <c r="F37" s="2"/>
      <c r="G37" s="21"/>
      <c r="H37" s="2"/>
      <c r="I37" s="19"/>
      <c r="J37" s="2" t="str">
        <f t="shared" si="0"/>
        <v/>
      </c>
      <c r="K37" s="5" t="str">
        <f t="shared" si="1"/>
        <v/>
      </c>
      <c r="M37" s="2" t="s">
        <v>73</v>
      </c>
      <c r="N37" s="4" t="s">
        <v>143</v>
      </c>
      <c r="O37" s="4" t="s">
        <v>144</v>
      </c>
      <c r="P37" s="4" t="s">
        <v>142</v>
      </c>
      <c r="Q37" s="4" t="s">
        <v>145</v>
      </c>
    </row>
    <row r="38" spans="2:17" hidden="1" x14ac:dyDescent="0.3">
      <c r="B38" s="14"/>
      <c r="C38" s="2"/>
      <c r="D38" s="2"/>
      <c r="E38" s="2"/>
      <c r="F38" s="2"/>
      <c r="G38" s="21"/>
      <c r="H38" s="2"/>
      <c r="I38" s="19"/>
      <c r="J38" s="2" t="str">
        <f t="shared" si="0"/>
        <v/>
      </c>
      <c r="K38" s="5" t="str">
        <f t="shared" si="1"/>
        <v/>
      </c>
      <c r="M38" s="2" t="s">
        <v>74</v>
      </c>
      <c r="N38" s="4" t="s">
        <v>154</v>
      </c>
      <c r="O38" s="4">
        <v>200000</v>
      </c>
      <c r="P38" s="4">
        <v>400000</v>
      </c>
      <c r="Q38" s="4">
        <v>1600000</v>
      </c>
    </row>
    <row r="39" spans="2:17" hidden="1" x14ac:dyDescent="0.3">
      <c r="B39" s="14"/>
      <c r="C39" s="2"/>
      <c r="D39" s="2"/>
      <c r="E39" s="2"/>
      <c r="F39" s="2"/>
      <c r="G39" s="19"/>
      <c r="H39" s="2"/>
      <c r="I39" s="19"/>
      <c r="J39" s="2" t="str">
        <f t="shared" si="0"/>
        <v/>
      </c>
      <c r="K39" s="5" t="str">
        <f t="shared" si="1"/>
        <v/>
      </c>
      <c r="M39" s="2" t="s">
        <v>75</v>
      </c>
      <c r="N39" s="4" t="s">
        <v>155</v>
      </c>
      <c r="O39" s="4">
        <v>400000</v>
      </c>
      <c r="P39" s="4">
        <v>800000</v>
      </c>
      <c r="Q39" s="4">
        <v>3200000</v>
      </c>
    </row>
    <row r="40" spans="2:17" hidden="1" x14ac:dyDescent="0.3">
      <c r="B40" s="14"/>
      <c r="C40" s="2"/>
      <c r="D40" s="2"/>
      <c r="E40" s="2"/>
      <c r="F40" s="2"/>
      <c r="G40" s="19"/>
      <c r="H40" s="2"/>
      <c r="I40" s="19"/>
      <c r="J40" s="2" t="str">
        <f t="shared" si="0"/>
        <v/>
      </c>
      <c r="K40" s="5" t="str">
        <f t="shared" si="1"/>
        <v/>
      </c>
      <c r="M40" s="2" t="s">
        <v>76</v>
      </c>
      <c r="N40" s="4" t="s">
        <v>156</v>
      </c>
      <c r="O40" s="4">
        <v>1000000</v>
      </c>
      <c r="P40" s="4">
        <v>2000000</v>
      </c>
      <c r="Q40" s="4">
        <v>8000000</v>
      </c>
    </row>
    <row r="41" spans="2:17" hidden="1" x14ac:dyDescent="0.3">
      <c r="B41" s="14"/>
      <c r="C41" s="2"/>
      <c r="D41" s="2"/>
      <c r="E41" s="2"/>
      <c r="F41" s="2"/>
      <c r="G41" s="21"/>
      <c r="H41" s="2"/>
      <c r="I41" s="19"/>
      <c r="J41" s="2" t="str">
        <f t="shared" si="0"/>
        <v/>
      </c>
      <c r="K41" s="5" t="str">
        <f t="shared" si="1"/>
        <v/>
      </c>
      <c r="M41" s="2" t="s">
        <v>77</v>
      </c>
      <c r="N41" s="4" t="s">
        <v>157</v>
      </c>
      <c r="O41" s="4" t="s">
        <v>128</v>
      </c>
      <c r="P41" s="4" t="s">
        <v>158</v>
      </c>
      <c r="Q41" s="4" t="s">
        <v>159</v>
      </c>
    </row>
    <row r="42" spans="2:17" hidden="1" x14ac:dyDescent="0.3">
      <c r="B42" s="14"/>
      <c r="C42" s="2"/>
      <c r="D42" s="2"/>
      <c r="E42" s="2"/>
      <c r="F42" s="2"/>
      <c r="G42" s="21"/>
      <c r="H42" s="2"/>
      <c r="I42" s="19"/>
      <c r="J42" s="2" t="str">
        <f t="shared" ref="J42:J73" si="2">IF(E42="","",VLOOKUP(E42,SpindleTable,VLOOKUP(C42,ViscometerTable,2,FALSE),FALSE))</f>
        <v/>
      </c>
      <c r="K42" s="5" t="str">
        <f t="shared" si="1"/>
        <v/>
      </c>
      <c r="M42" s="2" t="s">
        <v>78</v>
      </c>
      <c r="N42" s="4" t="s">
        <v>160</v>
      </c>
      <c r="O42" s="4" t="s">
        <v>161</v>
      </c>
      <c r="P42" s="4" t="s">
        <v>162</v>
      </c>
      <c r="Q42" s="4" t="s">
        <v>163</v>
      </c>
    </row>
    <row r="43" spans="2:17" hidden="1" x14ac:dyDescent="0.3">
      <c r="B43" s="14"/>
      <c r="C43" s="2"/>
      <c r="D43" s="2"/>
      <c r="E43" s="2"/>
      <c r="F43" s="2"/>
      <c r="G43" s="21"/>
      <c r="H43" s="2"/>
      <c r="I43" s="19"/>
      <c r="J43" s="2" t="str">
        <f t="shared" si="2"/>
        <v/>
      </c>
      <c r="K43" s="5" t="str">
        <f t="shared" si="1"/>
        <v/>
      </c>
      <c r="M43" s="2" t="s">
        <v>79</v>
      </c>
      <c r="N43" s="4" t="s">
        <v>164</v>
      </c>
      <c r="O43" s="4" t="s">
        <v>162</v>
      </c>
      <c r="P43" s="4" t="s">
        <v>165</v>
      </c>
      <c r="Q43" s="4" t="s">
        <v>166</v>
      </c>
    </row>
    <row r="44" spans="2:17" hidden="1" x14ac:dyDescent="0.3">
      <c r="B44" s="14"/>
      <c r="C44" s="2"/>
      <c r="D44" s="2"/>
      <c r="E44" s="2"/>
      <c r="F44" s="2"/>
      <c r="G44" s="21"/>
      <c r="H44" s="2"/>
      <c r="I44" s="19"/>
      <c r="J44" s="2" t="str">
        <f t="shared" si="2"/>
        <v/>
      </c>
      <c r="K44" s="5" t="str">
        <f t="shared" si="1"/>
        <v/>
      </c>
      <c r="M44" s="2" t="s">
        <v>80</v>
      </c>
      <c r="N44" s="4" t="s">
        <v>167</v>
      </c>
      <c r="O44" s="4" t="s">
        <v>168</v>
      </c>
      <c r="P44" s="4" t="s">
        <v>169</v>
      </c>
      <c r="Q44" s="4" t="s">
        <v>170</v>
      </c>
    </row>
    <row r="45" spans="2:17" hidden="1" x14ac:dyDescent="0.3">
      <c r="B45" s="14"/>
      <c r="C45" s="2"/>
      <c r="D45" s="2"/>
      <c r="E45" s="2"/>
      <c r="F45" s="2"/>
      <c r="G45" s="21"/>
      <c r="H45" s="2"/>
      <c r="I45" s="19"/>
      <c r="J45" s="2" t="str">
        <f t="shared" si="2"/>
        <v/>
      </c>
      <c r="K45" s="5" t="str">
        <f t="shared" si="1"/>
        <v/>
      </c>
      <c r="M45" s="2" t="s">
        <v>81</v>
      </c>
      <c r="N45" s="4" t="s">
        <v>171</v>
      </c>
      <c r="O45" s="4" t="s">
        <v>172</v>
      </c>
      <c r="P45" s="4" t="s">
        <v>173</v>
      </c>
      <c r="Q45" s="4" t="s">
        <v>174</v>
      </c>
    </row>
    <row r="46" spans="2:17" hidden="1" x14ac:dyDescent="0.3">
      <c r="B46" s="14"/>
      <c r="C46" s="2"/>
      <c r="D46" s="2"/>
      <c r="E46" s="2"/>
      <c r="F46" s="2"/>
      <c r="G46" s="21"/>
      <c r="H46" s="2"/>
      <c r="I46" s="19"/>
      <c r="J46" s="2" t="str">
        <f t="shared" si="2"/>
        <v/>
      </c>
      <c r="K46" s="5" t="str">
        <f t="shared" si="1"/>
        <v/>
      </c>
      <c r="M46" s="2" t="s">
        <v>82</v>
      </c>
      <c r="N46" s="4" t="s">
        <v>175</v>
      </c>
      <c r="O46" s="4" t="s">
        <v>176</v>
      </c>
      <c r="P46" s="4" t="s">
        <v>177</v>
      </c>
      <c r="Q46" s="4" t="s">
        <v>178</v>
      </c>
    </row>
    <row r="47" spans="2:17" hidden="1" x14ac:dyDescent="0.3">
      <c r="B47" s="14"/>
      <c r="C47" s="2"/>
      <c r="D47" s="2"/>
      <c r="E47" s="2"/>
      <c r="F47" s="2"/>
      <c r="G47" s="21"/>
      <c r="H47" s="2"/>
      <c r="I47" s="19"/>
      <c r="J47" s="2" t="str">
        <f t="shared" si="2"/>
        <v/>
      </c>
      <c r="K47" s="5" t="str">
        <f t="shared" si="1"/>
        <v/>
      </c>
      <c r="M47" s="2" t="s">
        <v>83</v>
      </c>
      <c r="N47" s="4" t="s">
        <v>175</v>
      </c>
      <c r="O47" s="4" t="s">
        <v>176</v>
      </c>
      <c r="P47" s="4" t="s">
        <v>177</v>
      </c>
      <c r="Q47" s="4" t="s">
        <v>178</v>
      </c>
    </row>
    <row r="48" spans="2:17" hidden="1" x14ac:dyDescent="0.3">
      <c r="B48" s="14"/>
      <c r="C48" s="2"/>
      <c r="D48" s="2"/>
      <c r="E48" s="2"/>
      <c r="F48" s="2"/>
      <c r="G48" s="21"/>
      <c r="H48" s="2"/>
      <c r="I48" s="19"/>
      <c r="J48" s="2" t="str">
        <f t="shared" si="2"/>
        <v/>
      </c>
      <c r="K48" s="5" t="str">
        <f t="shared" si="1"/>
        <v/>
      </c>
      <c r="M48" s="2" t="s">
        <v>84</v>
      </c>
      <c r="N48" s="4" t="s">
        <v>179</v>
      </c>
      <c r="O48" s="4" t="s">
        <v>180</v>
      </c>
      <c r="P48" s="4" t="s">
        <v>181</v>
      </c>
      <c r="Q48" s="4" t="s">
        <v>182</v>
      </c>
    </row>
    <row r="49" spans="2:17" hidden="1" x14ac:dyDescent="0.3">
      <c r="B49" s="14"/>
      <c r="C49" s="2"/>
      <c r="D49" s="2"/>
      <c r="E49" s="2"/>
      <c r="F49" s="2"/>
      <c r="G49" s="21"/>
      <c r="H49" s="2"/>
      <c r="I49" s="19"/>
      <c r="J49" s="2" t="str">
        <f t="shared" si="2"/>
        <v/>
      </c>
      <c r="K49" s="5" t="str">
        <f t="shared" si="1"/>
        <v/>
      </c>
      <c r="M49" s="2" t="s">
        <v>85</v>
      </c>
      <c r="N49" s="4" t="s">
        <v>183</v>
      </c>
      <c r="O49" s="4" t="s">
        <v>184</v>
      </c>
      <c r="P49" s="4" t="s">
        <v>185</v>
      </c>
      <c r="Q49" s="4" t="s">
        <v>186</v>
      </c>
    </row>
    <row r="50" spans="2:17" hidden="1" x14ac:dyDescent="0.3">
      <c r="B50" s="14"/>
      <c r="C50" s="2"/>
      <c r="D50" s="2"/>
      <c r="E50" s="2"/>
      <c r="F50" s="2"/>
      <c r="G50" s="21"/>
      <c r="H50" s="2"/>
      <c r="I50" s="19"/>
      <c r="J50" s="2" t="str">
        <f t="shared" si="2"/>
        <v/>
      </c>
      <c r="K50" s="5" t="str">
        <f t="shared" si="1"/>
        <v/>
      </c>
      <c r="M50" s="2" t="s">
        <v>86</v>
      </c>
      <c r="N50" s="4" t="s">
        <v>175</v>
      </c>
      <c r="O50" s="4" t="s">
        <v>176</v>
      </c>
      <c r="P50" s="4" t="s">
        <v>177</v>
      </c>
      <c r="Q50" s="4" t="s">
        <v>178</v>
      </c>
    </row>
    <row r="51" spans="2:17" hidden="1" x14ac:dyDescent="0.3">
      <c r="B51" s="14"/>
      <c r="C51" s="2"/>
      <c r="D51" s="2"/>
      <c r="E51" s="2"/>
      <c r="F51" s="2"/>
      <c r="G51" s="21"/>
      <c r="H51" s="2"/>
      <c r="I51" s="19"/>
      <c r="J51" s="2" t="str">
        <f t="shared" si="2"/>
        <v/>
      </c>
      <c r="K51" s="5" t="str">
        <f t="shared" si="1"/>
        <v/>
      </c>
      <c r="M51" s="2" t="s">
        <v>87</v>
      </c>
      <c r="N51" s="4" t="s">
        <v>179</v>
      </c>
      <c r="O51" s="4" t="s">
        <v>180</v>
      </c>
      <c r="P51" s="4">
        <v>242600</v>
      </c>
      <c r="Q51" s="4" t="s">
        <v>182</v>
      </c>
    </row>
    <row r="52" spans="2:17" hidden="1" x14ac:dyDescent="0.3">
      <c r="B52" s="14"/>
      <c r="C52" s="2"/>
      <c r="D52" s="2"/>
      <c r="E52" s="2"/>
      <c r="F52" s="2"/>
      <c r="G52" s="21"/>
      <c r="H52" s="2"/>
      <c r="I52" s="19"/>
      <c r="J52" s="2" t="str">
        <f t="shared" si="2"/>
        <v/>
      </c>
      <c r="K52" s="5" t="str">
        <f t="shared" si="1"/>
        <v/>
      </c>
      <c r="M52" s="2" t="s">
        <v>88</v>
      </c>
      <c r="N52" s="4" t="s">
        <v>187</v>
      </c>
      <c r="O52" s="4" t="s">
        <v>188</v>
      </c>
      <c r="P52" s="4" t="s">
        <v>189</v>
      </c>
      <c r="Q52" s="4" t="s">
        <v>162</v>
      </c>
    </row>
    <row r="53" spans="2:17" hidden="1" x14ac:dyDescent="0.3">
      <c r="B53" s="14"/>
      <c r="C53" s="2"/>
      <c r="D53" s="2"/>
      <c r="E53" s="2"/>
      <c r="F53" s="2"/>
      <c r="G53" s="21"/>
      <c r="H53" s="2"/>
      <c r="I53" s="19"/>
      <c r="J53" s="2" t="str">
        <f t="shared" si="2"/>
        <v/>
      </c>
      <c r="K53" s="5" t="str">
        <f t="shared" si="1"/>
        <v/>
      </c>
      <c r="M53" s="2" t="s">
        <v>89</v>
      </c>
      <c r="N53" s="4" t="s">
        <v>190</v>
      </c>
      <c r="O53" s="4" t="s">
        <v>191</v>
      </c>
      <c r="P53" s="4" t="s">
        <v>192</v>
      </c>
      <c r="Q53" s="4">
        <v>4000000</v>
      </c>
    </row>
    <row r="54" spans="2:17" hidden="1" x14ac:dyDescent="0.3">
      <c r="B54" s="14"/>
      <c r="C54" s="2"/>
      <c r="D54" s="2"/>
      <c r="E54" s="2"/>
      <c r="F54" s="2"/>
      <c r="G54" s="19"/>
      <c r="H54" s="2"/>
      <c r="I54" s="19"/>
      <c r="J54" s="2" t="str">
        <f t="shared" si="2"/>
        <v/>
      </c>
      <c r="K54" s="5" t="str">
        <f t="shared" si="1"/>
        <v/>
      </c>
      <c r="M54" s="2" t="s">
        <v>90</v>
      </c>
      <c r="N54" s="4" t="s">
        <v>143</v>
      </c>
      <c r="O54" s="4" t="s">
        <v>193</v>
      </c>
      <c r="P54" s="4" t="s">
        <v>194</v>
      </c>
      <c r="Q54" s="4">
        <v>10240000</v>
      </c>
    </row>
    <row r="55" spans="2:17" hidden="1" x14ac:dyDescent="0.3">
      <c r="B55" s="14"/>
      <c r="C55" s="2"/>
      <c r="D55" s="2"/>
      <c r="E55" s="2"/>
      <c r="F55" s="2"/>
      <c r="G55" s="19"/>
      <c r="H55" s="2"/>
      <c r="I55" s="19"/>
      <c r="J55" s="2" t="str">
        <f t="shared" si="2"/>
        <v/>
      </c>
      <c r="K55" s="5" t="str">
        <f t="shared" si="1"/>
        <v/>
      </c>
      <c r="M55" s="2" t="s">
        <v>91</v>
      </c>
      <c r="N55" s="4">
        <v>3000</v>
      </c>
      <c r="O55" s="4">
        <v>32000</v>
      </c>
      <c r="P55" s="4">
        <v>64000</v>
      </c>
      <c r="Q55" s="4">
        <v>256000</v>
      </c>
    </row>
    <row r="56" spans="2:17" hidden="1" x14ac:dyDescent="0.3">
      <c r="B56" s="14"/>
      <c r="C56" s="2"/>
      <c r="D56" s="2"/>
      <c r="E56" s="2"/>
      <c r="F56" s="2"/>
      <c r="G56" s="21"/>
      <c r="H56" s="2"/>
      <c r="I56" s="19"/>
      <c r="J56" s="2" t="str">
        <f t="shared" si="2"/>
        <v/>
      </c>
      <c r="K56" s="5" t="str">
        <f t="shared" si="1"/>
        <v/>
      </c>
      <c r="M56" s="2" t="s">
        <v>92</v>
      </c>
      <c r="N56" s="4">
        <v>4688</v>
      </c>
      <c r="O56" s="4">
        <v>50000</v>
      </c>
      <c r="P56" s="4">
        <v>100000</v>
      </c>
      <c r="Q56" s="4">
        <v>400000</v>
      </c>
    </row>
    <row r="57" spans="2:17" hidden="1" x14ac:dyDescent="0.3">
      <c r="B57" s="14"/>
      <c r="C57" s="2"/>
      <c r="D57" s="2"/>
      <c r="E57" s="2"/>
      <c r="F57" s="2"/>
      <c r="G57" s="21"/>
      <c r="H57" s="2"/>
      <c r="I57" s="19"/>
      <c r="J57" s="2" t="str">
        <f t="shared" si="2"/>
        <v/>
      </c>
      <c r="K57" s="5" t="str">
        <f t="shared" si="1"/>
        <v/>
      </c>
      <c r="M57" s="2" t="s">
        <v>93</v>
      </c>
      <c r="N57" s="4">
        <v>480000</v>
      </c>
      <c r="O57" s="4">
        <v>5120000</v>
      </c>
      <c r="P57" s="4">
        <v>10240000</v>
      </c>
      <c r="Q57" s="4">
        <v>40960000</v>
      </c>
    </row>
    <row r="58" spans="2:17" hidden="1" x14ac:dyDescent="0.3">
      <c r="B58" s="14"/>
      <c r="C58" s="2"/>
      <c r="D58" s="2"/>
      <c r="E58" s="2"/>
      <c r="F58" s="2"/>
      <c r="G58" s="21"/>
      <c r="H58" s="2"/>
      <c r="I58" s="19"/>
      <c r="J58" s="2" t="str">
        <f t="shared" si="2"/>
        <v/>
      </c>
      <c r="K58" s="5" t="str">
        <f t="shared" si="1"/>
        <v/>
      </c>
      <c r="M58" s="2" t="s">
        <v>94</v>
      </c>
      <c r="N58" s="4">
        <v>23440</v>
      </c>
      <c r="O58" s="4">
        <v>250000</v>
      </c>
      <c r="P58" s="4">
        <v>500000</v>
      </c>
      <c r="Q58" s="4">
        <v>2000000</v>
      </c>
    </row>
    <row r="59" spans="2:17" hidden="1" x14ac:dyDescent="0.3">
      <c r="B59" s="14"/>
      <c r="C59" s="2"/>
      <c r="D59" s="2"/>
      <c r="E59" s="2"/>
      <c r="F59" s="2"/>
      <c r="G59" s="21"/>
      <c r="H59" s="2"/>
      <c r="I59" s="19"/>
      <c r="J59" s="2" t="str">
        <f t="shared" si="2"/>
        <v/>
      </c>
      <c r="K59" s="5" t="str">
        <f t="shared" si="1"/>
        <v/>
      </c>
      <c r="M59" s="2" t="s">
        <v>95</v>
      </c>
      <c r="N59" s="4">
        <v>46880</v>
      </c>
      <c r="O59" s="4">
        <v>500000</v>
      </c>
      <c r="P59" s="4">
        <v>1000000</v>
      </c>
      <c r="Q59" s="4">
        <v>4000000</v>
      </c>
    </row>
    <row r="60" spans="2:17" hidden="1" x14ac:dyDescent="0.3">
      <c r="B60" s="14"/>
      <c r="C60" s="2"/>
      <c r="D60" s="2"/>
      <c r="E60" s="2"/>
      <c r="F60" s="2"/>
      <c r="G60" s="21"/>
      <c r="H60" s="2"/>
      <c r="I60" s="19"/>
      <c r="J60" s="2" t="str">
        <f t="shared" si="2"/>
        <v/>
      </c>
      <c r="K60" s="5" t="str">
        <f t="shared" si="1"/>
        <v/>
      </c>
      <c r="M60" s="2" t="s">
        <v>96</v>
      </c>
      <c r="N60" s="4">
        <v>93750</v>
      </c>
      <c r="O60" s="4">
        <v>1000000</v>
      </c>
      <c r="P60" s="4">
        <v>2000000</v>
      </c>
      <c r="Q60" s="4">
        <v>8000000</v>
      </c>
    </row>
    <row r="61" spans="2:17" hidden="1" x14ac:dyDescent="0.3">
      <c r="B61" s="14"/>
      <c r="C61" s="2"/>
      <c r="D61" s="2"/>
      <c r="E61" s="2"/>
      <c r="F61" s="2"/>
      <c r="G61" s="21"/>
      <c r="H61" s="2"/>
      <c r="I61" s="19"/>
      <c r="J61" s="2" t="str">
        <f t="shared" si="2"/>
        <v/>
      </c>
      <c r="K61" s="5" t="str">
        <f t="shared" si="1"/>
        <v/>
      </c>
      <c r="M61" s="2" t="s">
        <v>97</v>
      </c>
      <c r="N61" s="4">
        <v>30000</v>
      </c>
      <c r="O61" s="4">
        <v>320000</v>
      </c>
      <c r="P61" s="4">
        <v>640000</v>
      </c>
      <c r="Q61" s="4">
        <v>2560000</v>
      </c>
    </row>
    <row r="62" spans="2:17" hidden="1" x14ac:dyDescent="0.3">
      <c r="B62" s="14"/>
      <c r="C62" s="2"/>
      <c r="D62" s="2"/>
      <c r="E62" s="2"/>
      <c r="F62" s="2"/>
      <c r="G62" s="21"/>
      <c r="H62" s="2"/>
      <c r="I62" s="19"/>
      <c r="J62" s="2" t="str">
        <f t="shared" si="2"/>
        <v/>
      </c>
      <c r="K62" s="5" t="str">
        <f t="shared" si="1"/>
        <v/>
      </c>
      <c r="M62" s="2" t="s">
        <v>98</v>
      </c>
      <c r="N62" s="4">
        <v>60000</v>
      </c>
      <c r="O62" s="4">
        <v>640000</v>
      </c>
      <c r="P62" s="4">
        <v>1280000</v>
      </c>
      <c r="Q62" s="4">
        <v>5120000</v>
      </c>
    </row>
    <row r="63" spans="2:17" hidden="1" x14ac:dyDescent="0.3">
      <c r="B63" s="14"/>
      <c r="C63" s="2"/>
      <c r="D63" s="2"/>
      <c r="E63" s="2"/>
      <c r="F63" s="2"/>
      <c r="G63" s="21"/>
      <c r="H63" s="2"/>
      <c r="I63" s="19"/>
      <c r="J63" s="2" t="str">
        <f t="shared" si="2"/>
        <v/>
      </c>
      <c r="K63" s="5" t="str">
        <f t="shared" si="1"/>
        <v/>
      </c>
      <c r="M63" s="2" t="s">
        <v>99</v>
      </c>
      <c r="N63" s="4">
        <v>307</v>
      </c>
      <c r="O63" s="4">
        <v>3270</v>
      </c>
      <c r="P63" s="4">
        <v>6540</v>
      </c>
      <c r="Q63" s="4">
        <v>26160</v>
      </c>
    </row>
    <row r="64" spans="2:17" hidden="1" x14ac:dyDescent="0.3">
      <c r="B64" s="14"/>
      <c r="C64" s="2"/>
      <c r="D64" s="2"/>
      <c r="E64" s="2"/>
      <c r="F64" s="2"/>
      <c r="G64" s="21"/>
      <c r="H64" s="2"/>
      <c r="I64" s="19"/>
      <c r="J64" s="2" t="str">
        <f t="shared" si="2"/>
        <v/>
      </c>
      <c r="K64" s="5" t="str">
        <f t="shared" si="1"/>
        <v/>
      </c>
      <c r="M64" s="2" t="s">
        <v>100</v>
      </c>
      <c r="N64" s="4">
        <v>1151</v>
      </c>
      <c r="O64" s="4">
        <v>12280</v>
      </c>
      <c r="P64" s="4">
        <v>24560</v>
      </c>
      <c r="Q64" s="4">
        <v>98240</v>
      </c>
    </row>
    <row r="65" spans="2:17" hidden="1" x14ac:dyDescent="0.3">
      <c r="B65" s="14"/>
      <c r="C65" s="2"/>
      <c r="D65" s="2"/>
      <c r="E65" s="2"/>
      <c r="F65" s="2"/>
      <c r="G65" s="21"/>
      <c r="H65" s="2"/>
      <c r="I65" s="19"/>
      <c r="J65" s="2" t="str">
        <f t="shared" si="2"/>
        <v/>
      </c>
      <c r="K65" s="5" t="str">
        <f t="shared" si="1"/>
        <v/>
      </c>
      <c r="M65" s="2" t="s">
        <v>101</v>
      </c>
      <c r="N65" s="4">
        <v>600</v>
      </c>
      <c r="O65" s="4">
        <v>6400</v>
      </c>
      <c r="P65" s="4">
        <v>12800</v>
      </c>
      <c r="Q65" s="4">
        <v>51200</v>
      </c>
    </row>
    <row r="66" spans="2:17" hidden="1" x14ac:dyDescent="0.3">
      <c r="B66" s="14"/>
      <c r="C66" s="2"/>
      <c r="D66" s="2"/>
      <c r="E66" s="2"/>
      <c r="F66" s="2"/>
      <c r="G66" s="21"/>
      <c r="H66" s="2"/>
      <c r="I66" s="19"/>
      <c r="J66" s="2" t="str">
        <f t="shared" si="2"/>
        <v/>
      </c>
      <c r="K66" s="5" t="str">
        <f t="shared" si="1"/>
        <v/>
      </c>
      <c r="M66" s="2" t="s">
        <v>102</v>
      </c>
      <c r="N66" s="4">
        <v>4854</v>
      </c>
      <c r="O66" s="4">
        <v>51780</v>
      </c>
      <c r="P66" s="4">
        <v>103560</v>
      </c>
      <c r="Q66" s="4">
        <v>414240</v>
      </c>
    </row>
    <row r="67" spans="2:17" hidden="1" x14ac:dyDescent="0.3">
      <c r="B67" s="14"/>
      <c r="C67" s="2"/>
      <c r="D67" s="2"/>
      <c r="E67" s="2"/>
      <c r="F67" s="2"/>
      <c r="G67" s="21"/>
      <c r="H67" s="2"/>
      <c r="I67" s="19"/>
      <c r="J67" s="2" t="str">
        <f t="shared" si="2"/>
        <v/>
      </c>
      <c r="K67" s="5" t="str">
        <f t="shared" si="1"/>
        <v/>
      </c>
      <c r="M67" s="2" t="s">
        <v>103</v>
      </c>
      <c r="N67" s="4">
        <v>9300</v>
      </c>
      <c r="O67" s="4">
        <v>99220</v>
      </c>
      <c r="P67" s="4">
        <v>198440</v>
      </c>
      <c r="Q67" s="4">
        <v>793760</v>
      </c>
    </row>
    <row r="68" spans="2:17" hidden="1" x14ac:dyDescent="0.3">
      <c r="B68" s="14"/>
      <c r="C68" s="2"/>
      <c r="D68" s="2"/>
      <c r="E68" s="2"/>
      <c r="F68" s="2"/>
      <c r="G68" s="21"/>
      <c r="H68" s="2"/>
      <c r="I68" s="19"/>
      <c r="J68" s="2" t="str">
        <f t="shared" si="2"/>
        <v/>
      </c>
      <c r="K68" s="5" t="str">
        <f t="shared" si="1"/>
        <v/>
      </c>
      <c r="M68" s="2" t="s">
        <v>104</v>
      </c>
      <c r="N68" s="4">
        <v>2456</v>
      </c>
      <c r="O68" s="4">
        <v>26200</v>
      </c>
      <c r="P68" s="4">
        <v>52400</v>
      </c>
      <c r="Q68" s="4">
        <v>209600</v>
      </c>
    </row>
    <row r="69" spans="2:17" hidden="1" x14ac:dyDescent="0.3">
      <c r="B69" s="14"/>
      <c r="C69" s="2"/>
      <c r="D69" s="2"/>
      <c r="E69" s="2"/>
      <c r="F69" s="2"/>
      <c r="G69" s="19"/>
      <c r="H69" s="2"/>
      <c r="I69" s="19"/>
      <c r="J69" s="2" t="str">
        <f t="shared" si="2"/>
        <v/>
      </c>
      <c r="K69" s="5" t="str">
        <f t="shared" si="1"/>
        <v/>
      </c>
      <c r="M69" s="2" t="s">
        <v>105</v>
      </c>
      <c r="N69" s="4">
        <v>10404</v>
      </c>
      <c r="O69" s="4">
        <v>111000</v>
      </c>
      <c r="P69" s="4">
        <v>222000</v>
      </c>
      <c r="Q69" s="4">
        <v>888000</v>
      </c>
    </row>
    <row r="70" spans="2:17" hidden="1" x14ac:dyDescent="0.3">
      <c r="B70" s="14"/>
      <c r="C70" s="2"/>
      <c r="D70" s="2"/>
      <c r="E70" s="2"/>
      <c r="F70" s="2"/>
      <c r="G70" s="19"/>
      <c r="H70" s="2"/>
      <c r="I70" s="19"/>
      <c r="J70" s="2" t="str">
        <f t="shared" si="2"/>
        <v/>
      </c>
      <c r="K70" s="5" t="str">
        <f t="shared" si="1"/>
        <v/>
      </c>
      <c r="M70" s="2" t="s">
        <v>106</v>
      </c>
      <c r="N70" s="4">
        <v>50146</v>
      </c>
      <c r="O70" s="4">
        <v>535000</v>
      </c>
      <c r="P70" s="4">
        <v>1070000</v>
      </c>
      <c r="Q70" s="4">
        <v>4280000</v>
      </c>
    </row>
    <row r="71" spans="2:17" hidden="1" x14ac:dyDescent="0.3">
      <c r="B71" s="14"/>
      <c r="C71" s="2"/>
      <c r="D71" s="2"/>
      <c r="E71" s="2"/>
      <c r="F71" s="2"/>
      <c r="G71" s="19"/>
      <c r="H71" s="2"/>
      <c r="I71" s="19"/>
      <c r="J71" s="2" t="str">
        <f t="shared" si="2"/>
        <v/>
      </c>
      <c r="K71" s="5" t="str">
        <f t="shared" si="1"/>
        <v/>
      </c>
      <c r="M71" s="2" t="s">
        <v>107</v>
      </c>
      <c r="N71" s="4">
        <v>508954</v>
      </c>
      <c r="O71" s="4">
        <v>5430000</v>
      </c>
      <c r="P71" s="4">
        <v>10860000</v>
      </c>
      <c r="Q71" s="4">
        <v>43440000</v>
      </c>
    </row>
    <row r="72" spans="2:17" hidden="1" x14ac:dyDescent="0.3">
      <c r="B72" s="14"/>
      <c r="C72" s="2"/>
      <c r="D72" s="2"/>
      <c r="E72" s="2"/>
      <c r="F72" s="2"/>
      <c r="G72" s="19"/>
      <c r="H72" s="2"/>
      <c r="I72" s="19"/>
      <c r="J72" s="2" t="str">
        <f t="shared" si="2"/>
        <v/>
      </c>
      <c r="K72" s="5" t="str">
        <f t="shared" si="1"/>
        <v/>
      </c>
      <c r="M72" s="2" t="s">
        <v>108</v>
      </c>
      <c r="N72" s="4">
        <v>199645</v>
      </c>
      <c r="O72" s="4">
        <v>2130000</v>
      </c>
      <c r="P72" s="4">
        <v>4260000</v>
      </c>
      <c r="Q72" s="4">
        <v>8520000</v>
      </c>
    </row>
    <row r="73" spans="2:17" hidden="1" x14ac:dyDescent="0.3">
      <c r="B73" s="14"/>
      <c r="C73" s="2"/>
      <c r="D73" s="2"/>
      <c r="E73" s="2"/>
      <c r="F73" s="2"/>
      <c r="G73" s="19"/>
      <c r="H73" s="2"/>
      <c r="I73" s="19"/>
      <c r="J73" s="2" t="str">
        <f t="shared" si="2"/>
        <v/>
      </c>
      <c r="K73" s="5" t="str">
        <f t="shared" si="1"/>
        <v/>
      </c>
    </row>
    <row r="74" spans="2:17" hidden="1" x14ac:dyDescent="0.3">
      <c r="B74" s="14"/>
      <c r="C74" s="2"/>
      <c r="D74" s="2"/>
      <c r="E74" s="2"/>
      <c r="F74" s="2"/>
      <c r="G74" s="19"/>
      <c r="H74" s="2"/>
      <c r="I74" s="19"/>
      <c r="J74" s="2" t="str">
        <f t="shared" ref="J74:J100" si="3">IF(E74="","",VLOOKUP(E74,SpindleTable,VLOOKUP(C74,ViscometerTable,2,FALSE),FALSE))</f>
        <v/>
      </c>
      <c r="K74" s="5" t="str">
        <f t="shared" si="1"/>
        <v/>
      </c>
      <c r="M74" s="9" t="s">
        <v>38</v>
      </c>
    </row>
    <row r="75" spans="2:17" hidden="1" x14ac:dyDescent="0.3">
      <c r="B75" s="14"/>
      <c r="C75" s="2"/>
      <c r="D75" s="2"/>
      <c r="E75" s="2"/>
      <c r="F75" s="2"/>
      <c r="G75" s="19"/>
      <c r="H75" s="2"/>
      <c r="I75" s="19"/>
      <c r="J75" s="2" t="str">
        <f t="shared" si="3"/>
        <v/>
      </c>
      <c r="K75" s="5" t="str">
        <f t="shared" ref="K75:K100" si="4">IF(H75="","",H75/((J75/F75)/100))</f>
        <v/>
      </c>
      <c r="M75" s="13" t="s">
        <v>44</v>
      </c>
    </row>
    <row r="76" spans="2:17" hidden="1" x14ac:dyDescent="0.3">
      <c r="B76" s="14"/>
      <c r="C76" s="2"/>
      <c r="D76" s="2"/>
      <c r="E76" s="2"/>
      <c r="F76" s="2"/>
      <c r="G76" s="19"/>
      <c r="H76" s="2"/>
      <c r="I76" s="19"/>
      <c r="J76" s="2" t="str">
        <f t="shared" si="3"/>
        <v/>
      </c>
      <c r="K76" s="5" t="str">
        <f t="shared" si="4"/>
        <v/>
      </c>
      <c r="M76" t="s">
        <v>45</v>
      </c>
    </row>
    <row r="77" spans="2:17" hidden="1" x14ac:dyDescent="0.3">
      <c r="B77" s="14"/>
      <c r="C77" s="2"/>
      <c r="D77" s="2"/>
      <c r="E77" s="2"/>
      <c r="F77" s="2"/>
      <c r="G77" s="19"/>
      <c r="H77" s="2"/>
      <c r="I77" s="19"/>
      <c r="J77" s="2" t="str">
        <f t="shared" si="3"/>
        <v/>
      </c>
      <c r="K77" s="5" t="str">
        <f t="shared" si="4"/>
        <v/>
      </c>
      <c r="M77" t="s">
        <v>37</v>
      </c>
    </row>
    <row r="78" spans="2:17" hidden="1" x14ac:dyDescent="0.3">
      <c r="B78" s="14"/>
      <c r="C78" s="2"/>
      <c r="D78" s="2"/>
      <c r="E78" s="2"/>
      <c r="F78" s="2"/>
      <c r="G78" s="19"/>
      <c r="H78" s="2"/>
      <c r="I78" s="19"/>
      <c r="J78" s="2" t="str">
        <f t="shared" si="3"/>
        <v/>
      </c>
      <c r="K78" s="5" t="str">
        <f t="shared" si="4"/>
        <v/>
      </c>
    </row>
    <row r="79" spans="2:17" hidden="1" x14ac:dyDescent="0.3">
      <c r="B79" s="14"/>
      <c r="C79" s="2"/>
      <c r="D79" s="2"/>
      <c r="E79" s="2"/>
      <c r="F79" s="2"/>
      <c r="G79" s="19"/>
      <c r="H79" s="2"/>
      <c r="I79" s="19"/>
      <c r="J79" s="2" t="str">
        <f t="shared" si="3"/>
        <v/>
      </c>
      <c r="K79" s="5" t="str">
        <f t="shared" si="4"/>
        <v/>
      </c>
    </row>
    <row r="80" spans="2:17" hidden="1" x14ac:dyDescent="0.3">
      <c r="B80" s="14"/>
      <c r="C80" s="2"/>
      <c r="D80" s="2"/>
      <c r="E80" s="2"/>
      <c r="F80" s="2"/>
      <c r="G80" s="19"/>
      <c r="H80" s="2"/>
      <c r="I80" s="19"/>
      <c r="J80" s="2" t="str">
        <f t="shared" si="3"/>
        <v/>
      </c>
      <c r="K80" s="5" t="str">
        <f t="shared" si="4"/>
        <v/>
      </c>
    </row>
    <row r="81" spans="2:13" hidden="1" x14ac:dyDescent="0.3">
      <c r="B81" s="14"/>
      <c r="C81" s="2"/>
      <c r="D81" s="2"/>
      <c r="E81" s="2"/>
      <c r="F81" s="2"/>
      <c r="G81" s="19"/>
      <c r="H81" s="2"/>
      <c r="I81" s="19"/>
      <c r="J81" s="2" t="str">
        <f t="shared" si="3"/>
        <v/>
      </c>
      <c r="K81" s="5" t="str">
        <f t="shared" si="4"/>
        <v/>
      </c>
    </row>
    <row r="82" spans="2:13" hidden="1" x14ac:dyDescent="0.3">
      <c r="B82" s="14"/>
      <c r="C82" s="2"/>
      <c r="D82" s="2"/>
      <c r="E82" s="2"/>
      <c r="F82" s="2"/>
      <c r="G82" s="19"/>
      <c r="H82" s="2"/>
      <c r="I82" s="19"/>
      <c r="J82" s="2" t="str">
        <f t="shared" si="3"/>
        <v/>
      </c>
      <c r="K82" s="5" t="str">
        <f t="shared" si="4"/>
        <v/>
      </c>
    </row>
    <row r="83" spans="2:13" hidden="1" x14ac:dyDescent="0.3">
      <c r="B83" s="14"/>
      <c r="C83" s="2"/>
      <c r="D83" s="2"/>
      <c r="E83" s="2"/>
      <c r="F83" s="2"/>
      <c r="G83" s="19"/>
      <c r="H83" s="2"/>
      <c r="I83" s="19"/>
      <c r="J83" s="2" t="str">
        <f t="shared" si="3"/>
        <v/>
      </c>
      <c r="K83" s="5" t="str">
        <f t="shared" si="4"/>
        <v/>
      </c>
    </row>
    <row r="84" spans="2:13" hidden="1" x14ac:dyDescent="0.3">
      <c r="B84" s="14"/>
      <c r="C84" s="2"/>
      <c r="D84" s="2"/>
      <c r="E84" s="2"/>
      <c r="F84" s="2"/>
      <c r="G84" s="19"/>
      <c r="H84" s="2"/>
      <c r="I84" s="19"/>
      <c r="J84" s="2" t="str">
        <f t="shared" si="3"/>
        <v/>
      </c>
      <c r="K84" s="5" t="str">
        <f t="shared" si="4"/>
        <v/>
      </c>
    </row>
    <row r="85" spans="2:13" hidden="1" x14ac:dyDescent="0.3">
      <c r="B85" s="14"/>
      <c r="C85" s="2"/>
      <c r="D85" s="2"/>
      <c r="E85" s="2"/>
      <c r="F85" s="2"/>
      <c r="G85" s="19"/>
      <c r="H85" s="2"/>
      <c r="I85" s="19"/>
      <c r="J85" s="2" t="str">
        <f t="shared" si="3"/>
        <v/>
      </c>
      <c r="K85" s="5" t="str">
        <f t="shared" si="4"/>
        <v/>
      </c>
    </row>
    <row r="86" spans="2:13" hidden="1" x14ac:dyDescent="0.3">
      <c r="B86" s="14"/>
      <c r="C86" s="2"/>
      <c r="D86" s="2"/>
      <c r="E86" s="2"/>
      <c r="F86" s="2"/>
      <c r="G86" s="19"/>
      <c r="H86" s="2"/>
      <c r="I86" s="19"/>
      <c r="J86" s="2" t="str">
        <f t="shared" si="3"/>
        <v/>
      </c>
      <c r="K86" s="5" t="str">
        <f t="shared" si="4"/>
        <v/>
      </c>
    </row>
    <row r="87" spans="2:13" hidden="1" x14ac:dyDescent="0.3">
      <c r="B87" s="14"/>
      <c r="C87" s="2"/>
      <c r="D87" s="2"/>
      <c r="E87" s="2"/>
      <c r="F87" s="2"/>
      <c r="G87" s="19"/>
      <c r="H87" s="2"/>
      <c r="I87" s="19"/>
      <c r="J87" s="2" t="str">
        <f t="shared" si="3"/>
        <v/>
      </c>
      <c r="K87" s="5" t="str">
        <f t="shared" si="4"/>
        <v/>
      </c>
    </row>
    <row r="88" spans="2:13" hidden="1" x14ac:dyDescent="0.3">
      <c r="B88" s="14"/>
      <c r="C88" s="2"/>
      <c r="D88" s="2"/>
      <c r="E88" s="2"/>
      <c r="F88" s="2"/>
      <c r="G88" s="19"/>
      <c r="H88" s="2"/>
      <c r="I88" s="19"/>
      <c r="J88" s="2" t="str">
        <f t="shared" si="3"/>
        <v/>
      </c>
      <c r="K88" s="5" t="str">
        <f t="shared" si="4"/>
        <v/>
      </c>
    </row>
    <row r="89" spans="2:13" hidden="1" x14ac:dyDescent="0.3">
      <c r="B89" s="14"/>
      <c r="C89" s="2"/>
      <c r="D89" s="2"/>
      <c r="E89" s="2"/>
      <c r="F89" s="2"/>
      <c r="G89" s="19"/>
      <c r="H89" s="2"/>
      <c r="I89" s="19"/>
      <c r="J89" s="2" t="str">
        <f t="shared" si="3"/>
        <v/>
      </c>
      <c r="K89" s="5" t="str">
        <f t="shared" si="4"/>
        <v/>
      </c>
    </row>
    <row r="90" spans="2:13" hidden="1" x14ac:dyDescent="0.3">
      <c r="B90" s="14"/>
      <c r="C90" s="2"/>
      <c r="D90" s="2"/>
      <c r="E90" s="2"/>
      <c r="F90" s="2"/>
      <c r="G90" s="19"/>
      <c r="H90" s="2"/>
      <c r="I90" s="19"/>
      <c r="J90" s="2" t="str">
        <f t="shared" si="3"/>
        <v/>
      </c>
      <c r="K90" s="5" t="str">
        <f t="shared" si="4"/>
        <v/>
      </c>
      <c r="M90" s="12"/>
    </row>
    <row r="91" spans="2:13" hidden="1" x14ac:dyDescent="0.3">
      <c r="B91" s="14"/>
      <c r="C91" s="2"/>
      <c r="D91" s="2"/>
      <c r="E91" s="2"/>
      <c r="F91" s="2"/>
      <c r="G91" s="19"/>
      <c r="H91" s="2"/>
      <c r="I91" s="19"/>
      <c r="J91" s="2" t="str">
        <f t="shared" si="3"/>
        <v/>
      </c>
      <c r="K91" s="5" t="str">
        <f t="shared" si="4"/>
        <v/>
      </c>
      <c r="M91" s="12"/>
    </row>
    <row r="92" spans="2:13" hidden="1" x14ac:dyDescent="0.3">
      <c r="B92" s="14"/>
      <c r="C92" s="2"/>
      <c r="D92" s="2"/>
      <c r="E92" s="2"/>
      <c r="F92" s="2"/>
      <c r="G92" s="19"/>
      <c r="H92" s="2"/>
      <c r="I92" s="19"/>
      <c r="J92" s="2" t="str">
        <f t="shared" si="3"/>
        <v/>
      </c>
      <c r="K92" s="5" t="str">
        <f t="shared" si="4"/>
        <v/>
      </c>
      <c r="M92" s="12"/>
    </row>
    <row r="93" spans="2:13" hidden="1" x14ac:dyDescent="0.3">
      <c r="B93" s="14"/>
      <c r="C93" s="2"/>
      <c r="D93" s="2"/>
      <c r="E93" s="2"/>
      <c r="F93" s="2"/>
      <c r="G93" s="19"/>
      <c r="H93" s="2"/>
      <c r="I93" s="19"/>
      <c r="J93" s="2" t="str">
        <f t="shared" si="3"/>
        <v/>
      </c>
      <c r="K93" s="5" t="str">
        <f t="shared" si="4"/>
        <v/>
      </c>
      <c r="M93" s="12"/>
    </row>
    <row r="94" spans="2:13" hidden="1" x14ac:dyDescent="0.3">
      <c r="B94" s="14"/>
      <c r="C94" s="2"/>
      <c r="D94" s="2"/>
      <c r="E94" s="2"/>
      <c r="F94" s="2"/>
      <c r="G94" s="19"/>
      <c r="H94" s="2"/>
      <c r="I94" s="19"/>
      <c r="J94" s="2" t="str">
        <f t="shared" si="3"/>
        <v/>
      </c>
      <c r="K94" s="5" t="str">
        <f t="shared" si="4"/>
        <v/>
      </c>
      <c r="M94" s="12"/>
    </row>
    <row r="95" spans="2:13" hidden="1" x14ac:dyDescent="0.3">
      <c r="B95" s="14"/>
      <c r="C95" s="2"/>
      <c r="D95" s="2"/>
      <c r="E95" s="2"/>
      <c r="F95" s="2"/>
      <c r="G95" s="19"/>
      <c r="H95" s="2"/>
      <c r="I95" s="19"/>
      <c r="J95" s="2" t="str">
        <f t="shared" si="3"/>
        <v/>
      </c>
      <c r="K95" s="5" t="str">
        <f t="shared" si="4"/>
        <v/>
      </c>
      <c r="M95" s="12"/>
    </row>
    <row r="96" spans="2:13" hidden="1" x14ac:dyDescent="0.3">
      <c r="B96" s="14"/>
      <c r="C96" s="2"/>
      <c r="D96" s="2"/>
      <c r="E96" s="2"/>
      <c r="F96" s="2"/>
      <c r="G96" s="19"/>
      <c r="H96" s="2"/>
      <c r="I96" s="19"/>
      <c r="J96" s="2" t="str">
        <f t="shared" si="3"/>
        <v/>
      </c>
      <c r="K96" s="5" t="str">
        <f t="shared" si="4"/>
        <v/>
      </c>
      <c r="M96" s="12"/>
    </row>
    <row r="97" spans="2:13" hidden="1" x14ac:dyDescent="0.3">
      <c r="B97" s="14"/>
      <c r="C97" s="2"/>
      <c r="D97" s="2"/>
      <c r="E97" s="2"/>
      <c r="F97" s="2"/>
      <c r="G97" s="19"/>
      <c r="H97" s="2"/>
      <c r="I97" s="19"/>
      <c r="J97" s="2" t="str">
        <f t="shared" si="3"/>
        <v/>
      </c>
      <c r="K97" s="5" t="str">
        <f t="shared" si="4"/>
        <v/>
      </c>
      <c r="M97" s="12"/>
    </row>
    <row r="98" spans="2:13" hidden="1" x14ac:dyDescent="0.3">
      <c r="B98" s="14"/>
      <c r="C98" s="2"/>
      <c r="D98" s="2"/>
      <c r="E98" s="2"/>
      <c r="F98" s="2"/>
      <c r="G98" s="19"/>
      <c r="H98" s="2"/>
      <c r="I98" s="19"/>
      <c r="J98" s="2" t="str">
        <f t="shared" si="3"/>
        <v/>
      </c>
      <c r="K98" s="5" t="str">
        <f t="shared" si="4"/>
        <v/>
      </c>
      <c r="M98" s="12"/>
    </row>
    <row r="99" spans="2:13" hidden="1" x14ac:dyDescent="0.3">
      <c r="B99" s="14"/>
      <c r="C99" s="2"/>
      <c r="D99" s="2"/>
      <c r="E99" s="2"/>
      <c r="F99" s="2"/>
      <c r="G99" s="19"/>
      <c r="H99" s="2"/>
      <c r="I99" s="19"/>
      <c r="J99" s="2" t="str">
        <f t="shared" si="3"/>
        <v/>
      </c>
      <c r="K99" s="5" t="str">
        <f t="shared" si="4"/>
        <v/>
      </c>
      <c r="M99" s="12"/>
    </row>
    <row r="100" spans="2:13" hidden="1" x14ac:dyDescent="0.3">
      <c r="B100" s="14"/>
      <c r="C100" s="2"/>
      <c r="D100" s="2"/>
      <c r="E100" s="2"/>
      <c r="F100" s="2"/>
      <c r="G100" s="19"/>
      <c r="H100" s="2"/>
      <c r="I100" s="19"/>
      <c r="J100" s="2" t="str">
        <f t="shared" si="3"/>
        <v/>
      </c>
      <c r="K100" s="5" t="str">
        <f t="shared" si="4"/>
        <v/>
      </c>
      <c r="M100" s="12"/>
    </row>
    <row r="101" spans="2:13" x14ac:dyDescent="0.3">
      <c r="J101" s="17"/>
      <c r="K101" s="17"/>
    </row>
  </sheetData>
  <mergeCells count="1">
    <mergeCell ref="B3:K3"/>
  </mergeCells>
  <phoneticPr fontId="2" type="noConversion"/>
  <dataValidations count="3">
    <dataValidation type="list" allowBlank="1" showInputMessage="1" showErrorMessage="1" sqref="C10:C100" xr:uid="{6D354D5D-AE93-4F5F-AA12-095C779CFF7A}">
      <formula1>"LV,RV,HA,HB"</formula1>
    </dataValidation>
    <dataValidation type="list" allowBlank="1" showInputMessage="1" showErrorMessage="1" sqref="D10:D100" xr:uid="{490E601D-655A-4181-81D8-FD8175A5B853}">
      <formula1>"on,off"</formula1>
    </dataValidation>
    <dataValidation type="list" showInputMessage="1" sqref="E10:E100" xr:uid="{F978D0EE-686D-45AE-8F50-6D5D35B8BEA7}">
      <formula1>Spindles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AB6EF-0179-43A5-9692-7DB2EAEED050}">
  <sheetPr codeName="Sheet2"/>
  <dimension ref="B3:F10"/>
  <sheetViews>
    <sheetView showGridLines="0" workbookViewId="0">
      <selection activeCell="E14" sqref="E14"/>
    </sheetView>
  </sheetViews>
  <sheetFormatPr defaultRowHeight="14.4" x14ac:dyDescent="0.3"/>
  <cols>
    <col min="3" max="3" width="10.21875" bestFit="1" customWidth="1"/>
    <col min="6" max="6" width="13.5546875" bestFit="1" customWidth="1"/>
  </cols>
  <sheetData>
    <row r="3" spans="2:6" x14ac:dyDescent="0.3">
      <c r="C3" s="3" t="s">
        <v>11</v>
      </c>
      <c r="D3" s="3" t="s">
        <v>2</v>
      </c>
      <c r="E3" s="3" t="s">
        <v>18</v>
      </c>
    </row>
    <row r="4" spans="2:6" x14ac:dyDescent="0.3">
      <c r="B4" t="s">
        <v>19</v>
      </c>
      <c r="C4" s="2" t="s">
        <v>20</v>
      </c>
      <c r="D4" s="2" t="s">
        <v>9</v>
      </c>
      <c r="E4" s="2" t="s">
        <v>21</v>
      </c>
    </row>
    <row r="5" spans="2:6" x14ac:dyDescent="0.3">
      <c r="B5" t="s">
        <v>22</v>
      </c>
      <c r="C5" s="2" t="s">
        <v>20</v>
      </c>
      <c r="D5" s="2" t="s">
        <v>9</v>
      </c>
      <c r="E5" s="2" t="s">
        <v>21</v>
      </c>
    </row>
    <row r="6" spans="2:6" x14ac:dyDescent="0.3">
      <c r="B6" t="s">
        <v>23</v>
      </c>
      <c r="C6" s="2"/>
      <c r="D6" s="2"/>
      <c r="E6" s="2"/>
      <c r="F6" t="s">
        <v>24</v>
      </c>
    </row>
    <row r="7" spans="2:6" x14ac:dyDescent="0.3">
      <c r="B7" t="s">
        <v>25</v>
      </c>
      <c r="C7" s="2" t="s">
        <v>20</v>
      </c>
      <c r="D7" s="2" t="s">
        <v>9</v>
      </c>
      <c r="E7" s="2" t="s">
        <v>21</v>
      </c>
      <c r="F7" s="9" t="s">
        <v>26</v>
      </c>
    </row>
    <row r="8" spans="2:6" x14ac:dyDescent="0.3">
      <c r="B8" t="s">
        <v>27</v>
      </c>
      <c r="C8" s="2" t="s">
        <v>20</v>
      </c>
      <c r="D8" s="2" t="s">
        <v>10</v>
      </c>
      <c r="E8" s="2" t="s">
        <v>43</v>
      </c>
      <c r="F8" s="8" t="s">
        <v>28</v>
      </c>
    </row>
    <row r="9" spans="2:6" x14ac:dyDescent="0.3">
      <c r="B9" t="s">
        <v>29</v>
      </c>
      <c r="C9" s="2" t="s">
        <v>20</v>
      </c>
      <c r="D9" s="2" t="s">
        <v>8</v>
      </c>
      <c r="E9" s="2" t="s">
        <v>21</v>
      </c>
      <c r="F9" s="8" t="s">
        <v>30</v>
      </c>
    </row>
    <row r="10" spans="2:6" x14ac:dyDescent="0.3">
      <c r="B10" t="s">
        <v>31</v>
      </c>
      <c r="C10" s="2" t="s">
        <v>20</v>
      </c>
      <c r="D10" s="2" t="s">
        <v>8</v>
      </c>
      <c r="E10" s="2" t="s">
        <v>21</v>
      </c>
      <c r="F10" s="8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Sheet1</vt:lpstr>
      <vt:lpstr>Sheet2</vt:lpstr>
      <vt:lpstr>rAddRow</vt:lpstr>
      <vt:lpstr>rTable</vt:lpstr>
      <vt:lpstr>Spindles</vt:lpstr>
      <vt:lpstr>SpindleTable</vt:lpstr>
      <vt:lpstr>ViscometerTable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Christopher Henry</dc:creator>
  <cp:lastModifiedBy>Christopher Henry</cp:lastModifiedBy>
  <dcterms:created xsi:type="dcterms:W3CDTF">2015-06-05T18:17:20Z</dcterms:created>
  <dcterms:modified xsi:type="dcterms:W3CDTF">2021-10-25T19:44:16Z</dcterms:modified>
</cp:coreProperties>
</file>