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aleon-my.sharepoint.com/personal/christopher_g_henry_haleon_com/Documents/Desktop/Templates/Current/"/>
    </mc:Choice>
  </mc:AlternateContent>
  <xr:revisionPtr revIDLastSave="55" documentId="8_{8663DDD0-3E41-4801-9A83-2C64FAE73881}" xr6:coauthVersionLast="47" xr6:coauthVersionMax="47" xr10:uidLastSave="{4FFD4BEE-9BFA-4C09-9317-F7780329A14D}"/>
  <bookViews>
    <workbookView xWindow="-108" yWindow="-108" windowWidth="23256" windowHeight="12576" xr2:uid="{C163719C-C896-41E4-986B-A4C153DA8D13}"/>
  </bookViews>
  <sheets>
    <sheet name="How It Works" sheetId="6" r:id="rId1"/>
    <sheet name="CU Tier 1" sheetId="1" state="hidden" r:id="rId2"/>
    <sheet name="CU Tier 2" sheetId="4" state="hidden" r:id="rId3"/>
    <sheet name="WV Tier 1" sheetId="3" state="hidden" r:id="rId4"/>
    <sheet name="WV Tier 2" sheetId="5" state="hidden" r:id="rId5"/>
    <sheet name="HiddenSheet" sheetId="7" state="hidden" r:id="rId6"/>
  </sheets>
  <definedNames>
    <definedName name="Capsules">HiddenSheet!$D$5:$D$9</definedName>
    <definedName name="CU1_Assay">'CU Tier 1'!$C$6:$C$15</definedName>
    <definedName name="CU1_Average">'CU Tier 1'!$G$9</definedName>
    <definedName name="CU1_Button">'CU Tier 1'!$G$17</definedName>
    <definedName name="CU1_Target">'CU Tier 1'!$G$11</definedName>
    <definedName name="CU1_Weights">'CU Tier 1'!$B$6:$B$15</definedName>
    <definedName name="CU2_Assay">'CU Tier 2'!$C$6:$C$35</definedName>
    <definedName name="CU2_Average">'CU Tier 2'!$G$9</definedName>
    <definedName name="CU2_Target">'CU Tier 2'!$G$11</definedName>
    <definedName name="CU2_Weights">'CU Tier 2'!$B$6:$B$35</definedName>
    <definedName name="hidden_CUData">HiddenSheet!$C$14:$D$23</definedName>
    <definedName name="hidden_WVData">HiddenSheet!$G$14:$G$23</definedName>
    <definedName name="rContentUniformityButton">'How It Works'!$B$8</definedName>
    <definedName name="rCopyData">'WV Tier 1'!$B$17</definedName>
    <definedName name="rCopyDataButton">'CU Tier 1'!$B$17</definedName>
    <definedName name="rDecisionTree">'How It Works'!$B$13:$F$24</definedName>
    <definedName name="rDecisionTreeButton">'How It Works'!$B$7</definedName>
    <definedName name="rWeightVariationButton">'How It Works'!$B$9</definedName>
    <definedName name="Tablets">HiddenSheet!$C$5:$C$9</definedName>
    <definedName name="type_capsules">HiddenSheet!$J$8:$J$9</definedName>
    <definedName name="type_solids">HiddenSheet!$J$11:$J$12</definedName>
    <definedName name="type_tablets">HiddenSheet!$J$5:$J$6</definedName>
    <definedName name="WV1_Assay">'WV Tier 1'!$C$6:$C$15</definedName>
    <definedName name="WV1_Average">'WV Tier 1'!$G$10</definedName>
    <definedName name="WV1_Button">'WV Tier 1'!$G$18</definedName>
    <definedName name="WV1_Target">'WV Tier 1'!$G$12</definedName>
    <definedName name="WV1_Weights">'WV Tier 1'!$B$6:$B$15</definedName>
    <definedName name="WV2_Assay">'WV Tier 2'!$C$6:$C$35</definedName>
    <definedName name="WV2_Average">'WV Tier 2'!$G$10</definedName>
    <definedName name="WV2_Target">'WV Tier 2'!$G$12</definedName>
    <definedName name="WV2_Weights">'WV Tier 2'!$B$6:$B$35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5" l="1"/>
  <c r="G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6" i="5"/>
  <c r="G6" i="3"/>
  <c r="G8" i="3" s="1"/>
  <c r="C7" i="3"/>
  <c r="C8" i="3"/>
  <c r="C9" i="3"/>
  <c r="C10" i="3"/>
  <c r="C11" i="3"/>
  <c r="C12" i="3"/>
  <c r="C13" i="3"/>
  <c r="C14" i="3"/>
  <c r="C15" i="3"/>
  <c r="C6" i="3"/>
  <c r="G6" i="1" l="1"/>
  <c r="G7" i="1" s="1"/>
  <c r="F4" i="7"/>
  <c r="E4" i="7"/>
  <c r="B6" i="5" l="1"/>
  <c r="B7" i="5"/>
  <c r="B8" i="5"/>
  <c r="B9" i="5"/>
  <c r="B10" i="5"/>
  <c r="B11" i="5"/>
  <c r="B12" i="5"/>
  <c r="B13" i="5"/>
  <c r="B14" i="5"/>
  <c r="G13" i="5"/>
  <c r="K17" i="5" s="1"/>
  <c r="G12" i="4"/>
  <c r="K16" i="4" s="1"/>
  <c r="C7" i="4"/>
  <c r="C8" i="4"/>
  <c r="C9" i="4"/>
  <c r="C10" i="4"/>
  <c r="C11" i="4"/>
  <c r="C12" i="4"/>
  <c r="C13" i="4"/>
  <c r="C14" i="4"/>
  <c r="C15" i="4"/>
  <c r="C6" i="4"/>
  <c r="B7" i="4"/>
  <c r="B8" i="4"/>
  <c r="B9" i="4"/>
  <c r="B10" i="4"/>
  <c r="B11" i="4"/>
  <c r="B12" i="4"/>
  <c r="B13" i="4"/>
  <c r="B14" i="4"/>
  <c r="B15" i="4"/>
  <c r="B6" i="4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J16" i="4" l="1"/>
  <c r="B15" i="5"/>
  <c r="C15" i="5" s="1"/>
  <c r="J17" i="5"/>
  <c r="N9" i="5"/>
  <c r="M9" i="5"/>
  <c r="L9" i="5"/>
  <c r="K9" i="5"/>
  <c r="J9" i="5"/>
  <c r="I9" i="5"/>
  <c r="G9" i="4"/>
  <c r="N10" i="4" s="1"/>
  <c r="G8" i="4"/>
  <c r="G6" i="4"/>
  <c r="G7" i="4" s="1"/>
  <c r="N9" i="3"/>
  <c r="M9" i="3"/>
  <c r="L9" i="3"/>
  <c r="K9" i="3"/>
  <c r="J9" i="3"/>
  <c r="I9" i="3"/>
  <c r="N9" i="4"/>
  <c r="M9" i="4"/>
  <c r="L9" i="4"/>
  <c r="K9" i="4"/>
  <c r="J9" i="4"/>
  <c r="I9" i="4"/>
  <c r="N9" i="1"/>
  <c r="M9" i="1"/>
  <c r="L9" i="1"/>
  <c r="K9" i="1"/>
  <c r="J9" i="1"/>
  <c r="I9" i="1"/>
  <c r="G9" i="1"/>
  <c r="L10" i="1" s="1"/>
  <c r="G8" i="1"/>
  <c r="N12" i="5"/>
  <c r="N12" i="4"/>
  <c r="C14" i="5" l="1"/>
  <c r="C7" i="5"/>
  <c r="C12" i="5"/>
  <c r="C9" i="5"/>
  <c r="C11" i="5"/>
  <c r="C6" i="5"/>
  <c r="C8" i="5"/>
  <c r="C10" i="5"/>
  <c r="C13" i="5"/>
  <c r="G10" i="3"/>
  <c r="I10" i="3" s="1"/>
  <c r="G9" i="3"/>
  <c r="M10" i="1"/>
  <c r="N10" i="1"/>
  <c r="I10" i="1"/>
  <c r="K10" i="1"/>
  <c r="J10" i="1"/>
  <c r="J10" i="4"/>
  <c r="J11" i="4" s="1"/>
  <c r="L10" i="4"/>
  <c r="L11" i="4" s="1"/>
  <c r="G10" i="4"/>
  <c r="M10" i="4"/>
  <c r="M11" i="4" s="1"/>
  <c r="I10" i="4"/>
  <c r="I11" i="4" s="1"/>
  <c r="K10" i="4"/>
  <c r="K11" i="4" s="1"/>
  <c r="N11" i="4"/>
  <c r="I12" i="4"/>
  <c r="L12" i="4"/>
  <c r="J10" i="3" l="1"/>
  <c r="M10" i="3"/>
  <c r="L10" i="3"/>
  <c r="K10" i="3"/>
  <c r="N10" i="3"/>
  <c r="G10" i="5"/>
  <c r="G9" i="5"/>
  <c r="N12" i="3"/>
  <c r="N12" i="1"/>
  <c r="N11" i="1"/>
  <c r="K10" i="5" l="1"/>
  <c r="K11" i="5" s="1"/>
  <c r="I10" i="5"/>
  <c r="I11" i="5" s="1"/>
  <c r="L10" i="5"/>
  <c r="L11" i="5" s="1"/>
  <c r="N10" i="5"/>
  <c r="N11" i="5" s="1"/>
  <c r="M10" i="5"/>
  <c r="M11" i="5" s="1"/>
  <c r="J10" i="5"/>
  <c r="J11" i="5" s="1"/>
  <c r="G13" i="4"/>
  <c r="I16" i="4" s="1"/>
  <c r="L12" i="5"/>
  <c r="I12" i="5"/>
  <c r="G11" i="5"/>
  <c r="L12" i="1"/>
  <c r="I11" i="1"/>
  <c r="L11" i="1"/>
  <c r="J11" i="1"/>
  <c r="M11" i="1"/>
  <c r="I12" i="1"/>
  <c r="K11" i="1"/>
  <c r="G12" i="1" l="1"/>
  <c r="G16" i="4"/>
  <c r="G11" i="3"/>
  <c r="I12" i="3"/>
  <c r="N11" i="3"/>
  <c r="L11" i="3"/>
  <c r="J11" i="3"/>
  <c r="L12" i="3"/>
  <c r="K11" i="3"/>
  <c r="I11" i="3"/>
  <c r="M11" i="3"/>
  <c r="G13" i="3" l="1"/>
  <c r="G14" i="3" s="1"/>
  <c r="G14" i="5"/>
  <c r="I17" i="5" s="1"/>
  <c r="G10" i="1"/>
  <c r="G17" i="3" l="1"/>
  <c r="G18" i="3" s="1"/>
  <c r="G17" i="5"/>
  <c r="G13" i="1"/>
  <c r="G16" i="1" l="1"/>
  <c r="G17" i="1" s="1"/>
</calcChain>
</file>

<file path=xl/sharedStrings.xml><?xml version="1.0" encoding="utf-8"?>
<sst xmlns="http://schemas.openxmlformats.org/spreadsheetml/2006/main" count="276" uniqueCount="86">
  <si>
    <t>k</t>
  </si>
  <si>
    <t>Symbol</t>
  </si>
  <si>
    <t>Definition</t>
  </si>
  <si>
    <t>Stats</t>
  </si>
  <si>
    <t>n</t>
  </si>
  <si>
    <t>sample size</t>
  </si>
  <si>
    <t>stdev</t>
  </si>
  <si>
    <t>sample standard deviation</t>
  </si>
  <si>
    <t>average</t>
  </si>
  <si>
    <t>%RSD</t>
  </si>
  <si>
    <t>T</t>
  </si>
  <si>
    <t>Target Amount (ie, label claim)</t>
  </si>
  <si>
    <t>M</t>
  </si>
  <si>
    <t>Reference Value</t>
  </si>
  <si>
    <t>AV</t>
  </si>
  <si>
    <t>Accetance Value</t>
  </si>
  <si>
    <t>L1</t>
  </si>
  <si>
    <t>Maximum allowed acceptance value</t>
  </si>
  <si>
    <t>L2</t>
  </si>
  <si>
    <t>is AV&lt;L1?</t>
  </si>
  <si>
    <t>Outcome #1</t>
  </si>
  <si>
    <t>Outcome #2</t>
  </si>
  <si>
    <t>%Relative Standard Deviation of weights</t>
  </si>
  <si>
    <t>average tablet weight</t>
  </si>
  <si>
    <t>acceptability constant, based on the value of n</t>
  </si>
  <si>
    <t>Maximum allowed range for deviation of each dosage unit tested from the calculated value of M</t>
  </si>
  <si>
    <t>Assay</t>
  </si>
  <si>
    <t>Weights</t>
  </si>
  <si>
    <t>case 1a</t>
  </si>
  <si>
    <t>case 1b</t>
  </si>
  <si>
    <t>case 1c</t>
  </si>
  <si>
    <t>case 2a</t>
  </si>
  <si>
    <t>case 2b</t>
  </si>
  <si>
    <t>case 2c</t>
  </si>
  <si>
    <t>A</t>
  </si>
  <si>
    <t>AV&lt;L1?</t>
  </si>
  <si>
    <t>&lt;[1-0.01(L2)]M</t>
  </si>
  <si>
    <t>&gt;[1+0.01(L2)]M</t>
  </si>
  <si>
    <t>average assay value</t>
  </si>
  <si>
    <t>%Relative Standard Deviation of Assay Values</t>
  </si>
  <si>
    <t>This is an unvalidated spreadsheet.  All calculated (green) cells should be verified.</t>
  </si>
  <si>
    <t>How It Works</t>
  </si>
  <si>
    <t>average tablet assay</t>
  </si>
  <si>
    <t>%Relative Standard Deviation of Assay</t>
  </si>
  <si>
    <t>&lt;905&gt; Content Uniformity</t>
  </si>
  <si>
    <t>Dosage Form</t>
  </si>
  <si>
    <t>Tablets</t>
  </si>
  <si>
    <t>Capsules</t>
  </si>
  <si>
    <t>Solids in Single Unit Containers</t>
  </si>
  <si>
    <t>Solutions in Unit Dose Containers</t>
  </si>
  <si>
    <t>Others</t>
  </si>
  <si>
    <t>Uncoated</t>
  </si>
  <si>
    <t>Coated</t>
  </si>
  <si>
    <t>Hard</t>
  </si>
  <si>
    <t>Soft</t>
  </si>
  <si>
    <t>Single Component</t>
  </si>
  <si>
    <t>Multi Component</t>
  </si>
  <si>
    <t>Hidden Sheet</t>
  </si>
  <si>
    <t>coated</t>
  </si>
  <si>
    <t>tablets</t>
  </si>
  <si>
    <t>uncoated</t>
  </si>
  <si>
    <t>film</t>
  </si>
  <si>
    <t>others</t>
  </si>
  <si>
    <t>capsules</t>
  </si>
  <si>
    <t>hard</t>
  </si>
  <si>
    <t>soft</t>
  </si>
  <si>
    <t>solutions</t>
  </si>
  <si>
    <t>single unit solids</t>
  </si>
  <si>
    <t>single componment</t>
  </si>
  <si>
    <t>mulit component</t>
  </si>
  <si>
    <t>freeze dried</t>
  </si>
  <si>
    <t>unit dose solutions</t>
  </si>
  <si>
    <t>≥25mg and ≥25%</t>
  </si>
  <si>
    <t>&lt;25mg or &lt;25%</t>
  </si>
  <si>
    <t>WV</t>
  </si>
  <si>
    <t>CU</t>
  </si>
  <si>
    <t>uncoated tablets</t>
  </si>
  <si>
    <t>coated tablets</t>
  </si>
  <si>
    <t>hard capsules</t>
  </si>
  <si>
    <t>soft capsules</t>
  </si>
  <si>
    <t>&lt;905&gt; Weight Variability</t>
  </si>
  <si>
    <t>---</t>
  </si>
  <si>
    <t>Show Decision Tree</t>
  </si>
  <si>
    <t>Copy Demo Data</t>
  </si>
  <si>
    <t>Weight Variation for …</t>
  </si>
  <si>
    <t>Content Uniformity for 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</si>
</sst>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/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/>
      <right style="medium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theme="0" tint="-0.24994659260841701"/>
      </right>
      <top style="thick">
        <color theme="0" tint="-0.2499465926084170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horizontal="center" vertical="center" wrapText="1"/>
    </xf>
    <xf numFmtId="165" fontId="0" fillId="3" borderId="1" xfId="0" applyNumberFormat="1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 vertical="center" wrapText="1"/>
    </xf>
    <xf numFmtId="166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166" fontId="5" fillId="2" borderId="1" xfId="0" applyNumberFormat="1" applyFont="1" applyFill="1" applyBorder="1" applyAlignment="1">
      <alignment horizontal="center" vertical="center"/>
    </xf>
    <xf numFmtId="0" fontId="3" fillId="0" borderId="0" xfId="0" applyFont="1"/>
    <xf numFmtId="2" fontId="0" fillId="2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1" xfId="0" applyBorder="1"/>
    <xf numFmtId="0" fontId="0" fillId="5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5" borderId="5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0" fillId="0" borderId="1" xfId="0" quotePrefix="1" applyBorder="1"/>
    <xf numFmtId="0" fontId="0" fillId="5" borderId="9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0" tint="-0.14996795556505021"/>
        </patternFill>
      </fill>
      <border>
        <left style="hair">
          <color theme="0" tint="-0.34998626667073579"/>
        </left>
        <right style="thin">
          <color theme="0" tint="-0.34998626667073579"/>
        </right>
        <bottom style="thin">
          <color theme="0" tint="-0.34998626667073579"/>
        </bottom>
        <vertical/>
        <horizontal/>
      </border>
    </dxf>
    <dxf>
      <fill>
        <patternFill>
          <bgColor theme="0" tint="-0.14996795556505021"/>
        </patternFill>
      </fill>
      <border>
        <left style="hair">
          <color theme="0" tint="-0.34998626667073579"/>
        </left>
        <right style="thin">
          <color theme="0" tint="-0.34998626667073579"/>
        </right>
        <bottom style="thin">
          <color theme="0" tint="-0.34998626667073579"/>
        </bottom>
        <vertical/>
        <horizontal/>
      </border>
    </dxf>
    <dxf>
      <fill>
        <patternFill>
          <bgColor theme="0" tint="-0.14996795556505021"/>
        </patternFill>
      </fill>
      <border>
        <right style="thin">
          <color theme="0" tint="-0.34998626667073579"/>
        </right>
        <bottom style="thin">
          <color theme="0" tint="-0.34998626667073579"/>
        </bottom>
        <vertical/>
        <horizontal/>
      </border>
    </dxf>
    <dxf>
      <fill>
        <patternFill>
          <bgColor theme="0" tint="-0.14996795556505021"/>
        </patternFill>
      </fill>
      <border>
        <left style="hair">
          <color theme="0" tint="-0.34998626667073579"/>
        </left>
        <right style="thin">
          <color theme="0" tint="-0.34998626667073579"/>
        </right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colors>
    <mruColors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6FBD-124C-4184-8E6D-0BBB4872BBA1}">
  <sheetPr codeName="Sheet1"/>
  <dimension ref="B2:F24"/>
  <sheetViews>
    <sheetView showGridLines="0" tabSelected="1" workbookViewId="0"/>
  </sheetViews>
  <sheetFormatPr defaultRowHeight="14.4" x14ac:dyDescent="0.3"/>
  <cols>
    <col min="1" max="1" width="3.88671875" customWidth="1"/>
    <col min="2" max="2" width="24.6640625" customWidth="1"/>
    <col min="3" max="3" width="21" customWidth="1"/>
    <col min="4" max="4" width="22.5546875" bestFit="1" customWidth="1"/>
    <col min="5" max="5" width="13.44140625" style="1" customWidth="1"/>
    <col min="6" max="6" width="13.6640625" style="1" bestFit="1" customWidth="1"/>
  </cols>
  <sheetData>
    <row r="2" spans="2:6" ht="23.4" x14ac:dyDescent="0.45">
      <c r="B2" s="24" t="s">
        <v>41</v>
      </c>
    </row>
    <row r="3" spans="2:6" ht="18" x14ac:dyDescent="0.3">
      <c r="B3" s="34" t="s">
        <v>40</v>
      </c>
      <c r="C3" s="34"/>
      <c r="D3" s="34"/>
      <c r="E3" s="34"/>
      <c r="F3" s="34"/>
    </row>
    <row r="7" spans="2:6" ht="17.399999999999999" customHeight="1" thickBot="1" x14ac:dyDescent="0.35">
      <c r="B7" s="32" t="s">
        <v>82</v>
      </c>
    </row>
    <row r="8" spans="2:6" ht="16.2" customHeight="1" thickTop="1" thickBot="1" x14ac:dyDescent="0.35">
      <c r="B8" s="28" t="s">
        <v>44</v>
      </c>
      <c r="E8"/>
      <c r="F8"/>
    </row>
    <row r="9" spans="2:6" ht="15.6" customHeight="1" thickTop="1" x14ac:dyDescent="0.3">
      <c r="B9" s="40" t="s">
        <v>80</v>
      </c>
      <c r="E9"/>
      <c r="F9"/>
    </row>
    <row r="13" spans="2:6" hidden="1" x14ac:dyDescent="0.3">
      <c r="E13" s="30" t="s">
        <v>72</v>
      </c>
      <c r="F13" s="1" t="s">
        <v>73</v>
      </c>
    </row>
    <row r="14" spans="2:6" hidden="1" x14ac:dyDescent="0.3">
      <c r="B14" s="35" t="s">
        <v>59</v>
      </c>
      <c r="C14" s="29" t="s">
        <v>60</v>
      </c>
      <c r="D14" s="39" t="s">
        <v>81</v>
      </c>
      <c r="E14" s="31" t="s">
        <v>74</v>
      </c>
      <c r="F14" s="31" t="s">
        <v>75</v>
      </c>
    </row>
    <row r="15" spans="2:6" hidden="1" x14ac:dyDescent="0.3">
      <c r="B15" s="36"/>
      <c r="C15" s="35" t="s">
        <v>58</v>
      </c>
      <c r="D15" s="27" t="s">
        <v>61</v>
      </c>
      <c r="E15" s="31" t="s">
        <v>74</v>
      </c>
      <c r="F15" s="31" t="s">
        <v>75</v>
      </c>
    </row>
    <row r="16" spans="2:6" hidden="1" x14ac:dyDescent="0.3">
      <c r="B16" s="37"/>
      <c r="C16" s="37"/>
      <c r="D16" s="27" t="s">
        <v>62</v>
      </c>
      <c r="E16" s="31" t="s">
        <v>75</v>
      </c>
      <c r="F16" s="31" t="s">
        <v>75</v>
      </c>
    </row>
    <row r="17" spans="2:6" hidden="1" x14ac:dyDescent="0.3">
      <c r="B17" s="35" t="s">
        <v>63</v>
      </c>
      <c r="C17" s="29" t="s">
        <v>64</v>
      </c>
      <c r="D17" s="39" t="s">
        <v>81</v>
      </c>
      <c r="E17" s="31" t="s">
        <v>74</v>
      </c>
      <c r="F17" s="31" t="s">
        <v>75</v>
      </c>
    </row>
    <row r="18" spans="2:6" hidden="1" x14ac:dyDescent="0.3">
      <c r="B18" s="36"/>
      <c r="C18" s="35" t="s">
        <v>65</v>
      </c>
      <c r="D18" s="27" t="s">
        <v>62</v>
      </c>
      <c r="E18" s="31" t="s">
        <v>75</v>
      </c>
      <c r="F18" s="31" t="s">
        <v>75</v>
      </c>
    </row>
    <row r="19" spans="2:6" hidden="1" x14ac:dyDescent="0.3">
      <c r="B19" s="37"/>
      <c r="C19" s="37"/>
      <c r="D19" s="27" t="s">
        <v>66</v>
      </c>
      <c r="E19" s="31" t="s">
        <v>74</v>
      </c>
      <c r="F19" s="31" t="s">
        <v>74</v>
      </c>
    </row>
    <row r="20" spans="2:6" hidden="1" x14ac:dyDescent="0.3">
      <c r="B20" s="35" t="s">
        <v>67</v>
      </c>
      <c r="C20" s="29" t="s">
        <v>68</v>
      </c>
      <c r="D20" s="39" t="s">
        <v>81</v>
      </c>
      <c r="E20" s="31" t="s">
        <v>74</v>
      </c>
      <c r="F20" s="31" t="s">
        <v>74</v>
      </c>
    </row>
    <row r="21" spans="2:6" hidden="1" x14ac:dyDescent="0.3">
      <c r="B21" s="36"/>
      <c r="C21" s="35" t="s">
        <v>69</v>
      </c>
      <c r="D21" s="27" t="s">
        <v>70</v>
      </c>
      <c r="E21" s="31" t="s">
        <v>74</v>
      </c>
      <c r="F21" s="31" t="s">
        <v>74</v>
      </c>
    </row>
    <row r="22" spans="2:6" hidden="1" x14ac:dyDescent="0.3">
      <c r="B22" s="37"/>
      <c r="C22" s="37"/>
      <c r="D22" s="27" t="s">
        <v>62</v>
      </c>
      <c r="E22" s="31" t="s">
        <v>75</v>
      </c>
      <c r="F22" s="31" t="s">
        <v>75</v>
      </c>
    </row>
    <row r="23" spans="2:6" hidden="1" x14ac:dyDescent="0.3">
      <c r="B23" s="31" t="s">
        <v>71</v>
      </c>
      <c r="C23" s="29"/>
      <c r="D23" s="39" t="s">
        <v>81</v>
      </c>
      <c r="E23" s="31" t="s">
        <v>74</v>
      </c>
      <c r="F23" s="31" t="s">
        <v>74</v>
      </c>
    </row>
    <row r="24" spans="2:6" hidden="1" x14ac:dyDescent="0.3">
      <c r="B24" s="31" t="s">
        <v>62</v>
      </c>
      <c r="C24" s="29"/>
      <c r="D24" s="39" t="s">
        <v>81</v>
      </c>
      <c r="E24" s="31" t="s">
        <v>75</v>
      </c>
      <c r="F24" s="31" t="s">
        <v>75</v>
      </c>
    </row>
  </sheetData>
  <mergeCells count="7">
    <mergeCell ref="B3:F3"/>
    <mergeCell ref="B14:B16"/>
    <mergeCell ref="B17:B19"/>
    <mergeCell ref="B20:B22"/>
    <mergeCell ref="C15:C16"/>
    <mergeCell ref="C18:C19"/>
    <mergeCell ref="C21:C2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B27CB-A60E-46D4-94EA-86AFE5F9BB6A}">
  <sheetPr codeName="wsCU1"/>
  <dimension ref="B2:N20"/>
  <sheetViews>
    <sheetView showGridLines="0" workbookViewId="0">
      <selection activeCell="B3" sqref="B3:G3"/>
    </sheetView>
  </sheetViews>
  <sheetFormatPr defaultRowHeight="14.4" x14ac:dyDescent="0.3"/>
  <cols>
    <col min="1" max="1" width="3.88671875" customWidth="1"/>
    <col min="2" max="3" width="17.88671875" customWidth="1"/>
    <col min="4" max="4" width="8.88671875" style="1"/>
    <col min="6" max="6" width="86" bestFit="1" customWidth="1"/>
    <col min="7" max="7" width="11.5546875" bestFit="1" customWidth="1"/>
    <col min="9" max="14" width="14.77734375" hidden="1" customWidth="1"/>
  </cols>
  <sheetData>
    <row r="2" spans="2:14" ht="23.4" x14ac:dyDescent="0.3">
      <c r="B2" s="2" t="s">
        <v>85</v>
      </c>
      <c r="C2" s="2"/>
      <c r="D2" s="3"/>
      <c r="E2" s="3"/>
      <c r="F2" s="4"/>
      <c r="G2" s="5"/>
    </row>
    <row r="3" spans="2:14" ht="23.4" x14ac:dyDescent="0.3">
      <c r="B3" s="38" t="s">
        <v>40</v>
      </c>
      <c r="C3" s="38"/>
      <c r="D3" s="38"/>
      <c r="E3" s="38"/>
      <c r="F3" s="38"/>
      <c r="G3" s="38"/>
    </row>
    <row r="4" spans="2:14" x14ac:dyDescent="0.3">
      <c r="B4" s="3"/>
      <c r="C4" s="3"/>
      <c r="D4" s="3"/>
      <c r="E4" s="3"/>
      <c r="F4" s="4"/>
      <c r="G4" s="5"/>
    </row>
    <row r="5" spans="2:14" x14ac:dyDescent="0.3">
      <c r="B5" s="6" t="s">
        <v>27</v>
      </c>
      <c r="C5" s="6" t="s">
        <v>26</v>
      </c>
      <c r="D5"/>
      <c r="E5" s="6" t="s">
        <v>1</v>
      </c>
      <c r="F5" s="7" t="s">
        <v>2</v>
      </c>
      <c r="G5" s="6" t="s">
        <v>3</v>
      </c>
    </row>
    <row r="6" spans="2:14" x14ac:dyDescent="0.3">
      <c r="B6" s="23"/>
      <c r="C6" s="25"/>
      <c r="D6"/>
      <c r="E6" s="9" t="s">
        <v>4</v>
      </c>
      <c r="F6" s="10" t="s">
        <v>5</v>
      </c>
      <c r="G6" s="11" t="str">
        <f>IF(COUNTA(CU1_Assay)=0,"",COUNTA(CU1_Assay))</f>
        <v/>
      </c>
    </row>
    <row r="7" spans="2:14" x14ac:dyDescent="0.3">
      <c r="B7" s="23"/>
      <c r="C7" s="25"/>
      <c r="D7"/>
      <c r="E7" s="9" t="s">
        <v>0</v>
      </c>
      <c r="F7" s="10" t="s">
        <v>24</v>
      </c>
      <c r="G7" s="12" t="str">
        <f>IF(G6="","",IF(G6=10,2.4,2))</f>
        <v/>
      </c>
    </row>
    <row r="8" spans="2:14" x14ac:dyDescent="0.3">
      <c r="B8" s="23"/>
      <c r="C8" s="25"/>
      <c r="D8"/>
      <c r="E8" s="9" t="s">
        <v>6</v>
      </c>
      <c r="F8" s="10" t="s">
        <v>7</v>
      </c>
      <c r="G8" s="13" t="str">
        <f>IF(ISERROR(STDEV(CU1_Assay)),"",STDEV(CU1_Assay))</f>
        <v/>
      </c>
      <c r="I8" s="1" t="s">
        <v>28</v>
      </c>
      <c r="J8" s="1" t="s">
        <v>29</v>
      </c>
      <c r="K8" s="1" t="s">
        <v>30</v>
      </c>
      <c r="L8" s="1" t="s">
        <v>31</v>
      </c>
      <c r="M8" s="1" t="s">
        <v>32</v>
      </c>
      <c r="N8" s="1" t="s">
        <v>33</v>
      </c>
    </row>
    <row r="9" spans="2:14" x14ac:dyDescent="0.3">
      <c r="B9" s="23"/>
      <c r="C9" s="25"/>
      <c r="D9"/>
      <c r="E9" s="9" t="s">
        <v>8</v>
      </c>
      <c r="F9" s="10" t="s">
        <v>38</v>
      </c>
      <c r="G9" s="11" t="str">
        <f>IF(ISERROR(AVERAGE(CU1_Assay)),"",AVERAGE(CU1_Assay))</f>
        <v/>
      </c>
      <c r="I9" s="1" t="str">
        <f>IF(CU1_Target&lt;=101.5,"TRUE")</f>
        <v>TRUE</v>
      </c>
      <c r="J9" s="1" t="str">
        <f>IF(CU1_Target&lt;=101.5,"TRUE")</f>
        <v>TRUE</v>
      </c>
      <c r="K9" s="1" t="str">
        <f>IF(CU1_Target&lt;=101.5,"TRUE")</f>
        <v>TRUE</v>
      </c>
      <c r="L9" s="1" t="b">
        <f>IF(CU1_Target&gt;101.5,"TRUE")</f>
        <v>0</v>
      </c>
      <c r="M9" s="1" t="b">
        <f>IF(CU1_Target&gt;101.5,"TRUE")</f>
        <v>0</v>
      </c>
      <c r="N9" s="1" t="b">
        <f>IF(CU1_Target&gt;101.5,"TRUE")</f>
        <v>0</v>
      </c>
    </row>
    <row r="10" spans="2:14" x14ac:dyDescent="0.3">
      <c r="B10" s="23"/>
      <c r="C10" s="25"/>
      <c r="D10"/>
      <c r="E10" s="9" t="s">
        <v>9</v>
      </c>
      <c r="F10" s="10" t="s">
        <v>39</v>
      </c>
      <c r="G10" s="14" t="str">
        <f>IF(ISERROR(G8/G9),"",100*G8/G9)</f>
        <v/>
      </c>
      <c r="I10" s="1" t="b">
        <f>IF(AND(CU1_Average&gt;=98.5,CU1_Average&lt;=101.5),"TRUE")</f>
        <v>0</v>
      </c>
      <c r="J10" s="1" t="b">
        <f>IF(CU1_Average&lt;98.5,"TRUE")</f>
        <v>0</v>
      </c>
      <c r="K10" s="1" t="str">
        <f>IF(CU1_Average&gt;101.5,"TRUE")</f>
        <v>TRUE</v>
      </c>
      <c r="L10" s="1" t="str">
        <f>IF(AND(CU1_Average&gt;=98.5,CU1_Average&lt;=G11),"TRUE")</f>
        <v>TRUE</v>
      </c>
      <c r="M10" s="1" t="b">
        <f>IF(CU1_Average&lt;98.5,"TRUE")</f>
        <v>0</v>
      </c>
      <c r="N10" s="1" t="b">
        <f>IF(CU1_Average&gt;G11,"TRUE")</f>
        <v>0</v>
      </c>
    </row>
    <row r="11" spans="2:14" x14ac:dyDescent="0.3">
      <c r="B11" s="23"/>
      <c r="C11" s="25"/>
      <c r="D11"/>
      <c r="E11" s="9" t="s">
        <v>10</v>
      </c>
      <c r="F11" s="10" t="s">
        <v>11</v>
      </c>
      <c r="G11" s="15"/>
      <c r="I11" s="1" t="b">
        <f>IF(AND(I9="TRUE",I10="TRUE"),"TRUE")</f>
        <v>0</v>
      </c>
      <c r="J11" s="1" t="b">
        <f t="shared" ref="J11:N11" si="0">IF(AND(J9="TRUE",J10="TRUE"),"TRUE")</f>
        <v>0</v>
      </c>
      <c r="K11" s="1" t="str">
        <f t="shared" si="0"/>
        <v>TRUE</v>
      </c>
      <c r="L11" s="1" t="b">
        <f t="shared" si="0"/>
        <v>0</v>
      </c>
      <c r="M11" s="1" t="b">
        <f t="shared" si="0"/>
        <v>0</v>
      </c>
      <c r="N11" s="1" t="b">
        <f t="shared" si="0"/>
        <v>0</v>
      </c>
    </row>
    <row r="12" spans="2:14" x14ac:dyDescent="0.3">
      <c r="B12" s="23"/>
      <c r="C12" s="25"/>
      <c r="D12"/>
      <c r="E12" s="9" t="s">
        <v>12</v>
      </c>
      <c r="F12" s="10" t="s">
        <v>13</v>
      </c>
      <c r="G12" s="11" t="str">
        <f>IF(CU1_Target="","",HLOOKUP("TRUE",I11:N12,2))</f>
        <v/>
      </c>
      <c r="I12" s="11" t="str">
        <f>G9</f>
        <v/>
      </c>
      <c r="J12" s="11">
        <v>98.5</v>
      </c>
      <c r="K12" s="11">
        <v>101.5</v>
      </c>
      <c r="L12" s="11" t="str">
        <f>G9</f>
        <v/>
      </c>
      <c r="M12" s="11">
        <v>98.5</v>
      </c>
      <c r="N12" s="11">
        <f>G11</f>
        <v>0</v>
      </c>
    </row>
    <row r="13" spans="2:14" x14ac:dyDescent="0.3">
      <c r="B13" s="23"/>
      <c r="C13" s="25"/>
      <c r="D13"/>
      <c r="E13" s="9" t="s">
        <v>14</v>
      </c>
      <c r="F13" s="10" t="s">
        <v>15</v>
      </c>
      <c r="G13" s="14" t="str">
        <f>IF(ISERROR(ABS(G12-G9)+G7*G8),"",ABS(G12-G9)+G7*G8)</f>
        <v/>
      </c>
    </row>
    <row r="14" spans="2:14" x14ac:dyDescent="0.3">
      <c r="B14" s="23"/>
      <c r="C14" s="25"/>
      <c r="D14"/>
      <c r="E14" s="9" t="s">
        <v>16</v>
      </c>
      <c r="F14" s="16" t="s">
        <v>17</v>
      </c>
      <c r="G14" s="22">
        <v>15</v>
      </c>
    </row>
    <row r="15" spans="2:14" x14ac:dyDescent="0.3">
      <c r="B15" s="23"/>
      <c r="C15" s="25"/>
      <c r="D15"/>
      <c r="E15" s="9" t="s">
        <v>18</v>
      </c>
      <c r="F15" s="20" t="s">
        <v>25</v>
      </c>
      <c r="G15" s="11">
        <v>25</v>
      </c>
    </row>
    <row r="16" spans="2:14" ht="15" thickBot="1" x14ac:dyDescent="0.35">
      <c r="D16"/>
      <c r="E16" s="9" t="s">
        <v>19</v>
      </c>
      <c r="F16" s="10" t="s">
        <v>20</v>
      </c>
      <c r="G16" s="11" t="str">
        <f>IF(G13="","",IF(G13&lt;G14,"Pass","Fail"))</f>
        <v/>
      </c>
    </row>
    <row r="17" spans="2:7" ht="15.6" thickTop="1" thickBot="1" x14ac:dyDescent="0.35">
      <c r="B17" s="33" t="s">
        <v>83</v>
      </c>
      <c r="D17"/>
      <c r="G17" s="5" t="str">
        <f>IF(G16="Fail","Click Here","")</f>
        <v/>
      </c>
    </row>
    <row r="18" spans="2:7" ht="15" thickTop="1" x14ac:dyDescent="0.3">
      <c r="D18"/>
      <c r="E18" s="18"/>
      <c r="F18" s="19"/>
      <c r="G18" s="1"/>
    </row>
    <row r="19" spans="2:7" x14ac:dyDescent="0.3">
      <c r="D19"/>
      <c r="E19" s="18"/>
      <c r="F19" s="19"/>
    </row>
    <row r="20" spans="2:7" x14ac:dyDescent="0.3">
      <c r="D20"/>
    </row>
  </sheetData>
  <mergeCells count="1">
    <mergeCell ref="B3:G3"/>
  </mergeCells>
  <phoneticPr fontId="1" type="noConversion"/>
  <conditionalFormatting sqref="G17">
    <cfRule type="expression" dxfId="3" priority="1">
      <formula>$G$17="Click Here"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C607E-21DC-4C59-A164-0E54C2D94E58}">
  <sheetPr codeName="wsCU2"/>
  <dimension ref="B2:N35"/>
  <sheetViews>
    <sheetView showGridLines="0" workbookViewId="0">
      <selection activeCell="B3" sqref="B3:G3"/>
    </sheetView>
  </sheetViews>
  <sheetFormatPr defaultRowHeight="14.4" x14ac:dyDescent="0.3"/>
  <cols>
    <col min="1" max="1" width="3.88671875" customWidth="1"/>
    <col min="2" max="3" width="17.88671875" customWidth="1"/>
    <col min="4" max="4" width="8.88671875" style="1"/>
    <col min="6" max="6" width="86" bestFit="1" customWidth="1"/>
    <col min="7" max="7" width="11.5546875" bestFit="1" customWidth="1"/>
    <col min="9" max="14" width="14.77734375" hidden="1" customWidth="1"/>
  </cols>
  <sheetData>
    <row r="2" spans="2:14" ht="23.4" x14ac:dyDescent="0.3">
      <c r="B2" s="2" t="s">
        <v>85</v>
      </c>
      <c r="C2" s="2"/>
      <c r="D2" s="3"/>
      <c r="E2" s="3"/>
      <c r="F2" s="4"/>
      <c r="G2" s="5"/>
    </row>
    <row r="3" spans="2:14" ht="23.4" x14ac:dyDescent="0.3">
      <c r="B3" s="38" t="s">
        <v>40</v>
      </c>
      <c r="C3" s="38"/>
      <c r="D3" s="38"/>
      <c r="E3" s="38"/>
      <c r="F3" s="38"/>
      <c r="G3" s="38"/>
    </row>
    <row r="4" spans="2:14" x14ac:dyDescent="0.3">
      <c r="B4" s="3"/>
      <c r="C4" s="3"/>
      <c r="D4" s="3"/>
      <c r="E4" s="3"/>
      <c r="F4" s="4"/>
      <c r="G4" s="5"/>
    </row>
    <row r="5" spans="2:14" x14ac:dyDescent="0.3">
      <c r="B5" s="6" t="s">
        <v>27</v>
      </c>
      <c r="C5" s="6" t="s">
        <v>26</v>
      </c>
      <c r="D5"/>
      <c r="E5" s="6" t="s">
        <v>1</v>
      </c>
      <c r="F5" s="7" t="s">
        <v>2</v>
      </c>
      <c r="G5" s="6" t="s">
        <v>3</v>
      </c>
    </row>
    <row r="6" spans="2:14" x14ac:dyDescent="0.3">
      <c r="B6" s="21" t="str">
        <f>IF('CU Tier 1'!B6="","",'CU Tier 1'!B6)</f>
        <v/>
      </c>
      <c r="C6" s="26" t="str">
        <f>IF('CU Tier 1'!C6="","",'CU Tier 1'!C6)</f>
        <v/>
      </c>
      <c r="D6"/>
      <c r="E6" s="9" t="s">
        <v>4</v>
      </c>
      <c r="F6" s="10" t="s">
        <v>5</v>
      </c>
      <c r="G6" s="11">
        <f>COUNTA(CU2_Assay)</f>
        <v>10</v>
      </c>
    </row>
    <row r="7" spans="2:14" x14ac:dyDescent="0.3">
      <c r="B7" s="21" t="str">
        <f>IF('CU Tier 1'!B7="","",'CU Tier 1'!B7)</f>
        <v/>
      </c>
      <c r="C7" s="26" t="str">
        <f>IF('CU Tier 1'!C7="","",'CU Tier 1'!C7)</f>
        <v/>
      </c>
      <c r="D7"/>
      <c r="E7" s="9" t="s">
        <v>0</v>
      </c>
      <c r="F7" s="10" t="s">
        <v>24</v>
      </c>
      <c r="G7" s="12">
        <f>IF(G6=10,2.4,2)</f>
        <v>2.4</v>
      </c>
    </row>
    <row r="8" spans="2:14" x14ac:dyDescent="0.3">
      <c r="B8" s="21" t="str">
        <f>IF('CU Tier 1'!B8="","",'CU Tier 1'!B8)</f>
        <v/>
      </c>
      <c r="C8" s="26" t="str">
        <f>IF('CU Tier 1'!C8="","",'CU Tier 1'!C8)</f>
        <v/>
      </c>
      <c r="D8"/>
      <c r="E8" s="9" t="s">
        <v>6</v>
      </c>
      <c r="F8" s="10" t="s">
        <v>7</v>
      </c>
      <c r="G8" s="13" t="str">
        <f>IF(ISERROR(STDEV(CU2_Assay)),"",STDEV(CU2_Assay))</f>
        <v/>
      </c>
      <c r="I8" s="1" t="s">
        <v>28</v>
      </c>
      <c r="J8" s="1" t="s">
        <v>29</v>
      </c>
      <c r="K8" s="1" t="s">
        <v>30</v>
      </c>
      <c r="L8" s="1" t="s">
        <v>31</v>
      </c>
      <c r="M8" s="1" t="s">
        <v>32</v>
      </c>
      <c r="N8" s="1" t="s">
        <v>33</v>
      </c>
    </row>
    <row r="9" spans="2:14" x14ac:dyDescent="0.3">
      <c r="B9" s="21" t="str">
        <f>IF('CU Tier 1'!B9="","",'CU Tier 1'!B9)</f>
        <v/>
      </c>
      <c r="C9" s="26" t="str">
        <f>IF('CU Tier 1'!C9="","",'CU Tier 1'!C9)</f>
        <v/>
      </c>
      <c r="D9"/>
      <c r="E9" s="9" t="s">
        <v>8</v>
      </c>
      <c r="F9" s="10" t="s">
        <v>23</v>
      </c>
      <c r="G9" s="11" t="str">
        <f>IF(ISERROR(AVERAGE(CU2_Assay)),"",AVERAGE(CU2_Assay))</f>
        <v/>
      </c>
      <c r="I9" s="1" t="str">
        <f>IF(CU2_Target&lt;=101.5,"TRUE")</f>
        <v>TRUE</v>
      </c>
      <c r="J9" s="1" t="str">
        <f>IF(CU2_Target&lt;=101.5,"TRUE")</f>
        <v>TRUE</v>
      </c>
      <c r="K9" s="1" t="str">
        <f>IF(CU2_Target&lt;=101.5,"TRUE")</f>
        <v>TRUE</v>
      </c>
      <c r="L9" s="1" t="b">
        <f>IF(CU2_Target&gt;101.5,"TRUE")</f>
        <v>0</v>
      </c>
      <c r="M9" s="1" t="b">
        <f>IF(CU2_Target&gt;101.5,"TRUE")</f>
        <v>0</v>
      </c>
      <c r="N9" s="1" t="b">
        <f>IF(CU2_Target&gt;101.5,"TRUE")</f>
        <v>0</v>
      </c>
    </row>
    <row r="10" spans="2:14" x14ac:dyDescent="0.3">
      <c r="B10" s="21" t="str">
        <f>IF('CU Tier 1'!B10="","",'CU Tier 1'!B10)</f>
        <v/>
      </c>
      <c r="C10" s="26" t="str">
        <f>IF('CU Tier 1'!C10="","",'CU Tier 1'!C10)</f>
        <v/>
      </c>
      <c r="D10"/>
      <c r="E10" s="9" t="s">
        <v>9</v>
      </c>
      <c r="F10" s="10" t="s">
        <v>22</v>
      </c>
      <c r="G10" s="14" t="str">
        <f>IF(ISERROR(G8/G9),"",100*G8/G9)</f>
        <v/>
      </c>
      <c r="I10" s="1" t="b">
        <f>IF(AND(CU2_Average&gt;=98.5,CU2_Average&lt;=101.5),"TRUE")</f>
        <v>0</v>
      </c>
      <c r="J10" s="1" t="b">
        <f>IF(CU2_Average&lt;98.5,"TRUE")</f>
        <v>0</v>
      </c>
      <c r="K10" s="1" t="str">
        <f>IF(CU2_Average&gt;101.5,"TRUE")</f>
        <v>TRUE</v>
      </c>
      <c r="L10" s="1" t="str">
        <f>IF(AND(CU2_Average&gt;=98.5,CU2_Average&lt;=G11),"TRUE")</f>
        <v>TRUE</v>
      </c>
      <c r="M10" s="1" t="b">
        <f>IF(CU2_Average&lt;98.5,"TRUE")</f>
        <v>0</v>
      </c>
      <c r="N10" s="1" t="b">
        <f>IF(CU2_Average&gt;G11,"TRUE")</f>
        <v>0</v>
      </c>
    </row>
    <row r="11" spans="2:14" x14ac:dyDescent="0.3">
      <c r="B11" s="21" t="str">
        <f>IF('CU Tier 1'!B11="","",'CU Tier 1'!B11)</f>
        <v/>
      </c>
      <c r="C11" s="26" t="str">
        <f>IF('CU Tier 1'!C11="","",'CU Tier 1'!C11)</f>
        <v/>
      </c>
      <c r="D11"/>
      <c r="E11" s="9" t="s">
        <v>10</v>
      </c>
      <c r="F11" s="10" t="s">
        <v>11</v>
      </c>
      <c r="G11" s="15"/>
      <c r="I11" s="1" t="b">
        <f>IF(AND(I9="TRUE",I10="TRUE"),"TRUE")</f>
        <v>0</v>
      </c>
      <c r="J11" s="1" t="b">
        <f t="shared" ref="J11:N11" si="0">IF(AND(J9="TRUE",J10="TRUE"),"TRUE")</f>
        <v>0</v>
      </c>
      <c r="K11" s="1" t="str">
        <f t="shared" si="0"/>
        <v>TRUE</v>
      </c>
      <c r="L11" s="1" t="b">
        <f t="shared" si="0"/>
        <v>0</v>
      </c>
      <c r="M11" s="1" t="b">
        <f t="shared" si="0"/>
        <v>0</v>
      </c>
      <c r="N11" s="1" t="b">
        <f t="shared" si="0"/>
        <v>0</v>
      </c>
    </row>
    <row r="12" spans="2:14" x14ac:dyDescent="0.3">
      <c r="B12" s="21" t="str">
        <f>IF('CU Tier 1'!B12="","",'CU Tier 1'!B12)</f>
        <v/>
      </c>
      <c r="C12" s="26" t="str">
        <f>IF('CU Tier 1'!C12="","",'CU Tier 1'!C12)</f>
        <v/>
      </c>
      <c r="D12"/>
      <c r="E12" s="9" t="s">
        <v>12</v>
      </c>
      <c r="F12" s="10" t="s">
        <v>13</v>
      </c>
      <c r="G12" s="11" t="str">
        <f>IF(CU2_Target="","",HLOOKUP("TRUE",I11:N12,2))</f>
        <v/>
      </c>
      <c r="I12" s="11" t="str">
        <f>G9</f>
        <v/>
      </c>
      <c r="J12" s="11">
        <v>98.5</v>
      </c>
      <c r="K12" s="11">
        <v>101.5</v>
      </c>
      <c r="L12" s="11" t="str">
        <f>G9</f>
        <v/>
      </c>
      <c r="M12" s="11">
        <v>98.5</v>
      </c>
      <c r="N12" s="11">
        <f>G11</f>
        <v>0</v>
      </c>
    </row>
    <row r="13" spans="2:14" x14ac:dyDescent="0.3">
      <c r="B13" s="21" t="str">
        <f>IF('CU Tier 1'!B13="","",'CU Tier 1'!B13)</f>
        <v/>
      </c>
      <c r="C13" s="26" t="str">
        <f>IF('CU Tier 1'!C13="","",'CU Tier 1'!C13)</f>
        <v/>
      </c>
      <c r="D13"/>
      <c r="E13" s="9" t="s">
        <v>14</v>
      </c>
      <c r="F13" s="10" t="s">
        <v>15</v>
      </c>
      <c r="G13" s="14" t="str">
        <f>IF(ISERROR(ABS(G12-G9)+G7*G8),"",ABS(G12-G9)+G7*G8)</f>
        <v/>
      </c>
    </row>
    <row r="14" spans="2:14" x14ac:dyDescent="0.3">
      <c r="B14" s="21" t="str">
        <f>IF('CU Tier 1'!B14="","",'CU Tier 1'!B14)</f>
        <v/>
      </c>
      <c r="C14" s="26" t="str">
        <f>IF('CU Tier 1'!C14="","",'CU Tier 1'!C14)</f>
        <v/>
      </c>
      <c r="D14"/>
      <c r="E14" s="9" t="s">
        <v>16</v>
      </c>
      <c r="F14" s="16" t="s">
        <v>17</v>
      </c>
      <c r="G14" s="22">
        <v>15</v>
      </c>
    </row>
    <row r="15" spans="2:14" x14ac:dyDescent="0.3">
      <c r="B15" s="21" t="str">
        <f>IF('CU Tier 1'!B15="","",'CU Tier 1'!B15)</f>
        <v/>
      </c>
      <c r="C15" s="26" t="str">
        <f>IF('CU Tier 1'!C15="","",'CU Tier 1'!C15)</f>
        <v/>
      </c>
      <c r="D15"/>
      <c r="E15" s="9" t="s">
        <v>18</v>
      </c>
      <c r="F15" s="20" t="s">
        <v>25</v>
      </c>
      <c r="G15" s="11">
        <v>25</v>
      </c>
      <c r="I15" s="1" t="s">
        <v>35</v>
      </c>
      <c r="J15" s="1" t="s">
        <v>36</v>
      </c>
      <c r="K15" s="1" t="s">
        <v>37</v>
      </c>
    </row>
    <row r="16" spans="2:14" x14ac:dyDescent="0.3">
      <c r="B16" s="8"/>
      <c r="C16" s="25"/>
      <c r="D16"/>
      <c r="E16" s="9"/>
      <c r="F16" s="10" t="s">
        <v>21</v>
      </c>
      <c r="G16" s="11" t="str">
        <f>IF(AND(I16="TRUE",J16="TRUE",K16="TRUE"),"Pass","Fail")</f>
        <v>Fail</v>
      </c>
      <c r="I16" s="11" t="b">
        <f>IF(G13&lt;=G14,"TRUE")</f>
        <v>0</v>
      </c>
      <c r="J16" s="11" t="str">
        <f>IF(G12="","",IF(MAX(CU2_Assay)&gt;((1-0.01*G15)*G12),"TRUE"))</f>
        <v/>
      </c>
      <c r="K16" s="11" t="str">
        <f>IF(G12="","",IF(MIN(CU2_Assay)&lt;4*((1+0.01*G15)*G12),"TRUE"))</f>
        <v/>
      </c>
    </row>
    <row r="17" spans="2:7" x14ac:dyDescent="0.3">
      <c r="B17" s="8"/>
      <c r="C17" s="25"/>
      <c r="D17"/>
    </row>
    <row r="18" spans="2:7" x14ac:dyDescent="0.3">
      <c r="B18" s="8"/>
      <c r="C18" s="25"/>
      <c r="D18"/>
      <c r="E18" s="18"/>
      <c r="F18" s="19"/>
      <c r="G18" s="1"/>
    </row>
    <row r="19" spans="2:7" x14ac:dyDescent="0.3">
      <c r="B19" s="8"/>
      <c r="C19" s="25"/>
      <c r="D19"/>
      <c r="E19" s="18"/>
      <c r="F19" s="19"/>
      <c r="G19" s="1"/>
    </row>
    <row r="20" spans="2:7" x14ac:dyDescent="0.3">
      <c r="B20" s="8"/>
      <c r="C20" s="25"/>
      <c r="D20"/>
      <c r="E20" s="18"/>
      <c r="G20" s="1"/>
    </row>
    <row r="21" spans="2:7" x14ac:dyDescent="0.3">
      <c r="B21" s="8"/>
      <c r="C21" s="25"/>
      <c r="G21" s="1"/>
    </row>
    <row r="22" spans="2:7" x14ac:dyDescent="0.3">
      <c r="B22" s="8"/>
      <c r="C22" s="25"/>
      <c r="G22" s="1"/>
    </row>
    <row r="23" spans="2:7" x14ac:dyDescent="0.3">
      <c r="B23" s="8"/>
      <c r="C23" s="25"/>
    </row>
    <row r="24" spans="2:7" x14ac:dyDescent="0.3">
      <c r="B24" s="8"/>
      <c r="C24" s="25"/>
    </row>
    <row r="25" spans="2:7" x14ac:dyDescent="0.3">
      <c r="B25" s="8"/>
      <c r="C25" s="25"/>
    </row>
    <row r="26" spans="2:7" x14ac:dyDescent="0.3">
      <c r="B26" s="8"/>
      <c r="C26" s="25"/>
    </row>
    <row r="27" spans="2:7" x14ac:dyDescent="0.3">
      <c r="B27" s="8"/>
      <c r="C27" s="25"/>
    </row>
    <row r="28" spans="2:7" x14ac:dyDescent="0.3">
      <c r="B28" s="8"/>
      <c r="C28" s="25"/>
    </row>
    <row r="29" spans="2:7" x14ac:dyDescent="0.3">
      <c r="B29" s="8"/>
      <c r="C29" s="25"/>
    </row>
    <row r="30" spans="2:7" x14ac:dyDescent="0.3">
      <c r="B30" s="8"/>
      <c r="C30" s="25"/>
    </row>
    <row r="31" spans="2:7" x14ac:dyDescent="0.3">
      <c r="B31" s="8"/>
      <c r="C31" s="25"/>
    </row>
    <row r="32" spans="2:7" x14ac:dyDescent="0.3">
      <c r="B32" s="8"/>
      <c r="C32" s="25"/>
    </row>
    <row r="33" spans="2:3" x14ac:dyDescent="0.3">
      <c r="B33" s="8"/>
      <c r="C33" s="25"/>
    </row>
    <row r="34" spans="2:3" x14ac:dyDescent="0.3">
      <c r="B34" s="8"/>
      <c r="C34" s="25"/>
    </row>
    <row r="35" spans="2:3" x14ac:dyDescent="0.3">
      <c r="B35" s="8"/>
      <c r="C35" s="25"/>
    </row>
  </sheetData>
  <mergeCells count="1">
    <mergeCell ref="B3:G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98B5E-EACA-4A16-9519-F560E24FCF4E}">
  <sheetPr codeName="wsWV1"/>
  <dimension ref="B2:N20"/>
  <sheetViews>
    <sheetView showGridLines="0" workbookViewId="0">
      <selection activeCell="A2" sqref="A2"/>
    </sheetView>
  </sheetViews>
  <sheetFormatPr defaultRowHeight="14.4" x14ac:dyDescent="0.3"/>
  <cols>
    <col min="1" max="1" width="3.88671875" customWidth="1"/>
    <col min="2" max="3" width="17.88671875" customWidth="1"/>
    <col min="4" max="4" width="14.33203125" style="1" customWidth="1"/>
    <col min="6" max="6" width="86" bestFit="1" customWidth="1"/>
    <col min="7" max="7" width="11.5546875" bestFit="1" customWidth="1"/>
    <col min="9" max="14" width="14.77734375" style="1" hidden="1" customWidth="1"/>
  </cols>
  <sheetData>
    <row r="2" spans="2:14" ht="23.4" x14ac:dyDescent="0.3">
      <c r="B2" s="2" t="s">
        <v>84</v>
      </c>
      <c r="C2" s="2"/>
      <c r="D2" s="3"/>
      <c r="E2" s="3"/>
      <c r="F2" s="4"/>
      <c r="G2" s="5"/>
    </row>
    <row r="3" spans="2:14" ht="23.4" x14ac:dyDescent="0.3">
      <c r="B3" s="38" t="s">
        <v>40</v>
      </c>
      <c r="C3" s="38"/>
      <c r="D3" s="38"/>
      <c r="E3" s="38"/>
      <c r="F3" s="38"/>
      <c r="G3" s="38"/>
    </row>
    <row r="4" spans="2:14" x14ac:dyDescent="0.3">
      <c r="B4" s="3"/>
      <c r="C4" s="3"/>
      <c r="D4" s="3"/>
      <c r="E4" s="3"/>
      <c r="F4" s="4"/>
      <c r="G4" s="5"/>
    </row>
    <row r="5" spans="2:14" x14ac:dyDescent="0.3">
      <c r="B5" s="6" t="s">
        <v>27</v>
      </c>
      <c r="C5" s="6" t="s">
        <v>26</v>
      </c>
      <c r="D5"/>
      <c r="E5" s="6" t="s">
        <v>1</v>
      </c>
      <c r="F5" s="7" t="s">
        <v>2</v>
      </c>
      <c r="G5" s="6" t="s">
        <v>3</v>
      </c>
    </row>
    <row r="6" spans="2:14" x14ac:dyDescent="0.3">
      <c r="B6" s="23"/>
      <c r="C6" s="26" t="str">
        <f>IF(B6="","",B6*$G$7/AVERAGE(WV1_Weights))</f>
        <v/>
      </c>
      <c r="D6"/>
      <c r="E6" s="9" t="s">
        <v>4</v>
      </c>
      <c r="F6" s="10" t="s">
        <v>5</v>
      </c>
      <c r="G6" s="11" t="str">
        <f>IF(COUNTA(WV1_Weights)=0,"",COUNTA(WV1_Weights))</f>
        <v/>
      </c>
    </row>
    <row r="7" spans="2:14" x14ac:dyDescent="0.3">
      <c r="B7" s="23"/>
      <c r="C7" s="26" t="str">
        <f>IF(B7="","",B7*$G$7/AVERAGE(WV1_Weights))</f>
        <v/>
      </c>
      <c r="D7"/>
      <c r="E7" s="9" t="s">
        <v>34</v>
      </c>
      <c r="F7" s="10" t="s">
        <v>26</v>
      </c>
      <c r="G7" s="17"/>
    </row>
    <row r="8" spans="2:14" x14ac:dyDescent="0.3">
      <c r="B8" s="23"/>
      <c r="C8" s="26" t="str">
        <f>IF(B8="","",B8*$G$7/AVERAGE(WV1_Weights))</f>
        <v/>
      </c>
      <c r="D8"/>
      <c r="E8" s="9" t="s">
        <v>0</v>
      </c>
      <c r="F8" s="10" t="s">
        <v>24</v>
      </c>
      <c r="G8" s="12" t="str">
        <f>IF(G6="","",IF(G6=10,2.4,2))</f>
        <v/>
      </c>
      <c r="I8" s="1" t="s">
        <v>28</v>
      </c>
      <c r="J8" s="1" t="s">
        <v>29</v>
      </c>
      <c r="K8" s="1" t="s">
        <v>30</v>
      </c>
      <c r="L8" s="1" t="s">
        <v>31</v>
      </c>
      <c r="M8" s="1" t="s">
        <v>32</v>
      </c>
      <c r="N8" s="1" t="s">
        <v>33</v>
      </c>
    </row>
    <row r="9" spans="2:14" x14ac:dyDescent="0.3">
      <c r="B9" s="23"/>
      <c r="C9" s="26" t="str">
        <f>IF(B9="","",B9*$G$7/AVERAGE(WV1_Weights))</f>
        <v/>
      </c>
      <c r="D9"/>
      <c r="E9" s="9" t="s">
        <v>6</v>
      </c>
      <c r="F9" s="10" t="s">
        <v>7</v>
      </c>
      <c r="G9" s="13" t="str">
        <f>IF(ISERROR(STDEV(WV1_Assay)),"",STDEV(WV1_Assay))</f>
        <v/>
      </c>
      <c r="I9" s="1" t="str">
        <f>IF(WV1_Target&lt;=101.5,"TRUE")</f>
        <v>TRUE</v>
      </c>
      <c r="J9" s="1" t="str">
        <f>IF(WV1_Target&lt;=101.5,"TRUE")</f>
        <v>TRUE</v>
      </c>
      <c r="K9" s="1" t="str">
        <f>IF(WV1_Target&lt;=101.5,"TRUE")</f>
        <v>TRUE</v>
      </c>
      <c r="L9" s="1" t="b">
        <f>IF(WV1_Target&gt;101.5,"TRUE")</f>
        <v>0</v>
      </c>
      <c r="M9" s="1" t="b">
        <f>IF(WV1_Target&gt;101.5,"TRUE")</f>
        <v>0</v>
      </c>
      <c r="N9" s="1" t="b">
        <f>IF(WV1_Target&gt;101.5,"TRUE")</f>
        <v>0</v>
      </c>
    </row>
    <row r="10" spans="2:14" x14ac:dyDescent="0.3">
      <c r="B10" s="23"/>
      <c r="C10" s="26" t="str">
        <f>IF(B10="","",B10*$G$7/AVERAGE(WV1_Weights))</f>
        <v/>
      </c>
      <c r="D10"/>
      <c r="E10" s="9" t="s">
        <v>8</v>
      </c>
      <c r="F10" s="10" t="s">
        <v>42</v>
      </c>
      <c r="G10" s="11" t="str">
        <f>IF(ISERROR(AVERAGE(WV1_Assay)),"",AVERAGE(WV1_Assay))</f>
        <v/>
      </c>
      <c r="I10" s="1" t="b">
        <f>IF(AND(WV1_Average&gt;=98.5,WV1_Average&lt;=101.5),"TRUE")</f>
        <v>0</v>
      </c>
      <c r="J10" s="1" t="b">
        <f>IF(WV1_Average&lt;98.5,"TRUE")</f>
        <v>0</v>
      </c>
      <c r="K10" s="1" t="str">
        <f>IF(WV1_Average&gt;101.5,"TRUE")</f>
        <v>TRUE</v>
      </c>
      <c r="L10" s="1" t="str">
        <f>IF(AND(WV1_Average&gt;=98.5,WV1_Average&lt;=G12),"TRUE")</f>
        <v>TRUE</v>
      </c>
      <c r="M10" s="1" t="b">
        <f>IF(WV1_Average&lt;98.5,"TRUE")</f>
        <v>0</v>
      </c>
      <c r="N10" s="1" t="b">
        <f>IF(WV1_Average&gt;G12,"TRUE")</f>
        <v>0</v>
      </c>
    </row>
    <row r="11" spans="2:14" x14ac:dyDescent="0.3">
      <c r="B11" s="23"/>
      <c r="C11" s="26" t="str">
        <f>IF(B11="","",B11*$G$7/AVERAGE(WV1_Weights))</f>
        <v/>
      </c>
      <c r="D11"/>
      <c r="E11" s="9" t="s">
        <v>9</v>
      </c>
      <c r="F11" s="10" t="s">
        <v>43</v>
      </c>
      <c r="G11" s="14" t="str">
        <f>IF(ISERROR(G9/G10),"",100*G9/G10)</f>
        <v/>
      </c>
      <c r="I11" s="1" t="b">
        <f>IF(AND(I9="TRUE",I10="TRUE"),"TRUE")</f>
        <v>0</v>
      </c>
      <c r="J11" s="1" t="b">
        <f t="shared" ref="J11:N11" si="0">IF(AND(J9="TRUE",J10="TRUE"),"TRUE")</f>
        <v>0</v>
      </c>
      <c r="K11" s="1" t="str">
        <f t="shared" si="0"/>
        <v>TRUE</v>
      </c>
      <c r="L11" s="1" t="b">
        <f t="shared" si="0"/>
        <v>0</v>
      </c>
      <c r="M11" s="1" t="b">
        <f t="shared" si="0"/>
        <v>0</v>
      </c>
      <c r="N11" s="1" t="b">
        <f t="shared" si="0"/>
        <v>0</v>
      </c>
    </row>
    <row r="12" spans="2:14" x14ac:dyDescent="0.3">
      <c r="B12" s="23"/>
      <c r="C12" s="26" t="str">
        <f>IF(B12="","",B12*$G$7/AVERAGE(WV1_Weights))</f>
        <v/>
      </c>
      <c r="D12"/>
      <c r="E12" s="9" t="s">
        <v>10</v>
      </c>
      <c r="F12" s="10" t="s">
        <v>11</v>
      </c>
      <c r="G12" s="15"/>
      <c r="I12" s="11" t="str">
        <f>G10</f>
        <v/>
      </c>
      <c r="J12" s="11">
        <v>98.5</v>
      </c>
      <c r="K12" s="11">
        <v>101.5</v>
      </c>
      <c r="L12" s="11" t="str">
        <f>G10</f>
        <v/>
      </c>
      <c r="M12" s="11">
        <v>98.5</v>
      </c>
      <c r="N12" s="11">
        <f>G12</f>
        <v>0</v>
      </c>
    </row>
    <row r="13" spans="2:14" x14ac:dyDescent="0.3">
      <c r="B13" s="23"/>
      <c r="C13" s="26" t="str">
        <f>IF(B13="","",B13*$G$7/AVERAGE(WV1_Weights))</f>
        <v/>
      </c>
      <c r="D13"/>
      <c r="E13" s="9" t="s">
        <v>12</v>
      </c>
      <c r="F13" s="10" t="s">
        <v>13</v>
      </c>
      <c r="G13" s="11" t="str">
        <f>IF(WV1_Target="","",HLOOKUP("TRUE",I11:N12,2))</f>
        <v/>
      </c>
    </row>
    <row r="14" spans="2:14" x14ac:dyDescent="0.3">
      <c r="B14" s="23"/>
      <c r="C14" s="26" t="str">
        <f>IF(B14="","",B14*$G$7/AVERAGE(WV1_Weights))</f>
        <v/>
      </c>
      <c r="D14"/>
      <c r="E14" s="9" t="s">
        <v>14</v>
      </c>
      <c r="F14" s="10" t="s">
        <v>15</v>
      </c>
      <c r="G14" s="14" t="str">
        <f>IF(ISERROR(ABS(G13-G10)+G8*G9),"",ABS(G13-G10)+G8*G9)</f>
        <v/>
      </c>
    </row>
    <row r="15" spans="2:14" x14ac:dyDescent="0.3">
      <c r="B15" s="23"/>
      <c r="C15" s="26" t="str">
        <f>IF(B15="","",B15*$G$7/AVERAGE(WV1_Weights))</f>
        <v/>
      </c>
      <c r="D15"/>
      <c r="E15" s="9" t="s">
        <v>16</v>
      </c>
      <c r="F15" s="16" t="s">
        <v>17</v>
      </c>
      <c r="G15" s="22">
        <v>15</v>
      </c>
    </row>
    <row r="16" spans="2:14" x14ac:dyDescent="0.3">
      <c r="D16"/>
      <c r="E16" s="9" t="s">
        <v>18</v>
      </c>
      <c r="F16" s="20" t="s">
        <v>25</v>
      </c>
      <c r="G16" s="11">
        <v>25</v>
      </c>
    </row>
    <row r="17" spans="2:7" ht="15" thickBot="1" x14ac:dyDescent="0.35">
      <c r="B17" s="32" t="s">
        <v>83</v>
      </c>
      <c r="D17"/>
      <c r="E17" s="9" t="s">
        <v>19</v>
      </c>
      <c r="F17" s="10" t="s">
        <v>20</v>
      </c>
      <c r="G17" s="11" t="str">
        <f>IF(G14="","",IF(G14&lt;G15,"Pass","Fail"))</f>
        <v/>
      </c>
    </row>
    <row r="18" spans="2:7" ht="15" thickTop="1" x14ac:dyDescent="0.3">
      <c r="D18"/>
      <c r="G18" s="5" t="str">
        <f>IF(G17="Fail","Click Here","")</f>
        <v/>
      </c>
    </row>
    <row r="19" spans="2:7" x14ac:dyDescent="0.3">
      <c r="D19"/>
      <c r="E19" s="18"/>
      <c r="F19" s="19"/>
    </row>
    <row r="20" spans="2:7" x14ac:dyDescent="0.3">
      <c r="D20"/>
    </row>
  </sheetData>
  <mergeCells count="1">
    <mergeCell ref="B3:G3"/>
  </mergeCells>
  <conditionalFormatting sqref="G18">
    <cfRule type="expression" dxfId="2" priority="1">
      <formula>$G$18="Click Here"</formula>
    </cfRule>
    <cfRule type="expression" dxfId="1" priority="3">
      <formula>$G$17="Click Here"</formula>
    </cfRule>
  </conditionalFormatting>
  <conditionalFormatting sqref="G18">
    <cfRule type="expression" dxfId="0" priority="2">
      <formula>$G$17="Click Here"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C760D-D75A-4808-B221-A02FB1484A94}">
  <sheetPr codeName="wsWV2"/>
  <dimension ref="B2:AA35"/>
  <sheetViews>
    <sheetView showGridLines="0" workbookViewId="0"/>
  </sheetViews>
  <sheetFormatPr defaultRowHeight="14.4" x14ac:dyDescent="0.3"/>
  <cols>
    <col min="1" max="1" width="3.88671875" customWidth="1"/>
    <col min="2" max="3" width="17.88671875" customWidth="1"/>
    <col min="4" max="4" width="14.33203125" style="1" customWidth="1"/>
    <col min="6" max="6" width="86" bestFit="1" customWidth="1"/>
    <col min="7" max="7" width="11.5546875" bestFit="1" customWidth="1"/>
    <col min="9" max="14" width="14.77734375" hidden="1" customWidth="1"/>
    <col min="27" max="27" width="0" hidden="1" customWidth="1"/>
  </cols>
  <sheetData>
    <row r="2" spans="2:27" ht="23.4" x14ac:dyDescent="0.3">
      <c r="B2" s="2" t="s">
        <v>84</v>
      </c>
      <c r="C2" s="2"/>
      <c r="D2" s="3"/>
      <c r="E2" s="3"/>
      <c r="F2" s="4"/>
      <c r="G2" s="5"/>
    </row>
    <row r="3" spans="2:27" ht="23.4" x14ac:dyDescent="0.3">
      <c r="B3" s="38" t="s">
        <v>40</v>
      </c>
      <c r="C3" s="38"/>
      <c r="D3" s="38"/>
      <c r="E3" s="38"/>
      <c r="F3" s="38"/>
      <c r="G3" s="38"/>
    </row>
    <row r="4" spans="2:27" x14ac:dyDescent="0.3">
      <c r="B4" s="3"/>
      <c r="C4" s="3"/>
      <c r="D4" s="3"/>
      <c r="E4" s="3"/>
      <c r="F4" s="4"/>
      <c r="G4" s="5"/>
    </row>
    <row r="5" spans="2:27" x14ac:dyDescent="0.3">
      <c r="B5" s="6" t="s">
        <v>27</v>
      </c>
      <c r="C5" s="6" t="s">
        <v>26</v>
      </c>
      <c r="D5"/>
      <c r="E5" s="6" t="s">
        <v>1</v>
      </c>
      <c r="F5" s="7" t="s">
        <v>2</v>
      </c>
      <c r="G5" s="6" t="s">
        <v>3</v>
      </c>
    </row>
    <row r="6" spans="2:27" x14ac:dyDescent="0.3">
      <c r="B6" s="21" t="str">
        <f>IF('WV Tier 1'!B6="","",'WV Tier 1'!B6)</f>
        <v/>
      </c>
      <c r="C6" s="21" t="str">
        <f t="shared" ref="C6:C35" si="0">IF(B6="","",B6*$G$7/AVERAGE(WV2_Weights))</f>
        <v/>
      </c>
      <c r="D6"/>
      <c r="E6" s="9" t="s">
        <v>4</v>
      </c>
      <c r="F6" s="10" t="s">
        <v>5</v>
      </c>
      <c r="G6" s="11" t="str">
        <f>IF(SUM(AA:AA)=0,"",SUM(AA:AA))</f>
        <v/>
      </c>
      <c r="AA6" s="27" t="str">
        <f>IF(C6="","",1)</f>
        <v/>
      </c>
    </row>
    <row r="7" spans="2:27" x14ac:dyDescent="0.3">
      <c r="B7" s="21" t="str">
        <f>IF('WV Tier 1'!B7="","",'WV Tier 1'!B7)</f>
        <v/>
      </c>
      <c r="C7" s="21" t="str">
        <f t="shared" si="0"/>
        <v/>
      </c>
      <c r="D7"/>
      <c r="E7" s="9" t="s">
        <v>34</v>
      </c>
      <c r="F7" s="10" t="s">
        <v>26</v>
      </c>
      <c r="G7" s="17"/>
      <c r="AA7" s="27" t="str">
        <f t="shared" ref="AA7:AA35" si="1">IF(C7="","",1)</f>
        <v/>
      </c>
    </row>
    <row r="8" spans="2:27" x14ac:dyDescent="0.3">
      <c r="B8" s="21" t="str">
        <f>IF('WV Tier 1'!B8="","",'WV Tier 1'!B8)</f>
        <v/>
      </c>
      <c r="C8" s="21" t="str">
        <f t="shared" si="0"/>
        <v/>
      </c>
      <c r="D8"/>
      <c r="E8" s="9" t="s">
        <v>0</v>
      </c>
      <c r="F8" s="10" t="s">
        <v>24</v>
      </c>
      <c r="G8" s="12" t="str">
        <f>IF(G6="","",IF(G6=10,2.4,2))</f>
        <v/>
      </c>
      <c r="I8" s="1" t="s">
        <v>28</v>
      </c>
      <c r="J8" s="1" t="s">
        <v>29</v>
      </c>
      <c r="K8" s="1" t="s">
        <v>30</v>
      </c>
      <c r="L8" s="1" t="s">
        <v>31</v>
      </c>
      <c r="M8" s="1" t="s">
        <v>32</v>
      </c>
      <c r="N8" s="1" t="s">
        <v>33</v>
      </c>
      <c r="AA8" s="27" t="str">
        <f t="shared" si="1"/>
        <v/>
      </c>
    </row>
    <row r="9" spans="2:27" x14ac:dyDescent="0.3">
      <c r="B9" s="21" t="str">
        <f>IF('WV Tier 1'!B9="","",'WV Tier 1'!B9)</f>
        <v/>
      </c>
      <c r="C9" s="21" t="str">
        <f t="shared" si="0"/>
        <v/>
      </c>
      <c r="D9"/>
      <c r="E9" s="9" t="s">
        <v>6</v>
      </c>
      <c r="F9" s="10" t="s">
        <v>7</v>
      </c>
      <c r="G9" s="13" t="str">
        <f>IF(ISERROR(STDEV(C:C)),"",STDEV(C:C))</f>
        <v/>
      </c>
      <c r="I9" s="1" t="str">
        <f>IF(WV2_Target&lt;=101.5,"TRUE")</f>
        <v>TRUE</v>
      </c>
      <c r="J9" s="1" t="str">
        <f>IF(WV2_Target&lt;=101.5,"TRUE")</f>
        <v>TRUE</v>
      </c>
      <c r="K9" s="1" t="str">
        <f>IF(WV2_Target&lt;=101.5,"TRUE")</f>
        <v>TRUE</v>
      </c>
      <c r="L9" s="1" t="b">
        <f>IF(WV2_Target&gt;101.5,"TRUE")</f>
        <v>0</v>
      </c>
      <c r="M9" s="1" t="b">
        <f>IF(WV2_Target&gt;101.5,"TRUE")</f>
        <v>0</v>
      </c>
      <c r="N9" s="1" t="b">
        <f>IF(WV2_Target&gt;101.5,"TRUE")</f>
        <v>0</v>
      </c>
      <c r="AA9" s="27" t="str">
        <f t="shared" si="1"/>
        <v/>
      </c>
    </row>
    <row r="10" spans="2:27" x14ac:dyDescent="0.3">
      <c r="B10" s="21" t="str">
        <f>IF('WV Tier 1'!B10="","",'WV Tier 1'!B10)</f>
        <v/>
      </c>
      <c r="C10" s="21" t="str">
        <f t="shared" si="0"/>
        <v/>
      </c>
      <c r="D10"/>
      <c r="E10" s="9" t="s">
        <v>8</v>
      </c>
      <c r="F10" s="10" t="s">
        <v>42</v>
      </c>
      <c r="G10" s="11" t="str">
        <f>IF(ISERROR(AVERAGE(C:C)),"",AVERAGE(C:C))</f>
        <v/>
      </c>
      <c r="I10" s="1" t="b">
        <f>IF(AND(WV2_Average&gt;=98.5,WV2_Average&lt;=101.5),"TRUE")</f>
        <v>0</v>
      </c>
      <c r="J10" s="1" t="b">
        <f>IF(WV2_Average&lt;98.5,"TRUE")</f>
        <v>0</v>
      </c>
      <c r="K10" s="1" t="str">
        <f>IF(WV2_Average&gt;101.5,"TRUE")</f>
        <v>TRUE</v>
      </c>
      <c r="L10" s="1" t="str">
        <f>IF(AND(WV2_Average&gt;=98.5,WV2_Average&lt;=G12),"TRUE")</f>
        <v>TRUE</v>
      </c>
      <c r="M10" s="1" t="b">
        <f>IF(WV2_Average&lt;98.5,"TRUE")</f>
        <v>0</v>
      </c>
      <c r="N10" s="1" t="b">
        <f>IF(WV2_Average&gt;G12,"TRUE")</f>
        <v>0</v>
      </c>
      <c r="AA10" s="27" t="str">
        <f t="shared" si="1"/>
        <v/>
      </c>
    </row>
    <row r="11" spans="2:27" x14ac:dyDescent="0.3">
      <c r="B11" s="21" t="str">
        <f>IF('WV Tier 1'!B11="","",'WV Tier 1'!B11)</f>
        <v/>
      </c>
      <c r="C11" s="21" t="str">
        <f t="shared" si="0"/>
        <v/>
      </c>
      <c r="D11"/>
      <c r="E11" s="9" t="s">
        <v>9</v>
      </c>
      <c r="F11" s="10" t="s">
        <v>43</v>
      </c>
      <c r="G11" s="14" t="str">
        <f>IF(ISERROR(G9/G10),"",100*G9/G10)</f>
        <v/>
      </c>
      <c r="I11" s="1" t="b">
        <f>IF(AND(I9="TRUE",I10="TRUE"),"TRUE")</f>
        <v>0</v>
      </c>
      <c r="J11" s="1" t="b">
        <f t="shared" ref="J11:N11" si="2">IF(AND(J9="TRUE",J10="TRUE"),"TRUE")</f>
        <v>0</v>
      </c>
      <c r="K11" s="1" t="str">
        <f t="shared" si="2"/>
        <v>TRUE</v>
      </c>
      <c r="L11" s="1" t="b">
        <f t="shared" si="2"/>
        <v>0</v>
      </c>
      <c r="M11" s="1" t="b">
        <f t="shared" si="2"/>
        <v>0</v>
      </c>
      <c r="N11" s="1" t="b">
        <f t="shared" si="2"/>
        <v>0</v>
      </c>
      <c r="AA11" s="27" t="str">
        <f t="shared" si="1"/>
        <v/>
      </c>
    </row>
    <row r="12" spans="2:27" x14ac:dyDescent="0.3">
      <c r="B12" s="21" t="str">
        <f>IF('WV Tier 1'!B12="","",'WV Tier 1'!B12)</f>
        <v/>
      </c>
      <c r="C12" s="21" t="str">
        <f t="shared" si="0"/>
        <v/>
      </c>
      <c r="D12"/>
      <c r="E12" s="9" t="s">
        <v>10</v>
      </c>
      <c r="F12" s="10" t="s">
        <v>11</v>
      </c>
      <c r="G12" s="15"/>
      <c r="I12" s="11" t="str">
        <f>G10</f>
        <v/>
      </c>
      <c r="J12" s="11">
        <v>98.5</v>
      </c>
      <c r="K12" s="11">
        <v>101.5</v>
      </c>
      <c r="L12" s="11" t="str">
        <f>G10</f>
        <v/>
      </c>
      <c r="M12" s="11">
        <v>98.5</v>
      </c>
      <c r="N12" s="11">
        <f>G12</f>
        <v>0</v>
      </c>
      <c r="AA12" s="27" t="str">
        <f t="shared" si="1"/>
        <v/>
      </c>
    </row>
    <row r="13" spans="2:27" x14ac:dyDescent="0.3">
      <c r="B13" s="21" t="str">
        <f>IF('WV Tier 1'!B13="","",'WV Tier 1'!B13)</f>
        <v/>
      </c>
      <c r="C13" s="21" t="str">
        <f t="shared" si="0"/>
        <v/>
      </c>
      <c r="D13"/>
      <c r="E13" s="9" t="s">
        <v>12</v>
      </c>
      <c r="F13" s="10" t="s">
        <v>13</v>
      </c>
      <c r="G13" s="11" t="str">
        <f>IF(WV2_Target="","",HLOOKUP("TRUE",I11:N12,2))</f>
        <v/>
      </c>
      <c r="AA13" s="27" t="str">
        <f t="shared" si="1"/>
        <v/>
      </c>
    </row>
    <row r="14" spans="2:27" x14ac:dyDescent="0.3">
      <c r="B14" s="21" t="str">
        <f>IF('WV Tier 1'!B14="","",'WV Tier 1'!B14)</f>
        <v/>
      </c>
      <c r="C14" s="21" t="str">
        <f t="shared" si="0"/>
        <v/>
      </c>
      <c r="D14"/>
      <c r="E14" s="9" t="s">
        <v>14</v>
      </c>
      <c r="F14" s="10" t="s">
        <v>15</v>
      </c>
      <c r="G14" s="14" t="str">
        <f>IF(ISERROR(ABS(G13-G10)+G8*G9),"",ABS(G13-G10)+G8*G9)</f>
        <v/>
      </c>
      <c r="AA14" s="27" t="str">
        <f t="shared" si="1"/>
        <v/>
      </c>
    </row>
    <row r="15" spans="2:27" x14ac:dyDescent="0.3">
      <c r="B15" s="21" t="str">
        <f>IF('WV Tier 1'!B15="","",'WV Tier 1'!B15)</f>
        <v/>
      </c>
      <c r="C15" s="21" t="str">
        <f t="shared" si="0"/>
        <v/>
      </c>
      <c r="D15"/>
      <c r="E15" s="9" t="s">
        <v>16</v>
      </c>
      <c r="F15" s="16" t="s">
        <v>17</v>
      </c>
      <c r="G15" s="22">
        <v>15</v>
      </c>
      <c r="AA15" s="27" t="str">
        <f t="shared" si="1"/>
        <v/>
      </c>
    </row>
    <row r="16" spans="2:27" x14ac:dyDescent="0.3">
      <c r="B16" s="8"/>
      <c r="C16" s="21" t="str">
        <f t="shared" si="0"/>
        <v/>
      </c>
      <c r="D16"/>
      <c r="E16" s="9" t="s">
        <v>18</v>
      </c>
      <c r="F16" s="20" t="s">
        <v>25</v>
      </c>
      <c r="G16" s="11">
        <v>25</v>
      </c>
      <c r="I16" s="1" t="s">
        <v>35</v>
      </c>
      <c r="J16" s="1" t="s">
        <v>36</v>
      </c>
      <c r="K16" s="1" t="s">
        <v>37</v>
      </c>
      <c r="AA16" s="27" t="str">
        <f t="shared" si="1"/>
        <v/>
      </c>
    </row>
    <row r="17" spans="2:27" x14ac:dyDescent="0.3">
      <c r="B17" s="8"/>
      <c r="C17" s="21" t="str">
        <f t="shared" si="0"/>
        <v/>
      </c>
      <c r="D17"/>
      <c r="E17" s="9"/>
      <c r="F17" s="10" t="s">
        <v>21</v>
      </c>
      <c r="G17" s="11" t="str">
        <f>IF(AND(I17="TRUE",J17="TRUE",K17="TRUE"),"Pass","Fail")</f>
        <v>Fail</v>
      </c>
      <c r="I17" s="11" t="b">
        <f>IF(G14&lt;=G15,"TRUE")</f>
        <v>0</v>
      </c>
      <c r="J17" s="11" t="str">
        <f>IF(G13="","",IF(MAX(WV2_Assay)&gt;((1-0.01*G16)*G13),"TRUE"))</f>
        <v/>
      </c>
      <c r="K17" s="11" t="str">
        <f>IF(G13="","",IF(MIN(WV2_Assay)&lt;4*((1+0.01*G16)*G13),"TRUE"))</f>
        <v/>
      </c>
      <c r="AA17" s="27" t="str">
        <f t="shared" si="1"/>
        <v/>
      </c>
    </row>
    <row r="18" spans="2:27" x14ac:dyDescent="0.3">
      <c r="B18" s="8"/>
      <c r="C18" s="21" t="str">
        <f t="shared" si="0"/>
        <v/>
      </c>
      <c r="D18"/>
      <c r="AA18" s="27" t="str">
        <f t="shared" si="1"/>
        <v/>
      </c>
    </row>
    <row r="19" spans="2:27" x14ac:dyDescent="0.3">
      <c r="B19" s="8"/>
      <c r="C19" s="21" t="str">
        <f t="shared" si="0"/>
        <v/>
      </c>
      <c r="D19"/>
      <c r="E19" s="18"/>
      <c r="F19" s="19"/>
      <c r="AA19" s="27" t="str">
        <f t="shared" si="1"/>
        <v/>
      </c>
    </row>
    <row r="20" spans="2:27" x14ac:dyDescent="0.3">
      <c r="B20" s="8"/>
      <c r="C20" s="21" t="str">
        <f t="shared" si="0"/>
        <v/>
      </c>
      <c r="D20"/>
      <c r="AA20" s="27" t="str">
        <f t="shared" si="1"/>
        <v/>
      </c>
    </row>
    <row r="21" spans="2:27" x14ac:dyDescent="0.3">
      <c r="B21" s="8"/>
      <c r="C21" s="21" t="str">
        <f t="shared" si="0"/>
        <v/>
      </c>
      <c r="AA21" s="27" t="str">
        <f t="shared" si="1"/>
        <v/>
      </c>
    </row>
    <row r="22" spans="2:27" x14ac:dyDescent="0.3">
      <c r="B22" s="8"/>
      <c r="C22" s="21" t="str">
        <f t="shared" si="0"/>
        <v/>
      </c>
      <c r="AA22" s="27" t="str">
        <f t="shared" si="1"/>
        <v/>
      </c>
    </row>
    <row r="23" spans="2:27" x14ac:dyDescent="0.3">
      <c r="B23" s="8"/>
      <c r="C23" s="21" t="str">
        <f t="shared" si="0"/>
        <v/>
      </c>
      <c r="AA23" s="27" t="str">
        <f t="shared" si="1"/>
        <v/>
      </c>
    </row>
    <row r="24" spans="2:27" x14ac:dyDescent="0.3">
      <c r="B24" s="8"/>
      <c r="C24" s="21" t="str">
        <f t="shared" si="0"/>
        <v/>
      </c>
      <c r="AA24" s="27" t="str">
        <f t="shared" si="1"/>
        <v/>
      </c>
    </row>
    <row r="25" spans="2:27" x14ac:dyDescent="0.3">
      <c r="B25" s="8"/>
      <c r="C25" s="21" t="str">
        <f t="shared" si="0"/>
        <v/>
      </c>
      <c r="AA25" s="27" t="str">
        <f t="shared" si="1"/>
        <v/>
      </c>
    </row>
    <row r="26" spans="2:27" x14ac:dyDescent="0.3">
      <c r="B26" s="8"/>
      <c r="C26" s="21" t="str">
        <f t="shared" si="0"/>
        <v/>
      </c>
      <c r="AA26" s="27" t="str">
        <f t="shared" si="1"/>
        <v/>
      </c>
    </row>
    <row r="27" spans="2:27" x14ac:dyDescent="0.3">
      <c r="B27" s="8"/>
      <c r="C27" s="21" t="str">
        <f t="shared" si="0"/>
        <v/>
      </c>
      <c r="AA27" s="27" t="str">
        <f t="shared" si="1"/>
        <v/>
      </c>
    </row>
    <row r="28" spans="2:27" x14ac:dyDescent="0.3">
      <c r="B28" s="8"/>
      <c r="C28" s="21" t="str">
        <f t="shared" si="0"/>
        <v/>
      </c>
      <c r="AA28" s="27" t="str">
        <f t="shared" si="1"/>
        <v/>
      </c>
    </row>
    <row r="29" spans="2:27" x14ac:dyDescent="0.3">
      <c r="B29" s="8"/>
      <c r="C29" s="21" t="str">
        <f t="shared" si="0"/>
        <v/>
      </c>
      <c r="AA29" s="27" t="str">
        <f t="shared" si="1"/>
        <v/>
      </c>
    </row>
    <row r="30" spans="2:27" x14ac:dyDescent="0.3">
      <c r="B30" s="8"/>
      <c r="C30" s="21" t="str">
        <f t="shared" si="0"/>
        <v/>
      </c>
      <c r="AA30" s="27" t="str">
        <f t="shared" si="1"/>
        <v/>
      </c>
    </row>
    <row r="31" spans="2:27" x14ac:dyDescent="0.3">
      <c r="B31" s="8"/>
      <c r="C31" s="21" t="str">
        <f t="shared" si="0"/>
        <v/>
      </c>
      <c r="AA31" s="27" t="str">
        <f t="shared" si="1"/>
        <v/>
      </c>
    </row>
    <row r="32" spans="2:27" x14ac:dyDescent="0.3">
      <c r="B32" s="8"/>
      <c r="C32" s="21" t="str">
        <f t="shared" si="0"/>
        <v/>
      </c>
      <c r="AA32" s="27" t="str">
        <f t="shared" si="1"/>
        <v/>
      </c>
    </row>
    <row r="33" spans="2:27" x14ac:dyDescent="0.3">
      <c r="B33" s="8"/>
      <c r="C33" s="21" t="str">
        <f t="shared" si="0"/>
        <v/>
      </c>
      <c r="AA33" s="27" t="str">
        <f t="shared" si="1"/>
        <v/>
      </c>
    </row>
    <row r="34" spans="2:27" x14ac:dyDescent="0.3">
      <c r="B34" s="8"/>
      <c r="C34" s="21" t="str">
        <f t="shared" si="0"/>
        <v/>
      </c>
      <c r="AA34" s="27" t="str">
        <f t="shared" si="1"/>
        <v/>
      </c>
    </row>
    <row r="35" spans="2:27" x14ac:dyDescent="0.3">
      <c r="B35" s="8"/>
      <c r="C35" s="21" t="str">
        <f t="shared" si="0"/>
        <v/>
      </c>
      <c r="AA35" s="27" t="str">
        <f t="shared" si="1"/>
        <v/>
      </c>
    </row>
  </sheetData>
  <mergeCells count="1">
    <mergeCell ref="B3:G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3B383-CFB3-4FB0-BB5B-1E6A5CC2CF2C}">
  <sheetPr codeName="Sheet2"/>
  <dimension ref="B2:M23"/>
  <sheetViews>
    <sheetView showGridLines="0" workbookViewId="0"/>
  </sheetViews>
  <sheetFormatPr defaultRowHeight="14.4" x14ac:dyDescent="0.3"/>
  <cols>
    <col min="1" max="1" width="3.88671875" customWidth="1"/>
    <col min="2" max="2" width="28.44140625" bestFit="1" customWidth="1"/>
    <col min="3" max="4" width="8.88671875" customWidth="1"/>
    <col min="5" max="5" width="26.21875" customWidth="1"/>
    <col min="6" max="6" width="28.44140625" customWidth="1"/>
    <col min="7" max="7" width="8.88671875" customWidth="1"/>
    <col min="9" max="9" width="16.33203125" bestFit="1" customWidth="1"/>
    <col min="10" max="10" width="17" bestFit="1" customWidth="1"/>
    <col min="11" max="11" width="10.6640625" bestFit="1" customWidth="1"/>
    <col min="12" max="12" width="14.88671875" style="1" bestFit="1" customWidth="1"/>
    <col min="13" max="13" width="13.6640625" style="1" bestFit="1" customWidth="1"/>
  </cols>
  <sheetData>
    <row r="2" spans="2:13" x14ac:dyDescent="0.3">
      <c r="B2" t="s">
        <v>57</v>
      </c>
    </row>
    <row r="3" spans="2:13" x14ac:dyDescent="0.3">
      <c r="E3" t="s">
        <v>48</v>
      </c>
      <c r="F3" t="s">
        <v>49</v>
      </c>
    </row>
    <row r="4" spans="2:13" x14ac:dyDescent="0.3">
      <c r="B4" t="s">
        <v>45</v>
      </c>
      <c r="C4" t="s">
        <v>46</v>
      </c>
      <c r="D4" t="s">
        <v>47</v>
      </c>
      <c r="E4" t="str">
        <f>SUBSTITUTE(E3," ","")</f>
        <v>SolidsinSingleUnitContainers</v>
      </c>
      <c r="F4" t="str">
        <f>SUBSTITUTE(F3," ","")</f>
        <v>SolutionsinUnitDoseContainers</v>
      </c>
      <c r="G4" t="s">
        <v>50</v>
      </c>
      <c r="L4" s="30" t="s">
        <v>72</v>
      </c>
      <c r="M4" s="1" t="s">
        <v>73</v>
      </c>
    </row>
    <row r="5" spans="2:13" x14ac:dyDescent="0.3">
      <c r="B5" s="27" t="s">
        <v>46</v>
      </c>
      <c r="C5" s="27" t="s">
        <v>51</v>
      </c>
      <c r="D5" s="27" t="s">
        <v>53</v>
      </c>
      <c r="E5" s="27" t="s">
        <v>55</v>
      </c>
      <c r="F5" s="27"/>
      <c r="G5" s="27"/>
      <c r="I5" s="27" t="s">
        <v>59</v>
      </c>
      <c r="J5" s="27" t="s">
        <v>60</v>
      </c>
      <c r="K5" s="27"/>
      <c r="L5" s="31" t="s">
        <v>74</v>
      </c>
      <c r="M5" s="31" t="s">
        <v>75</v>
      </c>
    </row>
    <row r="6" spans="2:13" x14ac:dyDescent="0.3">
      <c r="B6" s="27" t="s">
        <v>47</v>
      </c>
      <c r="C6" s="27" t="s">
        <v>52</v>
      </c>
      <c r="D6" s="27" t="s">
        <v>54</v>
      </c>
      <c r="E6" s="27" t="s">
        <v>56</v>
      </c>
      <c r="F6" s="27"/>
      <c r="G6" s="27"/>
      <c r="I6" s="27" t="s">
        <v>59</v>
      </c>
      <c r="J6" s="27" t="s">
        <v>58</v>
      </c>
      <c r="K6" s="27" t="s">
        <v>61</v>
      </c>
      <c r="L6" s="31" t="s">
        <v>74</v>
      </c>
      <c r="M6" s="31" t="s">
        <v>75</v>
      </c>
    </row>
    <row r="7" spans="2:13" x14ac:dyDescent="0.3">
      <c r="B7" s="27" t="s">
        <v>48</v>
      </c>
      <c r="C7" s="27"/>
      <c r="D7" s="27"/>
      <c r="E7" s="27"/>
      <c r="F7" s="27"/>
      <c r="G7" s="27"/>
      <c r="I7" s="27" t="s">
        <v>59</v>
      </c>
      <c r="J7" s="27" t="s">
        <v>58</v>
      </c>
      <c r="K7" s="27" t="s">
        <v>62</v>
      </c>
      <c r="L7" s="31" t="s">
        <v>75</v>
      </c>
      <c r="M7" s="31" t="s">
        <v>75</v>
      </c>
    </row>
    <row r="8" spans="2:13" x14ac:dyDescent="0.3">
      <c r="B8" s="27" t="s">
        <v>49</v>
      </c>
      <c r="C8" s="27"/>
      <c r="D8" s="27"/>
      <c r="E8" s="27"/>
      <c r="F8" s="27"/>
      <c r="G8" s="27"/>
      <c r="I8" s="27" t="s">
        <v>63</v>
      </c>
      <c r="J8" s="27" t="s">
        <v>64</v>
      </c>
      <c r="K8" s="27"/>
      <c r="L8" s="31" t="s">
        <v>74</v>
      </c>
      <c r="M8" s="31" t="s">
        <v>75</v>
      </c>
    </row>
    <row r="9" spans="2:13" x14ac:dyDescent="0.3">
      <c r="B9" s="27" t="s">
        <v>50</v>
      </c>
      <c r="C9" s="27"/>
      <c r="D9" s="27"/>
      <c r="E9" s="27"/>
      <c r="F9" s="27"/>
      <c r="G9" s="27"/>
      <c r="I9" s="27" t="s">
        <v>63</v>
      </c>
      <c r="J9" s="27" t="s">
        <v>65</v>
      </c>
      <c r="K9" s="27" t="s">
        <v>62</v>
      </c>
      <c r="L9" s="31" t="s">
        <v>75</v>
      </c>
      <c r="M9" s="31" t="s">
        <v>75</v>
      </c>
    </row>
    <row r="10" spans="2:13" x14ac:dyDescent="0.3">
      <c r="I10" s="27" t="s">
        <v>63</v>
      </c>
      <c r="J10" s="27" t="s">
        <v>65</v>
      </c>
      <c r="K10" s="27" t="s">
        <v>66</v>
      </c>
      <c r="L10" s="31" t="s">
        <v>74</v>
      </c>
      <c r="M10" s="31" t="s">
        <v>74</v>
      </c>
    </row>
    <row r="11" spans="2:13" x14ac:dyDescent="0.3">
      <c r="I11" s="27" t="s">
        <v>67</v>
      </c>
      <c r="J11" s="27" t="s">
        <v>68</v>
      </c>
      <c r="K11" s="27"/>
      <c r="L11" s="31" t="s">
        <v>74</v>
      </c>
      <c r="M11" s="31" t="s">
        <v>74</v>
      </c>
    </row>
    <row r="12" spans="2:13" x14ac:dyDescent="0.3">
      <c r="I12" s="27" t="s">
        <v>67</v>
      </c>
      <c r="J12" s="27" t="s">
        <v>69</v>
      </c>
      <c r="K12" s="27" t="s">
        <v>70</v>
      </c>
      <c r="L12" s="31" t="s">
        <v>74</v>
      </c>
      <c r="M12" s="31" t="s">
        <v>74</v>
      </c>
    </row>
    <row r="13" spans="2:13" x14ac:dyDescent="0.3">
      <c r="C13" s="6" t="s">
        <v>27</v>
      </c>
      <c r="D13" s="6" t="s">
        <v>26</v>
      </c>
      <c r="G13" s="6" t="s">
        <v>27</v>
      </c>
      <c r="I13" s="27" t="s">
        <v>67</v>
      </c>
      <c r="J13" s="27" t="s">
        <v>69</v>
      </c>
      <c r="K13" s="27" t="s">
        <v>62</v>
      </c>
      <c r="L13" s="31" t="s">
        <v>75</v>
      </c>
      <c r="M13" s="31" t="s">
        <v>75</v>
      </c>
    </row>
    <row r="14" spans="2:13" x14ac:dyDescent="0.3">
      <c r="C14" s="23">
        <v>2.5586000000000002</v>
      </c>
      <c r="D14" s="25">
        <v>100</v>
      </c>
      <c r="G14" s="23">
        <v>2.5586000000000002</v>
      </c>
      <c r="I14" s="27" t="s">
        <v>71</v>
      </c>
      <c r="J14" s="27"/>
      <c r="K14" s="27"/>
      <c r="L14" s="31" t="s">
        <v>74</v>
      </c>
      <c r="M14" s="31" t="s">
        <v>74</v>
      </c>
    </row>
    <row r="15" spans="2:13" x14ac:dyDescent="0.3">
      <c r="C15" s="23">
        <v>2.5586199999999999</v>
      </c>
      <c r="D15" s="25">
        <v>100.3</v>
      </c>
      <c r="G15" s="23">
        <v>2.5586199999999999</v>
      </c>
      <c r="I15" s="27" t="s">
        <v>62</v>
      </c>
      <c r="J15" s="27"/>
      <c r="K15" s="27"/>
      <c r="L15" s="31" t="s">
        <v>75</v>
      </c>
      <c r="M15" s="31" t="s">
        <v>75</v>
      </c>
    </row>
    <row r="16" spans="2:13" x14ac:dyDescent="0.3">
      <c r="C16" s="23">
        <v>2.55864</v>
      </c>
      <c r="D16" s="25">
        <v>100.6</v>
      </c>
      <c r="G16" s="23">
        <v>2.55864</v>
      </c>
    </row>
    <row r="17" spans="3:10" x14ac:dyDescent="0.3">
      <c r="C17" s="23">
        <v>2.5586600000000002</v>
      </c>
      <c r="D17" s="25">
        <v>100.9</v>
      </c>
      <c r="G17" s="23">
        <v>2.5586600000000002</v>
      </c>
    </row>
    <row r="18" spans="3:10" x14ac:dyDescent="0.3">
      <c r="C18" s="23">
        <v>2.5586799999999998</v>
      </c>
      <c r="D18" s="25">
        <v>101.2</v>
      </c>
      <c r="G18" s="23">
        <v>2.5586799999999998</v>
      </c>
      <c r="I18" s="27" t="s">
        <v>76</v>
      </c>
      <c r="J18" s="27"/>
    </row>
    <row r="19" spans="3:10" x14ac:dyDescent="0.3">
      <c r="C19" s="23">
        <v>2.5587</v>
      </c>
      <c r="D19" s="25">
        <v>101.5</v>
      </c>
      <c r="G19" s="23">
        <v>2.5587</v>
      </c>
      <c r="I19" s="27" t="s">
        <v>77</v>
      </c>
      <c r="J19" s="27"/>
    </row>
    <row r="20" spans="3:10" x14ac:dyDescent="0.3">
      <c r="C20" s="23">
        <v>2.5587200000000001</v>
      </c>
      <c r="D20" s="25">
        <v>101.8</v>
      </c>
      <c r="G20" s="23">
        <v>2.5587200000000001</v>
      </c>
      <c r="I20" s="27" t="s">
        <v>78</v>
      </c>
      <c r="J20" s="27"/>
    </row>
    <row r="21" spans="3:10" x14ac:dyDescent="0.3">
      <c r="C21" s="23">
        <v>2.5587399999999998</v>
      </c>
      <c r="D21" s="25">
        <v>102.1</v>
      </c>
      <c r="G21" s="23">
        <v>2.5587399999999998</v>
      </c>
      <c r="I21" s="27" t="s">
        <v>79</v>
      </c>
      <c r="J21" s="27"/>
    </row>
    <row r="22" spans="3:10" x14ac:dyDescent="0.3">
      <c r="C22" s="23">
        <v>2.5587599999999999</v>
      </c>
      <c r="D22" s="25">
        <v>102.4</v>
      </c>
      <c r="G22" s="23">
        <v>2.5587599999999999</v>
      </c>
    </row>
    <row r="23" spans="3:10" x14ac:dyDescent="0.3">
      <c r="C23" s="23">
        <v>2.5587800000000001</v>
      </c>
      <c r="D23" s="25">
        <v>102.7</v>
      </c>
      <c r="G23" s="23">
        <v>2.5587800000000001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84C255B8E8984DB69C871192B82DD1" ma:contentTypeVersion="14" ma:contentTypeDescription="Create a new document." ma:contentTypeScope="" ma:versionID="0de5d58d569b7b2ee94935390ad540fa">
  <xsd:schema xmlns:xsd="http://www.w3.org/2001/XMLSchema" xmlns:xs="http://www.w3.org/2001/XMLSchema" xmlns:p="http://schemas.microsoft.com/office/2006/metadata/properties" xmlns:ns3="f54140eb-bb2e-4653-b579-80a2b145bc38" xmlns:ns4="7a55d364-e408-47fc-ac1e-197bc6b627e6" targetNamespace="http://schemas.microsoft.com/office/2006/metadata/properties" ma:root="true" ma:fieldsID="2322e46e2a7247d400eb0004ac0f4a2d" ns3:_="" ns4:_="">
    <xsd:import namespace="f54140eb-bb2e-4653-b579-80a2b145bc38"/>
    <xsd:import namespace="7a55d364-e408-47fc-ac1e-197bc6b627e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4140eb-bb2e-4653-b579-80a2b145bc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55d364-e408-47fc-ac1e-197bc6b627e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606935-8BD3-497E-97D3-83710349E4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4140eb-bb2e-4653-b579-80a2b145bc38"/>
    <ds:schemaRef ds:uri="7a55d364-e408-47fc-ac1e-197bc6b627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55A1E2-0142-4BB5-B9BC-449094482E23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7a55d364-e408-47fc-ac1e-197bc6b627e6"/>
    <ds:schemaRef ds:uri="f54140eb-bb2e-4653-b579-80a2b145bc38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EA7280C-E91F-462E-8D1E-058455BF3A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31</vt:i4>
      </vt:variant>
    </vt:vector>
  </HeadingPairs>
  <TitlesOfParts>
    <vt:vector size="37" baseType="lpstr">
      <vt:lpstr>How It Works</vt:lpstr>
      <vt:lpstr>CU Tier 1</vt:lpstr>
      <vt:lpstr>CU Tier 2</vt:lpstr>
      <vt:lpstr>WV Tier 1</vt:lpstr>
      <vt:lpstr>WV Tier 2</vt:lpstr>
      <vt:lpstr>HiddenSheet</vt:lpstr>
      <vt:lpstr>Capsules</vt:lpstr>
      <vt:lpstr>CU1_Assay</vt:lpstr>
      <vt:lpstr>CU1_Average</vt:lpstr>
      <vt:lpstr>CU1_Button</vt:lpstr>
      <vt:lpstr>CU1_Target</vt:lpstr>
      <vt:lpstr>CU1_Weights</vt:lpstr>
      <vt:lpstr>CU2_Assay</vt:lpstr>
      <vt:lpstr>CU2_Average</vt:lpstr>
      <vt:lpstr>CU2_Target</vt:lpstr>
      <vt:lpstr>CU2_Weights</vt:lpstr>
      <vt:lpstr>hidden_CUData</vt:lpstr>
      <vt:lpstr>hidden_WVData</vt:lpstr>
      <vt:lpstr>rContentUniformityButton</vt:lpstr>
      <vt:lpstr>rCopyData</vt:lpstr>
      <vt:lpstr>rCopyDataButton</vt:lpstr>
      <vt:lpstr>rDecisionTree</vt:lpstr>
      <vt:lpstr>rDecisionTreeButton</vt:lpstr>
      <vt:lpstr>rWeightVariationButton</vt:lpstr>
      <vt:lpstr>Tablets</vt:lpstr>
      <vt:lpstr>type_capsules</vt:lpstr>
      <vt:lpstr>type_solids</vt:lpstr>
      <vt:lpstr>type_tablets</vt:lpstr>
      <vt:lpstr>WV1_Assay</vt:lpstr>
      <vt:lpstr>WV1_Average</vt:lpstr>
      <vt:lpstr>WV1_Button</vt:lpstr>
      <vt:lpstr>WV1_Target</vt:lpstr>
      <vt:lpstr>WV1_Weights</vt:lpstr>
      <vt:lpstr>WV2_Assay</vt:lpstr>
      <vt:lpstr>WV2_Average</vt:lpstr>
      <vt:lpstr>WV2_Target</vt:lpstr>
      <vt:lpstr>WV2_Weights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Henry</dc:creator>
  <cp:lastModifiedBy>Christopher Henry</cp:lastModifiedBy>
  <dcterms:created xsi:type="dcterms:W3CDTF">2022-01-26T13:53:50Z</dcterms:created>
  <dcterms:modified xsi:type="dcterms:W3CDTF">2022-07-28T02:08:27Z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0x0101003B84C255B8E8984DB69C871192B82DD1</vt:lpwstr>
  </property>
</Properties>
</file>