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teche\Desktop\Current Templates\"/>
    </mc:Choice>
  </mc:AlternateContent>
  <bookViews>
    <workbookView xWindow="0" yWindow="0" windowWidth="20490" windowHeight="7755" tabRatio="766"/>
  </bookViews>
  <sheets>
    <sheet name="Intro" sheetId="7" r:id="rId1"/>
    <sheet name="Development Process" sheetId="1" r:id="rId2"/>
    <sheet name="Viscosity0" sheetId="27" state="hidden" r:id="rId3"/>
    <sheet name="Attachments" sheetId="26" state="hidden" r:id="rId4"/>
    <sheet name="Sheet0" sheetId="25" state="hidden" r:id="rId5"/>
    <sheet name="HPLC Method" sheetId="19" state="hidden" r:id="rId6"/>
    <sheet name="GC Method" sheetId="20" state="hidden" r:id="rId7"/>
    <sheet name="HiddenSheet" sheetId="17" state="hidden" r:id="rId8"/>
  </sheets>
  <functionGroups builtInGroupCount="18"/>
  <definedNames>
    <definedName name="chromData_Action">'Development Process'!$E$8:$E$57</definedName>
    <definedName name="chromData_AddRow">'Development Process'!$B$4</definedName>
    <definedName name="chromData_AttachmentIDs">'Development Process'!$G$8:$G$57</definedName>
    <definedName name="chromData_Buttons">'Development Process'!$B$8:$B$57</definedName>
    <definedName name="chromData_Note">'Development Process'!$D$61</definedName>
    <definedName name="chromData_NoteButton">'Development Process'!$B$61</definedName>
    <definedName name="chromData_NoteHeader">'Development Process'!$D$60</definedName>
    <definedName name="chromData_SequenceID">'Development Process'!$C$8:$C$57</definedName>
    <definedName name="chromData_SequenceTypes">'Development Process'!$D$8:$D$57</definedName>
    <definedName name="chromData_Worksheets">'Development Process'!$H$8:$H$57</definedName>
    <definedName name="hidden_Analytes">HiddenSheet!$B$14:$B$16</definedName>
    <definedName name="hidden_ButtonText">HiddenSheet!$AH$5:$AI$12</definedName>
    <definedName name="hidden_Chirality">HiddenSheet!$C$42:$C$44</definedName>
    <definedName name="hidden_ColumnEquivalencyTable">HiddenSheet!$F$5:$G$13</definedName>
    <definedName name="hidden_Conclusion">HiddenSheet!$C$23</definedName>
    <definedName name="hidden_EENum">HiddenSheet!$G$31</definedName>
    <definedName name="hidden_ForcedDeg">HiddenSheet!$F$58:$G$64</definedName>
    <definedName name="hidden_GCManufacturer">HiddenSheet!$AF$5:$AF$26</definedName>
    <definedName name="hidden_GCStationary">HiddenSheet!$AE$5:$AE$26</definedName>
    <definedName name="hidden_LCDimension">HiddenSheet!$AD$5:$AD$22</definedName>
    <definedName name="hidden_LCManufacturer">HiddenSheet!$AC$5:$AC$22</definedName>
    <definedName name="hidden_LCStationary">HiddenSheet!$AB$5:$AB$22</definedName>
    <definedName name="hidden_MaterialType">HiddenSheet!$D$27:$D$29</definedName>
    <definedName name="hidden_NoteLookupTable">HiddenSheet!$F$49:$G$84</definedName>
    <definedName name="hidden_Phase">HiddenSheet!$C$27:$C$29</definedName>
    <definedName name="hidden_RiskAssessment">HiddenSheet!$D$42</definedName>
    <definedName name="hidden_SheetTypes">HiddenSheet!$E$5:$E$8</definedName>
    <definedName name="hidden_Short">HiddenSheet!$Z$5:$Z$21</definedName>
    <definedName name="hidden_Technique">HiddenSheet!$D$33:$D$38</definedName>
    <definedName name="hidden_TestType">HiddenSheet!$C$33:$C$35</definedName>
    <definedName name="intro_Chirality">Intro!$F$16</definedName>
    <definedName name="intro_Conclusion">Intro!$B$9</definedName>
    <definedName name="intro_DevPhase">Intro!$F$12</definedName>
    <definedName name="intro_EndingPoint">Intro!$C$13</definedName>
    <definedName name="intro_MethodType">Intro!$F$13</definedName>
    <definedName name="intro_MethodTypeB">Intro!$F$14</definedName>
    <definedName name="intro_Purpose">Intro!$B$6:$B$6</definedName>
    <definedName name="intro_StartingPoint">Intro!$C$12</definedName>
    <definedName name="intro_Technique">Intro!$F$15</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7" i="17" l="1"/>
  <c r="Z8" i="17"/>
  <c r="Z9" i="17"/>
  <c r="Z10" i="17"/>
  <c r="Z11" i="17"/>
  <c r="Z12" i="17"/>
  <c r="Z13" i="17"/>
  <c r="Z14" i="17"/>
  <c r="Z15" i="17"/>
  <c r="Z16" i="17"/>
  <c r="Z17" i="17"/>
  <c r="Z18" i="17"/>
  <c r="Z19" i="17"/>
  <c r="Z20" i="17"/>
  <c r="Z21" i="17"/>
  <c r="H77" i="17"/>
  <c r="H76" i="17"/>
  <c r="H75" i="17"/>
  <c r="H74" i="17"/>
  <c r="H78" i="17"/>
  <c r="Z6" i="17"/>
  <c r="Z5" i="17"/>
  <c r="F23" i="20" l="1"/>
  <c r="F24" i="20" l="1"/>
  <c r="F25" i="20" s="1"/>
  <c r="F26" i="20" s="1"/>
  <c r="F27" i="20" s="1"/>
  <c r="F28" i="20" s="1"/>
  <c r="F29" i="20" s="1"/>
  <c r="F30" i="20" l="1"/>
  <c r="J11" i="27" l="1"/>
  <c r="J12" i="27"/>
  <c r="J13" i="27"/>
  <c r="J14" i="27"/>
  <c r="J15" i="27"/>
  <c r="J16" i="27"/>
  <c r="J17" i="27"/>
  <c r="J18" i="27"/>
  <c r="J19" i="27"/>
  <c r="J20" i="27"/>
  <c r="J21" i="27"/>
  <c r="J22" i="27"/>
  <c r="J23" i="27"/>
  <c r="J24" i="27"/>
  <c r="J25" i="27"/>
  <c r="J26" i="27"/>
  <c r="J27" i="27"/>
  <c r="J28" i="27"/>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K101" i="27"/>
  <c r="K100" i="27"/>
  <c r="K99" i="27"/>
  <c r="K98" i="27"/>
  <c r="K97" i="27"/>
  <c r="K96" i="27"/>
  <c r="K95" i="27"/>
  <c r="K94" i="27"/>
  <c r="K93" i="27"/>
  <c r="K92" i="27"/>
  <c r="K91" i="27"/>
  <c r="K90" i="27"/>
  <c r="K89" i="27"/>
  <c r="K88" i="27"/>
  <c r="K87" i="27"/>
  <c r="K86" i="27"/>
  <c r="K85" i="27"/>
  <c r="K84" i="27"/>
  <c r="K83" i="27"/>
  <c r="K82" i="27"/>
  <c r="K81" i="27"/>
  <c r="K80" i="27"/>
  <c r="K79" i="27"/>
  <c r="K78" i="27"/>
  <c r="K77" i="27"/>
  <c r="K76" i="27"/>
  <c r="K75" i="27"/>
  <c r="K74" i="27"/>
  <c r="K73" i="27"/>
  <c r="K72" i="27"/>
  <c r="K71" i="27"/>
  <c r="K70" i="27"/>
  <c r="K69" i="27"/>
  <c r="K68" i="27"/>
  <c r="K67" i="27"/>
  <c r="K66" i="27"/>
  <c r="K65" i="27"/>
  <c r="K64" i="27"/>
  <c r="K63" i="27"/>
  <c r="K62" i="27"/>
  <c r="K61" i="27"/>
  <c r="K60" i="27"/>
  <c r="K59" i="27"/>
  <c r="K58" i="27"/>
  <c r="K57" i="27"/>
  <c r="K56" i="27"/>
  <c r="K55" i="27"/>
  <c r="K54" i="27"/>
  <c r="K53" i="27"/>
  <c r="K52" i="27"/>
  <c r="K51" i="27"/>
  <c r="K50" i="27"/>
  <c r="K49" i="27"/>
  <c r="K48" i="27"/>
  <c r="K47" i="27"/>
  <c r="K46" i="27"/>
  <c r="K45" i="27"/>
  <c r="K44" i="27"/>
  <c r="K43" i="27"/>
  <c r="K42" i="27"/>
  <c r="K41" i="27"/>
  <c r="K40" i="27"/>
  <c r="K39" i="27"/>
  <c r="K38" i="27"/>
  <c r="K37" i="27"/>
  <c r="K36" i="27"/>
  <c r="K35" i="27"/>
  <c r="K34" i="27"/>
  <c r="K33" i="27"/>
  <c r="K32" i="27"/>
  <c r="K31" i="27"/>
  <c r="K30" i="27"/>
  <c r="K29" i="27"/>
  <c r="K28" i="27"/>
  <c r="K27" i="27"/>
  <c r="K26" i="27"/>
  <c r="K25" i="27"/>
  <c r="K24" i="27"/>
  <c r="K23" i="27"/>
  <c r="K22" i="27"/>
  <c r="K21" i="27"/>
  <c r="K20" i="27"/>
  <c r="K19" i="27"/>
  <c r="K18" i="27"/>
  <c r="K17" i="27"/>
  <c r="K16" i="27"/>
  <c r="K15" i="27"/>
  <c r="K14" i="27"/>
  <c r="K13" i="27"/>
  <c r="K12" i="27"/>
  <c r="K11" i="27"/>
  <c r="H81" i="17" l="1"/>
  <c r="H57" i="17" l="1"/>
  <c r="H83" i="17" l="1"/>
  <c r="H50" i="17" l="1"/>
  <c r="H51" i="17"/>
  <c r="H52" i="17"/>
  <c r="H53" i="17"/>
  <c r="H54" i="17"/>
  <c r="H55" i="17"/>
  <c r="H56" i="17"/>
  <c r="H58" i="17"/>
  <c r="H59" i="17"/>
  <c r="H60" i="17"/>
  <c r="H61" i="17"/>
  <c r="H62" i="17"/>
  <c r="H63" i="17"/>
  <c r="H64" i="17"/>
  <c r="H65" i="17"/>
  <c r="H66" i="17"/>
  <c r="H67" i="17"/>
  <c r="H68" i="17"/>
  <c r="H69" i="17"/>
  <c r="H70" i="17"/>
  <c r="H71" i="17"/>
  <c r="H72" i="17"/>
  <c r="H73" i="17"/>
  <c r="H79" i="17"/>
  <c r="H80" i="17"/>
  <c r="H82" i="17"/>
  <c r="H84" i="17"/>
  <c r="H49" i="17"/>
  <c r="F15" i="1" l="1"/>
  <c r="K15" i="1" s="1"/>
  <c r="L15" i="1"/>
  <c r="M15" i="1"/>
  <c r="F16" i="1"/>
  <c r="K16" i="1" s="1"/>
  <c r="L16" i="1"/>
  <c r="M16" i="1"/>
  <c r="F17" i="1"/>
  <c r="K17" i="1" s="1"/>
  <c r="L17" i="1"/>
  <c r="M17" i="1"/>
  <c r="F18" i="1"/>
  <c r="K18" i="1" s="1"/>
  <c r="L18" i="1"/>
  <c r="M18" i="1"/>
  <c r="F19" i="1"/>
  <c r="K19" i="1" s="1"/>
  <c r="L19" i="1"/>
  <c r="M19" i="1"/>
  <c r="F20" i="1"/>
  <c r="K20" i="1" s="1"/>
  <c r="L20" i="1"/>
  <c r="M20" i="1"/>
  <c r="F21" i="1"/>
  <c r="K21" i="1" s="1"/>
  <c r="L21" i="1"/>
  <c r="M21" i="1"/>
  <c r="F22" i="1"/>
  <c r="K22" i="1" s="1"/>
  <c r="L22" i="1"/>
  <c r="M22" i="1"/>
  <c r="F23" i="1"/>
  <c r="K23" i="1" s="1"/>
  <c r="L23" i="1"/>
  <c r="M23" i="1"/>
  <c r="F24" i="1"/>
  <c r="K24" i="1" s="1"/>
  <c r="L24" i="1"/>
  <c r="M24" i="1"/>
  <c r="F25" i="1"/>
  <c r="K25" i="1" s="1"/>
  <c r="L25" i="1"/>
  <c r="M25" i="1"/>
  <c r="F26" i="1"/>
  <c r="K26" i="1" s="1"/>
  <c r="L26" i="1"/>
  <c r="M26" i="1"/>
  <c r="F27" i="1"/>
  <c r="K27" i="1" s="1"/>
  <c r="L27" i="1"/>
  <c r="M27" i="1"/>
  <c r="F28" i="1"/>
  <c r="K28" i="1" s="1"/>
  <c r="L28" i="1"/>
  <c r="M28" i="1"/>
  <c r="F29" i="1"/>
  <c r="K29" i="1" s="1"/>
  <c r="L29" i="1"/>
  <c r="M29" i="1"/>
  <c r="F30" i="1"/>
  <c r="K30" i="1" s="1"/>
  <c r="L30" i="1"/>
  <c r="M30" i="1"/>
  <c r="F31" i="1"/>
  <c r="K31" i="1" s="1"/>
  <c r="L31" i="1"/>
  <c r="M31" i="1"/>
  <c r="F32" i="1"/>
  <c r="K32" i="1" s="1"/>
  <c r="L32" i="1"/>
  <c r="M32" i="1"/>
  <c r="F33" i="1"/>
  <c r="K33" i="1" s="1"/>
  <c r="L33" i="1"/>
  <c r="M33" i="1"/>
  <c r="F34" i="1"/>
  <c r="K34" i="1" s="1"/>
  <c r="L34" i="1"/>
  <c r="M34" i="1"/>
  <c r="F35" i="1"/>
  <c r="K35" i="1" s="1"/>
  <c r="L35" i="1"/>
  <c r="M35" i="1"/>
  <c r="F36" i="1"/>
  <c r="K36" i="1" s="1"/>
  <c r="L36" i="1"/>
  <c r="M36" i="1"/>
  <c r="F37" i="1"/>
  <c r="K37" i="1" s="1"/>
  <c r="L37" i="1"/>
  <c r="M37" i="1"/>
  <c r="F38" i="1"/>
  <c r="K38" i="1" s="1"/>
  <c r="L38" i="1"/>
  <c r="M38" i="1"/>
  <c r="F39" i="1"/>
  <c r="K39" i="1" s="1"/>
  <c r="L39" i="1"/>
  <c r="M39" i="1"/>
  <c r="F40" i="1"/>
  <c r="K40" i="1" s="1"/>
  <c r="L40" i="1"/>
  <c r="M40" i="1"/>
  <c r="F41" i="1"/>
  <c r="K41" i="1" s="1"/>
  <c r="L41" i="1"/>
  <c r="M41" i="1"/>
  <c r="F42" i="1"/>
  <c r="K42" i="1" s="1"/>
  <c r="L42" i="1"/>
  <c r="M42" i="1"/>
  <c r="F43" i="1"/>
  <c r="K43" i="1" s="1"/>
  <c r="L43" i="1"/>
  <c r="M43" i="1"/>
  <c r="F44" i="1"/>
  <c r="K44" i="1" s="1"/>
  <c r="L44" i="1"/>
  <c r="M44" i="1"/>
  <c r="F45" i="1"/>
  <c r="K45" i="1" s="1"/>
  <c r="L45" i="1"/>
  <c r="M45" i="1"/>
  <c r="F46" i="1"/>
  <c r="K46" i="1" s="1"/>
  <c r="L46" i="1"/>
  <c r="M46" i="1"/>
  <c r="F47" i="1"/>
  <c r="K47" i="1" s="1"/>
  <c r="L47" i="1"/>
  <c r="M47" i="1"/>
  <c r="F48" i="1"/>
  <c r="K48" i="1" s="1"/>
  <c r="L48" i="1"/>
  <c r="M48" i="1"/>
  <c r="F49" i="1"/>
  <c r="K49" i="1" s="1"/>
  <c r="L49" i="1"/>
  <c r="M49" i="1"/>
  <c r="F50" i="1"/>
  <c r="K50" i="1" s="1"/>
  <c r="L50" i="1"/>
  <c r="M50" i="1"/>
  <c r="F51" i="1"/>
  <c r="K51" i="1" s="1"/>
  <c r="L51" i="1"/>
  <c r="M51" i="1"/>
  <c r="F52" i="1"/>
  <c r="K52" i="1" s="1"/>
  <c r="L52" i="1"/>
  <c r="M52" i="1"/>
  <c r="F53" i="1"/>
  <c r="K53" i="1" s="1"/>
  <c r="L53" i="1"/>
  <c r="M53" i="1"/>
  <c r="F54" i="1"/>
  <c r="K54" i="1" s="1"/>
  <c r="L54" i="1"/>
  <c r="M54" i="1"/>
  <c r="F55" i="1"/>
  <c r="K55" i="1" s="1"/>
  <c r="L55" i="1"/>
  <c r="M55" i="1"/>
  <c r="F56" i="1"/>
  <c r="K56" i="1" s="1"/>
  <c r="L56" i="1"/>
  <c r="M56" i="1"/>
  <c r="F57" i="1"/>
  <c r="K57" i="1" s="1"/>
  <c r="L57" i="1"/>
  <c r="M57" i="1"/>
  <c r="L8" i="1" l="1"/>
  <c r="M8" i="1"/>
  <c r="L9" i="1"/>
  <c r="M9" i="1"/>
  <c r="L10" i="1"/>
  <c r="M10" i="1"/>
  <c r="L11" i="1"/>
  <c r="M11" i="1"/>
  <c r="L12" i="1"/>
  <c r="M12" i="1"/>
  <c r="L13" i="1"/>
  <c r="M13" i="1"/>
  <c r="L14" i="1"/>
  <c r="M14" i="1"/>
  <c r="M7" i="1"/>
  <c r="L7" i="1"/>
  <c r="F7" i="1" l="1"/>
  <c r="K7" i="1" l="1"/>
  <c r="C7" i="1" s="1"/>
  <c r="I7" i="1" s="1"/>
  <c r="F8" i="1"/>
  <c r="K8" i="1" s="1"/>
  <c r="C8" i="1" s="1"/>
  <c r="I8" i="1" s="1"/>
  <c r="F9" i="1"/>
  <c r="F10" i="1"/>
  <c r="F11" i="1"/>
  <c r="K11" i="1" s="1"/>
  <c r="C11" i="1" s="1"/>
  <c r="I11" i="1" s="1"/>
  <c r="B11" i="1" s="1"/>
  <c r="F12" i="1"/>
  <c r="F13" i="1"/>
  <c r="F14" i="1"/>
  <c r="C15" i="1"/>
  <c r="I15" i="1" s="1"/>
  <c r="B15" i="1" s="1"/>
  <c r="C16" i="1"/>
  <c r="I16" i="1" s="1"/>
  <c r="B16" i="1" s="1"/>
  <c r="C17" i="1"/>
  <c r="I17" i="1" s="1"/>
  <c r="B17" i="1" s="1"/>
  <c r="C18" i="1"/>
  <c r="I18" i="1" s="1"/>
  <c r="B18" i="1" s="1"/>
  <c r="C19" i="1"/>
  <c r="I19" i="1" s="1"/>
  <c r="B19" i="1" s="1"/>
  <c r="C20" i="1"/>
  <c r="I20" i="1" s="1"/>
  <c r="B20" i="1" s="1"/>
  <c r="C21" i="1"/>
  <c r="I21" i="1" s="1"/>
  <c r="B21" i="1" s="1"/>
  <c r="C22" i="1"/>
  <c r="I22" i="1" s="1"/>
  <c r="B22" i="1" s="1"/>
  <c r="C23" i="1"/>
  <c r="I23" i="1" s="1"/>
  <c r="B23" i="1" s="1"/>
  <c r="C24" i="1"/>
  <c r="I24" i="1" s="1"/>
  <c r="B24" i="1" s="1"/>
  <c r="C25" i="1"/>
  <c r="I25" i="1" s="1"/>
  <c r="B25" i="1" s="1"/>
  <c r="C26" i="1"/>
  <c r="I26" i="1" s="1"/>
  <c r="B26" i="1" s="1"/>
  <c r="C27" i="1"/>
  <c r="I27" i="1" s="1"/>
  <c r="B27" i="1" s="1"/>
  <c r="C28" i="1"/>
  <c r="I28" i="1" s="1"/>
  <c r="B28" i="1" s="1"/>
  <c r="C29" i="1"/>
  <c r="I29" i="1" s="1"/>
  <c r="B29" i="1" s="1"/>
  <c r="C30" i="1"/>
  <c r="I30" i="1" s="1"/>
  <c r="B30" i="1" s="1"/>
  <c r="C31" i="1"/>
  <c r="I31" i="1" s="1"/>
  <c r="B31" i="1" s="1"/>
  <c r="C32" i="1"/>
  <c r="I32" i="1" s="1"/>
  <c r="B32" i="1" s="1"/>
  <c r="C33" i="1"/>
  <c r="I33" i="1" s="1"/>
  <c r="B33" i="1" s="1"/>
  <c r="C34" i="1"/>
  <c r="I34" i="1" s="1"/>
  <c r="B34" i="1" s="1"/>
  <c r="C35" i="1"/>
  <c r="I35" i="1" s="1"/>
  <c r="B35" i="1" s="1"/>
  <c r="C36" i="1"/>
  <c r="I36" i="1" s="1"/>
  <c r="B36" i="1" s="1"/>
  <c r="C37" i="1"/>
  <c r="I37" i="1" s="1"/>
  <c r="B37" i="1" s="1"/>
  <c r="C38" i="1"/>
  <c r="I38" i="1" s="1"/>
  <c r="B38" i="1" s="1"/>
  <c r="C39" i="1"/>
  <c r="I39" i="1" s="1"/>
  <c r="B39" i="1" s="1"/>
  <c r="C40" i="1"/>
  <c r="I40" i="1" s="1"/>
  <c r="B40" i="1" s="1"/>
  <c r="C41" i="1"/>
  <c r="I41" i="1" s="1"/>
  <c r="B41" i="1" s="1"/>
  <c r="C42" i="1"/>
  <c r="I42" i="1" s="1"/>
  <c r="B42" i="1" s="1"/>
  <c r="C43" i="1"/>
  <c r="I43" i="1" s="1"/>
  <c r="B43" i="1" s="1"/>
  <c r="C44" i="1"/>
  <c r="I44" i="1" s="1"/>
  <c r="B44" i="1" s="1"/>
  <c r="C45" i="1"/>
  <c r="I45" i="1" s="1"/>
  <c r="B45" i="1" s="1"/>
  <c r="C46" i="1"/>
  <c r="I46" i="1" s="1"/>
  <c r="B46" i="1" s="1"/>
  <c r="C47" i="1"/>
  <c r="I47" i="1" s="1"/>
  <c r="B47" i="1" s="1"/>
  <c r="C48" i="1"/>
  <c r="I48" i="1" s="1"/>
  <c r="B48" i="1" s="1"/>
  <c r="C49" i="1"/>
  <c r="I49" i="1" s="1"/>
  <c r="B49" i="1" s="1"/>
  <c r="C50" i="1"/>
  <c r="I50" i="1" s="1"/>
  <c r="B50" i="1" s="1"/>
  <c r="C51" i="1"/>
  <c r="I51" i="1" s="1"/>
  <c r="B51" i="1" s="1"/>
  <c r="C52" i="1"/>
  <c r="I52" i="1" s="1"/>
  <c r="B52" i="1" s="1"/>
  <c r="C53" i="1"/>
  <c r="I53" i="1" s="1"/>
  <c r="B53" i="1" s="1"/>
  <c r="C54" i="1"/>
  <c r="I54" i="1" s="1"/>
  <c r="B54" i="1" s="1"/>
  <c r="C55" i="1"/>
  <c r="I55" i="1" s="1"/>
  <c r="B55" i="1" s="1"/>
  <c r="C56" i="1"/>
  <c r="I56" i="1" s="1"/>
  <c r="B56" i="1" s="1"/>
  <c r="C57" i="1"/>
  <c r="I57" i="1" s="1"/>
  <c r="B57" i="1" s="1"/>
  <c r="K14" i="1" l="1"/>
  <c r="C14" i="1" s="1"/>
  <c r="I14" i="1" s="1"/>
  <c r="B14" i="1" s="1"/>
  <c r="K13" i="1"/>
  <c r="C13" i="1" s="1"/>
  <c r="I13" i="1" s="1"/>
  <c r="B13" i="1" s="1"/>
  <c r="K12" i="1"/>
  <c r="C12" i="1" s="1"/>
  <c r="I12" i="1" s="1"/>
  <c r="B12" i="1" s="1"/>
  <c r="K10" i="1"/>
  <c r="C10" i="1" s="1"/>
  <c r="I10" i="1" s="1"/>
  <c r="B10" i="1" s="1"/>
  <c r="K9" i="1"/>
  <c r="C9" i="1" s="1"/>
  <c r="I9" i="1" s="1"/>
  <c r="B9" i="1" s="1"/>
  <c r="B8" i="1"/>
  <c r="AF6" i="17"/>
  <c r="AF7" i="17"/>
  <c r="AF8" i="17"/>
  <c r="AF9" i="17"/>
  <c r="AF10" i="17"/>
  <c r="AF11" i="17"/>
  <c r="AF12" i="17"/>
  <c r="AF13" i="17"/>
  <c r="AF14" i="17"/>
  <c r="AF15" i="17"/>
  <c r="AF16" i="17"/>
  <c r="AF17" i="17"/>
  <c r="AF18" i="17"/>
  <c r="AF19" i="17"/>
  <c r="AF20" i="17"/>
  <c r="AF21" i="17"/>
  <c r="AF22" i="17"/>
  <c r="AF23" i="17"/>
  <c r="AF24" i="17"/>
  <c r="AF25" i="17"/>
  <c r="AF26" i="17"/>
  <c r="AF5" i="17"/>
  <c r="AE6" i="17"/>
  <c r="AE7" i="17"/>
  <c r="AE8" i="17"/>
  <c r="AE9" i="17"/>
  <c r="AE10" i="17"/>
  <c r="AE11" i="17"/>
  <c r="AE12" i="17"/>
  <c r="AE13" i="17"/>
  <c r="AE14" i="17"/>
  <c r="AE15" i="17"/>
  <c r="AE16" i="17"/>
  <c r="AE17" i="17"/>
  <c r="AE18" i="17"/>
  <c r="AE19" i="17"/>
  <c r="AE20" i="17"/>
  <c r="AE21" i="17"/>
  <c r="AE22" i="17"/>
  <c r="AE23" i="17"/>
  <c r="AE24" i="17"/>
  <c r="AE25" i="17"/>
  <c r="AE26" i="17"/>
  <c r="AE5" i="17"/>
  <c r="AB6" i="17"/>
  <c r="AC6" i="17"/>
  <c r="AD6" i="17"/>
  <c r="AB7" i="17"/>
  <c r="AC7" i="17"/>
  <c r="AD7" i="17"/>
  <c r="AB8" i="17"/>
  <c r="AC8" i="17"/>
  <c r="AD8" i="17"/>
  <c r="AB9" i="17"/>
  <c r="AC9" i="17"/>
  <c r="AD9" i="17"/>
  <c r="AB10" i="17"/>
  <c r="AC10" i="17"/>
  <c r="AD10" i="17"/>
  <c r="AB11" i="17"/>
  <c r="AC11" i="17"/>
  <c r="AD11" i="17"/>
  <c r="AB12" i="17"/>
  <c r="AC12" i="17"/>
  <c r="AD12" i="17"/>
  <c r="AB13" i="17"/>
  <c r="AC13" i="17"/>
  <c r="AD13" i="17"/>
  <c r="AB14" i="17"/>
  <c r="AC14" i="17"/>
  <c r="AD14" i="17"/>
  <c r="AB15" i="17"/>
  <c r="AC15" i="17"/>
  <c r="AD15" i="17"/>
  <c r="AB16" i="17"/>
  <c r="AC16" i="17"/>
  <c r="AD16" i="17"/>
  <c r="AB17" i="17"/>
  <c r="AC17" i="17"/>
  <c r="AD17" i="17"/>
  <c r="AB18" i="17"/>
  <c r="AC18" i="17"/>
  <c r="AD18" i="17"/>
  <c r="AB19" i="17"/>
  <c r="AC19" i="17"/>
  <c r="AD19" i="17"/>
  <c r="AB20" i="17"/>
  <c r="AC20" i="17"/>
  <c r="AD20" i="17"/>
  <c r="AB21" i="17"/>
  <c r="AC21" i="17"/>
  <c r="AD21" i="17"/>
  <c r="AB22" i="17"/>
  <c r="AC22" i="17"/>
  <c r="AD22" i="17"/>
  <c r="AD5" i="17"/>
  <c r="AC5" i="17"/>
  <c r="AB5" i="17"/>
  <c r="B7" i="1" l="1"/>
  <c r="J9" i="19" l="1"/>
  <c r="J10" i="19"/>
  <c r="J11" i="19"/>
  <c r="J12" i="19"/>
  <c r="J13" i="19"/>
  <c r="J14" i="19"/>
  <c r="J15" i="19"/>
  <c r="J16" i="19"/>
  <c r="J17" i="19"/>
  <c r="J8" i="19"/>
  <c r="G28" i="17"/>
  <c r="G30" i="17"/>
  <c r="G29" i="17" l="1"/>
  <c r="G31" i="17" l="1"/>
</calcChain>
</file>

<file path=xl/sharedStrings.xml><?xml version="1.0" encoding="utf-8"?>
<sst xmlns="http://schemas.openxmlformats.org/spreadsheetml/2006/main" count="826" uniqueCount="505">
  <si>
    <t>AttachmentID</t>
  </si>
  <si>
    <t xml:space="preserve">Technique: </t>
  </si>
  <si>
    <t xml:space="preserve">Risk Assessment: </t>
  </si>
  <si>
    <t xml:space="preserve">Phase of Development: </t>
  </si>
  <si>
    <t>Site</t>
  </si>
  <si>
    <t>RTP</t>
  </si>
  <si>
    <t>Role</t>
  </si>
  <si>
    <t>Name</t>
  </si>
  <si>
    <t>Template Sponsor</t>
  </si>
  <si>
    <t>Template Manager</t>
  </si>
  <si>
    <t>Team Member</t>
  </si>
  <si>
    <t>Chris Henry</t>
  </si>
  <si>
    <t>David Strauss</t>
  </si>
  <si>
    <t>UM</t>
  </si>
  <si>
    <t>Carl Heatherington</t>
  </si>
  <si>
    <t>TON</t>
  </si>
  <si>
    <t>Chris W Jones</t>
  </si>
  <si>
    <t>STV</t>
  </si>
  <si>
    <t xml:space="preserve">Mobile Phase A: </t>
  </si>
  <si>
    <t xml:space="preserve">Mobile Phase B: </t>
  </si>
  <si>
    <t>HiddenSheet</t>
  </si>
  <si>
    <t xml:space="preserve">Column Dimensions: </t>
  </si>
  <si>
    <t>Methyl polysiloxane</t>
  </si>
  <si>
    <t xml:space="preserve">Methyl 5% Phenyl Polysilozane </t>
  </si>
  <si>
    <t>Methyl 50% Phenyl Polysiloxane</t>
  </si>
  <si>
    <t>50% Trifluoropropyl 50% Methyl polysiloxane</t>
  </si>
  <si>
    <t>6% Cyanopropylphenyl 94% Methylpolysiloxane</t>
  </si>
  <si>
    <t>Methyl 7% Cyanopropyl 7% Phenyl Polysiloxane</t>
  </si>
  <si>
    <t>Methyl 25% Cyanopropyl 25% Phenyl Polyciloxane</t>
  </si>
  <si>
    <t>Polyethylene Glycol</t>
  </si>
  <si>
    <t>Free Fatty Acid Phase</t>
  </si>
  <si>
    <t>Equivalents</t>
  </si>
  <si>
    <t>SE-30, OV-1, OV-101, DB-1, SPB-1, BP-1, HP-1, ULTRA-1, RTx-1, AT-1, CPSil-5</t>
  </si>
  <si>
    <t xml:space="preserve">SE-54, OV-23, DB-5, SPB-5, BP-5, HP-5, ULTRA 2, RTx-5, CPSil-8 </t>
  </si>
  <si>
    <t>OV-17, DB-17, SPB-7, BP-10, HP-17, RTx-17, AT-50,</t>
  </si>
  <si>
    <t xml:space="preserve">DB-210, RTx-200, HP-210 </t>
  </si>
  <si>
    <t xml:space="preserve">DB-1301, RTx-1301, HP-1301 </t>
  </si>
  <si>
    <t xml:space="preserve">DB-1701, CPSil-19, RTx-1701, AT-1701 </t>
  </si>
  <si>
    <t>DB-255, HP-255, CPSil-43, RTx-225, AT-255</t>
  </si>
  <si>
    <t xml:space="preserve">DB-Wax, Supelsowax 10, Super-ox, CPWax-52, Stabilwax, BP-20, HP-20M, AT-Wax </t>
  </si>
  <si>
    <t xml:space="preserve">OV-351, DB-Wax, SP-1000, AT-1000, HP-FFAP, AT-1000 </t>
  </si>
  <si>
    <t>Achiral GC Types *</t>
  </si>
  <si>
    <t xml:space="preserve">Chirality: </t>
  </si>
  <si>
    <t xml:space="preserve">Gradient or Isocratic: </t>
  </si>
  <si>
    <t>Time (min)</t>
  </si>
  <si>
    <t>%A</t>
  </si>
  <si>
    <t>%B</t>
  </si>
  <si>
    <t>Temp (°C)</t>
  </si>
  <si>
    <t>Hold (min)</t>
  </si>
  <si>
    <t xml:space="preserve">Initial: </t>
  </si>
  <si>
    <t xml:space="preserve">Ramp 1: </t>
  </si>
  <si>
    <t xml:space="preserve">Ramp 2: </t>
  </si>
  <si>
    <t xml:space="preserve">Ramp 3: </t>
  </si>
  <si>
    <t xml:space="preserve">Ramp 4: </t>
  </si>
  <si>
    <t xml:space="preserve">Ramp 5: </t>
  </si>
  <si>
    <t xml:space="preserve">Ramp 6: </t>
  </si>
  <si>
    <t xml:space="preserve">Carrier Gas Type: </t>
  </si>
  <si>
    <t xml:space="preserve">Column Manufacturer: </t>
  </si>
  <si>
    <t xml:space="preserve">Column Type: </t>
  </si>
  <si>
    <t xml:space="preserve">Inject Volume (uL): </t>
  </si>
  <si>
    <t xml:space="preserve">Injector Temp (C): </t>
  </si>
  <si>
    <t xml:space="preserve">Flow Rate (mL/min): </t>
  </si>
  <si>
    <t xml:space="preserve">Detection Wavelength (nm): </t>
  </si>
  <si>
    <t xml:space="preserve">Inject Volume (microliters): </t>
  </si>
  <si>
    <t>Add Row</t>
  </si>
  <si>
    <t>Development Process</t>
  </si>
  <si>
    <t xml:space="preserve">  Actions and Reasoning</t>
  </si>
  <si>
    <t>Title</t>
  </si>
  <si>
    <t xml:space="preserve">Test Type: </t>
  </si>
  <si>
    <t xml:space="preserve">Material Type: </t>
  </si>
  <si>
    <t>Gerald Terfloth</t>
  </si>
  <si>
    <t>Blank Sheet</t>
  </si>
  <si>
    <t>Final Method (GC)</t>
  </si>
  <si>
    <t>Final Method (LC)</t>
  </si>
  <si>
    <t xml:space="preserve">Title: </t>
  </si>
  <si>
    <t>Types of Sheets</t>
  </si>
  <si>
    <t>Worksheet</t>
  </si>
  <si>
    <t xml:space="preserve">Gradient or Isothermal: </t>
  </si>
  <si>
    <t xml:space="preserve">Ending Point: </t>
  </si>
  <si>
    <t xml:space="preserve">Starting Point: </t>
  </si>
  <si>
    <t>Instrument Parameters</t>
  </si>
  <si>
    <t>Gradient Parameters</t>
  </si>
  <si>
    <t>Time</t>
  </si>
  <si>
    <t xml:space="preserve">Inj Type: </t>
  </si>
  <si>
    <t xml:space="preserve">Detector Temp (C): </t>
  </si>
  <si>
    <t xml:space="preserve">Detector Type: </t>
  </si>
  <si>
    <t>%C</t>
  </si>
  <si>
    <t>%D</t>
  </si>
  <si>
    <t xml:space="preserve">Split Ratio: </t>
  </si>
  <si>
    <t>Source</t>
  </si>
  <si>
    <t>Button Text</t>
  </si>
  <si>
    <t>Clinical</t>
  </si>
  <si>
    <t>Achiral</t>
  </si>
  <si>
    <t>Standard Controls Apply</t>
  </si>
  <si>
    <t>Development halted</t>
  </si>
  <si>
    <t>Pre-Clinical</t>
  </si>
  <si>
    <t>Commercial</t>
  </si>
  <si>
    <t>API</t>
  </si>
  <si>
    <t>Formulated Product</t>
  </si>
  <si>
    <t>Raw Material</t>
  </si>
  <si>
    <t>LC</t>
  </si>
  <si>
    <t>GC</t>
  </si>
  <si>
    <t>LC/GC</t>
  </si>
  <si>
    <t>Assay</t>
  </si>
  <si>
    <t>Impurities</t>
  </si>
  <si>
    <t>Assay and Impurities</t>
  </si>
  <si>
    <t>Chiral</t>
  </si>
  <si>
    <t>End Point:</t>
  </si>
  <si>
    <t>Generic Method</t>
  </si>
  <si>
    <t>Column Screen</t>
  </si>
  <si>
    <t>Mobile Phase Screen</t>
  </si>
  <si>
    <t>DryLab</t>
  </si>
  <si>
    <t>pH Screen</t>
  </si>
  <si>
    <t>Temperature Screen</t>
  </si>
  <si>
    <t>Return</t>
  </si>
  <si>
    <t xml:space="preserve">Runtime: </t>
  </si>
  <si>
    <t>Critical Parameters</t>
  </si>
  <si>
    <t>Solution Prep Instructions (Spl/Std/etc)</t>
  </si>
  <si>
    <r>
      <t>Column Temp (</t>
    </r>
    <r>
      <rPr>
        <b/>
        <sz val="8"/>
        <rFont val="Calibri"/>
        <family val="2"/>
      </rPr>
      <t>⁰</t>
    </r>
    <r>
      <rPr>
        <b/>
        <sz val="8"/>
        <rFont val="Arial"/>
        <family val="2"/>
      </rPr>
      <t xml:space="preserve">C): </t>
    </r>
  </si>
  <si>
    <t>Short List</t>
  </si>
  <si>
    <t>Chiral Screen</t>
  </si>
  <si>
    <t>Astec</t>
  </si>
  <si>
    <r>
      <rPr>
        <sz val="10"/>
        <color rgb="FF000000"/>
        <rFont val="Arial"/>
        <family val="2"/>
      </rPr>
      <t>Agilent</t>
    </r>
    <r>
      <rPr>
        <sz val="10"/>
        <color rgb="FF0000FF"/>
        <rFont val="Arial"/>
        <family val="2"/>
      </rPr>
      <t/>
    </r>
  </si>
  <si>
    <t>Chrompack</t>
  </si>
  <si>
    <t>Phenomenex</t>
  </si>
  <si>
    <t>Regis</t>
  </si>
  <si>
    <t>Restek</t>
  </si>
  <si>
    <t>Chiraldex A-TA (trifluoroacetyl)</t>
  </si>
  <si>
    <t>Chiraldex B-TA (trifluoroacetyl)</t>
  </si>
  <si>
    <t>Chiraldex G-TA (trifluoroacetyl)</t>
  </si>
  <si>
    <t>Chiraldex B-DP (dipropionyl)</t>
  </si>
  <si>
    <t>Chiraldex G-DP (dipropionyl)</t>
  </si>
  <si>
    <t>Chiraldex G-PN (propionyl)</t>
  </si>
  <si>
    <t>Chiraldex G-BP (butyryl)</t>
  </si>
  <si>
    <t>Chiraldex B-DM (dimethyl)</t>
  </si>
  <si>
    <t>Chiraldex G-DM (dimethyl)</t>
  </si>
  <si>
    <t>Chiraldex B-PM (permethyl)</t>
  </si>
  <si>
    <t>Chiraldex A-DA (diallyl)</t>
  </si>
  <si>
    <t>Chiraldex A-PH (hydroxypropyl)</t>
  </si>
  <si>
    <t>Chiraldex B-PH (hydroxypropyl)</t>
  </si>
  <si>
    <t>Rt-BDEXcst</t>
  </si>
  <si>
    <t>GC Stationary Phases</t>
  </si>
  <si>
    <t>Rt-BDEXm</t>
  </si>
  <si>
    <t>Rt-BDEXsa</t>
  </si>
  <si>
    <t>Rt-BDEXse</t>
  </si>
  <si>
    <t>Rt-BDEXsm</t>
  </si>
  <si>
    <t>Rt-BDEXsp</t>
  </si>
  <si>
    <t>Rt-GDEXsa</t>
  </si>
  <si>
    <t>CycloSil-B</t>
  </si>
  <si>
    <t>Cyclodex-B</t>
  </si>
  <si>
    <t>GC Chiral Manuf</t>
  </si>
  <si>
    <t>J &amp; W</t>
  </si>
  <si>
    <t>GC Inj Type</t>
  </si>
  <si>
    <t>Split</t>
  </si>
  <si>
    <t>Splitless</t>
  </si>
  <si>
    <t>Headspace</t>
  </si>
  <si>
    <t>Cold On Column</t>
  </si>
  <si>
    <t>GC Detector</t>
  </si>
  <si>
    <t>FID</t>
  </si>
  <si>
    <t>TCD</t>
  </si>
  <si>
    <t>ECD</t>
  </si>
  <si>
    <t>LC Column Sizes</t>
  </si>
  <si>
    <t>250 x 4.6mm - 10um</t>
  </si>
  <si>
    <r>
      <rPr>
        <sz val="10"/>
        <color rgb="FF000000"/>
        <rFont val="Arial"/>
        <family val="2"/>
      </rPr>
      <t>50 x 2.0mm - 3um</t>
    </r>
    <r>
      <rPr>
        <sz val="10"/>
        <color rgb="FF0000FF"/>
        <rFont val="Arial"/>
        <family val="2"/>
      </rPr>
      <t/>
    </r>
  </si>
  <si>
    <r>
      <rPr>
        <sz val="10"/>
        <color rgb="FF000000"/>
        <rFont val="Arial"/>
        <family val="2"/>
      </rPr>
      <t>50 x 2.0mm - 3.5um</t>
    </r>
    <r>
      <rPr>
        <sz val="10"/>
        <color rgb="FF0000FF"/>
        <rFont val="Arial"/>
        <family val="2"/>
      </rPr>
      <t/>
    </r>
  </si>
  <si>
    <r>
      <rPr>
        <sz val="10"/>
        <color rgb="FF000000"/>
        <rFont val="Arial"/>
        <family val="2"/>
      </rPr>
      <t>50 x 2.1mm - 3.5um</t>
    </r>
    <r>
      <rPr>
        <sz val="10"/>
        <color rgb="FF0000FF"/>
        <rFont val="Arial"/>
        <family val="2"/>
      </rPr>
      <t/>
    </r>
  </si>
  <si>
    <r>
      <rPr>
        <sz val="10"/>
        <color rgb="FF000000"/>
        <rFont val="Arial"/>
        <family val="2"/>
      </rPr>
      <t>150 x 4.6mm - 3um</t>
    </r>
    <r>
      <rPr>
        <sz val="10"/>
        <color rgb="FF0000FF"/>
        <rFont val="Arial"/>
        <family val="2"/>
      </rPr>
      <t/>
    </r>
  </si>
  <si>
    <r>
      <rPr>
        <sz val="10"/>
        <color rgb="FF000000"/>
        <rFont val="Arial"/>
        <family val="2"/>
      </rPr>
      <t>150 x 4.6mm - 3.5um</t>
    </r>
    <r>
      <rPr>
        <sz val="10"/>
        <color rgb="FF0000FF"/>
        <rFont val="Arial"/>
        <family val="2"/>
      </rPr>
      <t/>
    </r>
  </si>
  <si>
    <r>
      <rPr>
        <sz val="10"/>
        <color rgb="FF000000"/>
        <rFont val="Arial"/>
        <family val="2"/>
      </rPr>
      <t>150 x 4.6mm - 5um</t>
    </r>
    <r>
      <rPr>
        <sz val="10"/>
        <color rgb="FF0000FF"/>
        <rFont val="Arial"/>
        <family val="2"/>
      </rPr>
      <t/>
    </r>
  </si>
  <si>
    <r>
      <rPr>
        <sz val="10"/>
        <color rgb="FF000000"/>
        <rFont val="Arial"/>
        <family val="2"/>
      </rPr>
      <t>250 x 4.6mm - 5um</t>
    </r>
    <r>
      <rPr>
        <sz val="10"/>
        <color rgb="FF0000FF"/>
        <rFont val="Arial"/>
        <family val="2"/>
      </rPr>
      <t/>
    </r>
  </si>
  <si>
    <r>
      <rPr>
        <sz val="10"/>
        <color rgb="FF000000"/>
        <rFont val="Arial"/>
        <family val="2"/>
      </rPr>
      <t>150 x 4.6mm - 10um</t>
    </r>
    <r>
      <rPr>
        <sz val="10"/>
        <color rgb="FF0000FF"/>
        <rFont val="Arial"/>
        <family val="2"/>
      </rPr>
      <t/>
    </r>
  </si>
  <si>
    <t>LC Stationary Phases</t>
  </si>
  <si>
    <t>SymmetryShield RP18</t>
  </si>
  <si>
    <t>Sunfire C18</t>
  </si>
  <si>
    <r>
      <rPr>
        <sz val="10"/>
        <color rgb="FF000000"/>
        <rFont val="Arial"/>
        <family val="2"/>
      </rPr>
      <t>Luna C18(2)</t>
    </r>
    <r>
      <rPr>
        <sz val="10"/>
        <color rgb="FF0000FF"/>
        <rFont val="Arial"/>
        <family val="2"/>
      </rPr>
      <t/>
    </r>
  </si>
  <si>
    <r>
      <rPr>
        <sz val="10"/>
        <color rgb="FF000000"/>
        <rFont val="Arial"/>
        <family val="2"/>
      </rPr>
      <t>Luna Phenyl-Hexyl</t>
    </r>
    <r>
      <rPr>
        <sz val="10"/>
        <color rgb="FF0000FF"/>
        <rFont val="Arial"/>
        <family val="2"/>
      </rPr>
      <t/>
    </r>
  </si>
  <si>
    <r>
      <rPr>
        <sz val="10"/>
        <color rgb="FF000000"/>
        <rFont val="Arial"/>
        <family val="2"/>
      </rPr>
      <t>Zorbax SB-Phenyl</t>
    </r>
    <r>
      <rPr>
        <sz val="10"/>
        <color rgb="FF0000FF"/>
        <rFont val="Arial"/>
        <family val="2"/>
      </rPr>
      <t/>
    </r>
  </si>
  <si>
    <r>
      <rPr>
        <sz val="10"/>
        <color rgb="FF000000"/>
        <rFont val="Arial"/>
        <family val="2"/>
      </rPr>
      <t>Zorbax SB-C8</t>
    </r>
    <r>
      <rPr>
        <sz val="10"/>
        <color rgb="FF0000FF"/>
        <rFont val="Arial"/>
        <family val="2"/>
      </rPr>
      <t/>
    </r>
  </si>
  <si>
    <r>
      <rPr>
        <sz val="10"/>
        <color rgb="FF000000"/>
        <rFont val="Arial"/>
        <family val="2"/>
      </rPr>
      <t>Zorbax SB-Cyano</t>
    </r>
    <r>
      <rPr>
        <sz val="10"/>
        <color rgb="FF0000FF"/>
        <rFont val="Arial"/>
        <family val="2"/>
      </rPr>
      <t/>
    </r>
  </si>
  <si>
    <r>
      <rPr>
        <sz val="10"/>
        <color rgb="FF000000"/>
        <rFont val="Arial"/>
        <family val="2"/>
      </rPr>
      <t>Zorbax Eclipse XDB-C18</t>
    </r>
    <r>
      <rPr>
        <sz val="10"/>
        <color rgb="FF0000FF"/>
        <rFont val="Arial"/>
        <family val="2"/>
      </rPr>
      <t/>
    </r>
  </si>
  <si>
    <r>
      <rPr>
        <sz val="10"/>
        <color rgb="FF000000"/>
        <rFont val="Arial"/>
        <family val="2"/>
      </rPr>
      <t>Zorbax Eclipse XDB-C8</t>
    </r>
    <r>
      <rPr>
        <sz val="10"/>
        <color rgb="FF0000FF"/>
        <rFont val="Arial"/>
        <family val="2"/>
      </rPr>
      <t/>
    </r>
  </si>
  <si>
    <r>
      <rPr>
        <sz val="10"/>
        <color rgb="FF000000"/>
        <rFont val="Arial"/>
        <family val="2"/>
      </rPr>
      <t>Zorbax Bonus-RP</t>
    </r>
    <r>
      <rPr>
        <sz val="10"/>
        <color rgb="FF0000FF"/>
        <rFont val="Arial"/>
        <family val="2"/>
      </rPr>
      <t/>
    </r>
  </si>
  <si>
    <r>
      <rPr>
        <sz val="10"/>
        <color rgb="FF000000"/>
        <rFont val="Arial"/>
        <family val="2"/>
      </rPr>
      <t>Xbridge C18</t>
    </r>
    <r>
      <rPr>
        <sz val="10"/>
        <color rgb="FF0000FF"/>
        <rFont val="Arial"/>
        <family val="2"/>
      </rPr>
      <t/>
    </r>
  </si>
  <si>
    <r>
      <rPr>
        <sz val="10"/>
        <color rgb="FF000000"/>
        <rFont val="Arial"/>
        <family val="2"/>
      </rPr>
      <t>Xbridge Phenyl</t>
    </r>
    <r>
      <rPr>
        <sz val="10"/>
        <color rgb="FF0000FF"/>
        <rFont val="Arial"/>
        <family val="2"/>
      </rPr>
      <t/>
    </r>
  </si>
  <si>
    <r>
      <rPr>
        <sz val="10"/>
        <color rgb="FF000000"/>
        <rFont val="Arial"/>
        <family val="2"/>
      </rPr>
      <t>Xterra MS C18</t>
    </r>
    <r>
      <rPr>
        <sz val="10"/>
        <color rgb="FF0000FF"/>
        <rFont val="Arial"/>
        <family val="2"/>
      </rPr>
      <t/>
    </r>
  </si>
  <si>
    <r>
      <rPr>
        <sz val="10"/>
        <color rgb="FF000000"/>
        <rFont val="Arial"/>
        <family val="2"/>
      </rPr>
      <t>Xterra RP18</t>
    </r>
    <r>
      <rPr>
        <sz val="10"/>
        <color rgb="FF0000FF"/>
        <rFont val="Arial"/>
        <family val="2"/>
      </rPr>
      <t/>
    </r>
  </si>
  <si>
    <r>
      <rPr>
        <sz val="10"/>
        <color rgb="FF000000"/>
        <rFont val="Arial"/>
        <family val="2"/>
      </rPr>
      <t>Pro C18</t>
    </r>
    <r>
      <rPr>
        <sz val="10"/>
        <color rgb="FF0000FF"/>
        <rFont val="Arial"/>
        <family val="2"/>
      </rPr>
      <t/>
    </r>
  </si>
  <si>
    <r>
      <rPr>
        <sz val="10"/>
        <color rgb="FF000000"/>
        <rFont val="Arial"/>
        <family val="2"/>
      </rPr>
      <t>Platinum CP18</t>
    </r>
    <r>
      <rPr>
        <sz val="10"/>
        <color rgb="FF0000FF"/>
        <rFont val="Arial"/>
        <family val="2"/>
      </rPr>
      <t/>
    </r>
  </si>
  <si>
    <r>
      <rPr>
        <sz val="10"/>
        <color rgb="FF000000"/>
        <rFont val="Arial"/>
        <family val="2"/>
      </rPr>
      <t>Symmetry C18</t>
    </r>
    <r>
      <rPr>
        <sz val="10"/>
        <color rgb="FF0000FF"/>
        <rFont val="Arial"/>
        <family val="2"/>
      </rPr>
      <t/>
    </r>
  </si>
  <si>
    <t>LC Manufacturers</t>
  </si>
  <si>
    <t>Zorbax</t>
  </si>
  <si>
    <r>
      <rPr>
        <sz val="10"/>
        <color rgb="FF000000"/>
        <rFont val="Arial"/>
        <family val="2"/>
      </rPr>
      <t>Agilent</t>
    </r>
    <r>
      <rPr>
        <sz val="10"/>
        <color rgb="FF0000FF"/>
        <rFont val="Arial"/>
        <family val="2"/>
      </rPr>
      <t/>
    </r>
  </si>
  <si>
    <r>
      <rPr>
        <sz val="10"/>
        <color rgb="FF000000"/>
        <rFont val="Arial"/>
        <family val="2"/>
      </rPr>
      <t>Alltech</t>
    </r>
    <r>
      <rPr>
        <sz val="10"/>
        <color rgb="FF0000FF"/>
        <rFont val="Arial"/>
        <family val="2"/>
      </rPr>
      <t/>
    </r>
  </si>
  <si>
    <r>
      <rPr>
        <sz val="10"/>
        <color rgb="FF000000"/>
        <rFont val="Arial"/>
        <family val="2"/>
      </rPr>
      <t>Grace</t>
    </r>
    <r>
      <rPr>
        <sz val="10"/>
        <color rgb="FF0000FF"/>
        <rFont val="Arial"/>
        <family val="2"/>
      </rPr>
      <t/>
    </r>
  </si>
  <si>
    <r>
      <rPr>
        <sz val="10"/>
        <color rgb="FF000000"/>
        <rFont val="Arial"/>
        <family val="2"/>
      </rPr>
      <t>Phenomenex</t>
    </r>
    <r>
      <rPr>
        <sz val="10"/>
        <color rgb="FF0000FF"/>
        <rFont val="Arial"/>
        <family val="2"/>
      </rPr>
      <t/>
    </r>
  </si>
  <si>
    <r>
      <rPr>
        <sz val="10"/>
        <color rgb="FF000000"/>
        <rFont val="Arial"/>
        <family val="2"/>
      </rPr>
      <t>Waters</t>
    </r>
    <r>
      <rPr>
        <sz val="10"/>
        <color rgb="FF0000FF"/>
        <rFont val="Arial"/>
        <family val="2"/>
      </rPr>
      <t/>
    </r>
  </si>
  <si>
    <r>
      <rPr>
        <sz val="10"/>
        <color rgb="FF000000"/>
        <rFont val="Arial"/>
        <family val="2"/>
      </rPr>
      <t>YMC</t>
    </r>
    <r>
      <rPr>
        <sz val="10"/>
        <color rgb="FF0000FF"/>
        <rFont val="Arial"/>
        <family val="2"/>
      </rPr>
      <t/>
    </r>
  </si>
  <si>
    <t>LC Chiral Phases</t>
  </si>
  <si>
    <t>LC Chiral Maunfacturer</t>
  </si>
  <si>
    <t>Chiral Tech</t>
  </si>
  <si>
    <t>Cyclobond III</t>
  </si>
  <si>
    <t>Cyclobond II</t>
  </si>
  <si>
    <t>Chiralcel OD</t>
  </si>
  <si>
    <t>Chirobiotic T</t>
  </si>
  <si>
    <r>
      <rPr>
        <sz val="10"/>
        <color rgb="FF000000"/>
        <rFont val="Arial"/>
        <family val="2"/>
      </rPr>
      <t>Chiralpak AD</t>
    </r>
    <r>
      <rPr>
        <sz val="10"/>
        <color rgb="FF0000FF"/>
        <rFont val="Arial"/>
        <family val="2"/>
      </rPr>
      <t/>
    </r>
  </si>
  <si>
    <r>
      <rPr>
        <sz val="10"/>
        <color rgb="FF000000"/>
        <rFont val="Arial"/>
        <family val="2"/>
      </rPr>
      <t>Chiralpak AS</t>
    </r>
    <r>
      <rPr>
        <sz val="10"/>
        <color rgb="FF0000FF"/>
        <rFont val="Arial"/>
        <family val="2"/>
      </rPr>
      <t>"</t>
    </r>
  </si>
  <si>
    <r>
      <rPr>
        <sz val="10"/>
        <color rgb="FF000000"/>
        <rFont val="Arial"/>
        <family val="2"/>
      </rPr>
      <t>Chiralcel OJ</t>
    </r>
    <r>
      <rPr>
        <sz val="10"/>
        <color rgb="FF0000FF"/>
        <rFont val="Arial"/>
        <family val="2"/>
      </rPr>
      <t/>
    </r>
  </si>
  <si>
    <r>
      <rPr>
        <sz val="10"/>
        <color rgb="FF000000"/>
        <rFont val="Arial"/>
        <family val="2"/>
      </rPr>
      <t>Chiralpak ADRH</t>
    </r>
    <r>
      <rPr>
        <sz val="10"/>
        <color rgb="FF0000FF"/>
        <rFont val="Arial"/>
        <family val="2"/>
      </rPr>
      <t/>
    </r>
  </si>
  <si>
    <r>
      <rPr>
        <sz val="10"/>
        <color rgb="FF000000"/>
        <rFont val="Arial"/>
        <family val="2"/>
      </rPr>
      <t>Chiralpak ASRH</t>
    </r>
    <r>
      <rPr>
        <sz val="10"/>
        <color rgb="FF0000FF"/>
        <rFont val="Arial"/>
        <family val="2"/>
      </rPr>
      <t/>
    </r>
  </si>
  <si>
    <r>
      <rPr>
        <sz val="10"/>
        <color rgb="FF000000"/>
        <rFont val="Arial"/>
        <family val="2"/>
      </rPr>
      <t>Chiralcel ODRH</t>
    </r>
    <r>
      <rPr>
        <sz val="10"/>
        <color rgb="FF0000FF"/>
        <rFont val="Arial"/>
        <family val="2"/>
      </rPr>
      <t/>
    </r>
  </si>
  <si>
    <r>
      <rPr>
        <sz val="10"/>
        <color rgb="FF000000"/>
        <rFont val="Arial"/>
        <family val="2"/>
      </rPr>
      <t>Chiralcel OJRH</t>
    </r>
    <r>
      <rPr>
        <sz val="10"/>
        <color rgb="FF0000FF"/>
        <rFont val="Arial"/>
        <family val="2"/>
      </rPr>
      <t/>
    </r>
  </si>
  <si>
    <r>
      <rPr>
        <sz val="10"/>
        <color rgb="FF000000"/>
        <rFont val="Arial"/>
        <family val="2"/>
      </rPr>
      <t>Chiralpak IA</t>
    </r>
    <r>
      <rPr>
        <sz val="10"/>
        <color rgb="FF0000FF"/>
        <rFont val="Arial"/>
        <family val="2"/>
      </rPr>
      <t/>
    </r>
  </si>
  <si>
    <r>
      <rPr>
        <sz val="10"/>
        <color rgb="FF000000"/>
        <rFont val="Arial"/>
        <family val="2"/>
      </rPr>
      <t>Chiralpak IB</t>
    </r>
    <r>
      <rPr>
        <sz val="10"/>
        <color rgb="FF0000FF"/>
        <rFont val="Arial"/>
        <family val="2"/>
      </rPr>
      <t/>
    </r>
  </si>
  <si>
    <r>
      <rPr>
        <sz val="10"/>
        <color rgb="FF000000"/>
        <rFont val="Arial"/>
        <family val="2"/>
      </rPr>
      <t>Chiralpak IC</t>
    </r>
    <r>
      <rPr>
        <sz val="10"/>
        <color rgb="FF0000FF"/>
        <rFont val="Arial"/>
        <family val="2"/>
      </rPr>
      <t/>
    </r>
  </si>
  <si>
    <r>
      <rPr>
        <sz val="10"/>
        <color rgb="FF000000"/>
        <rFont val="Arial"/>
        <family val="2"/>
      </rPr>
      <t>Whelk-O</t>
    </r>
    <r>
      <rPr>
        <sz val="10"/>
        <color rgb="FF0000FF"/>
        <rFont val="Arial"/>
        <family val="2"/>
      </rPr>
      <t/>
    </r>
  </si>
  <si>
    <r>
      <rPr>
        <sz val="10"/>
        <color rgb="FF000000"/>
        <rFont val="Arial"/>
        <family val="2"/>
      </rPr>
      <t>Chirobiotic R</t>
    </r>
    <r>
      <rPr>
        <sz val="10"/>
        <color rgb="FF0000FF"/>
        <rFont val="Arial"/>
        <family val="2"/>
      </rPr>
      <t/>
    </r>
  </si>
  <si>
    <r>
      <rPr>
        <sz val="10"/>
        <color rgb="FF000000"/>
        <rFont val="Arial"/>
        <family val="2"/>
      </rPr>
      <t>Chirobiotic V</t>
    </r>
    <r>
      <rPr>
        <sz val="10"/>
        <color rgb="FF0000FF"/>
        <rFont val="Arial"/>
        <family val="2"/>
      </rPr>
      <t/>
    </r>
  </si>
  <si>
    <r>
      <rPr>
        <sz val="10"/>
        <color rgb="FF000000"/>
        <rFont val="Arial"/>
        <family val="2"/>
      </rPr>
      <t>Cyclobond I</t>
    </r>
    <r>
      <rPr>
        <sz val="10"/>
        <color rgb="FF0000FF"/>
        <rFont val="Arial"/>
        <family val="2"/>
      </rPr>
      <t/>
    </r>
  </si>
  <si>
    <t xml:space="preserve"> </t>
  </si>
  <si>
    <t>pH</t>
  </si>
  <si>
    <t>Karl Fischer</t>
  </si>
  <si>
    <t>Viscosity</t>
  </si>
  <si>
    <t>Short Name</t>
  </si>
  <si>
    <t>Plot Viscosity vs RPM</t>
  </si>
  <si>
    <t>Record Method</t>
  </si>
  <si>
    <t>Perform Linearity</t>
  </si>
  <si>
    <t>Test Ground vs Unground (Oven)</t>
  </si>
  <si>
    <t>Select Electrode</t>
  </si>
  <si>
    <t xml:space="preserve">Verify Buffer </t>
  </si>
  <si>
    <t>Verify on Multiple Electrodes</t>
  </si>
  <si>
    <t>Temperature vs pH</t>
  </si>
  <si>
    <t>Hide Note</t>
  </si>
  <si>
    <t>Note</t>
  </si>
  <si>
    <t>For API, Placebo, Formulated Product, and Control:
The sample will be exposed to light providing an overall illumination of not less than 1.2 million-lux hours and an integrated near ultraviolet energy of not less than 200-watt hours/square meter.</t>
  </si>
  <si>
    <t>Force Degradation - Photostability</t>
  </si>
  <si>
    <t>Force Degradation - Oxidation</t>
  </si>
  <si>
    <t>Force Degradation - Transition Metal</t>
  </si>
  <si>
    <t>Force Degradation - Base</t>
  </si>
  <si>
    <t>Force Degradation - Acid</t>
  </si>
  <si>
    <t>Force Degradation - Heat and Humidity</t>
  </si>
  <si>
    <t>Force Degradation - Heat</t>
  </si>
  <si>
    <t>GC Achiral Manuf</t>
  </si>
  <si>
    <r>
      <t>For API, Placebo, and Formulated Product:
Weigh product in amber 50mL volumetric flask, store in 70</t>
    </r>
    <r>
      <rPr>
        <sz val="10"/>
        <rFont val="Calibri"/>
        <family val="2"/>
      </rPr>
      <t>⁰</t>
    </r>
    <r>
      <rPr>
        <sz val="10"/>
        <rFont val="Arial"/>
        <family val="2"/>
      </rPr>
      <t>C oven and record date/time/temperature at each timepoint.  Dilute in diluent and analyze.  No Control sample.</t>
    </r>
  </si>
  <si>
    <t>For API, Placebo, and Formulated Product:
Weigh product in amber 50mL volumetric flask, store in 60⁰C/60%RH chamber and record date/time/temperature/humidty at each timepoint.  Dilute in diluent and analyze.  No Control sample.</t>
  </si>
  <si>
    <t>A good way to record conditions if you are not planning on documenting the method in a validated document repository immediately.</t>
  </si>
  <si>
    <t>self explanatory</t>
  </si>
  <si>
    <t>http://molnar-institute.com/drylab</t>
  </si>
  <si>
    <t>Verify the sample does not coat the electrode (even after rinsing) by accurately measuring the pH of a calibration buffer before and after measuring the pH of a sample.</t>
  </si>
  <si>
    <t>Select Viscometer</t>
  </si>
  <si>
    <t>Select Titration Type</t>
  </si>
  <si>
    <t>Direct Addition, Headspace/Oven Karl Fischer, Dissolved Solid</t>
  </si>
  <si>
    <t>Plainly put, to test for the possibility of interferences in the Karl Fischer reaction, double the sample should double the amount of water measured.</t>
  </si>
  <si>
    <t>Record make and model</t>
  </si>
  <si>
    <t>Record parameters necessary to transfer method</t>
  </si>
  <si>
    <t xml:space="preserve">LC Column Type: </t>
  </si>
  <si>
    <t xml:space="preserve">LC Column Dimensions: </t>
  </si>
  <si>
    <t xml:space="preserve">LC Column Manufacturer: </t>
  </si>
  <si>
    <t xml:space="preserve">GC Column Type: </t>
  </si>
  <si>
    <t xml:space="preserve">GC Column Manufacturer: </t>
  </si>
  <si>
    <t xml:space="preserve"> 
</t>
  </si>
  <si>
    <t>Record Vessel Size and Sample Volume</t>
  </si>
  <si>
    <t>Plot Viscosity vs Temperature</t>
  </si>
  <si>
    <t>Is There A Note?</t>
  </si>
  <si>
    <t>Record the electrode data but also record why the electrode was chosen above other possible electrodes.</t>
  </si>
  <si>
    <t>Verification that a proper electrode for the particular formulation was selected by comparing results from multiple electrodes.</t>
  </si>
  <si>
    <t>Most pH methods are written to specify that a sample must be warmed or cooled to a specified temperature before measuring.  Consider whether this is necessary for the product to make the final method simpler.</t>
  </si>
  <si>
    <t>Chiral Derivatization</t>
  </si>
  <si>
    <t>Code</t>
  </si>
  <si>
    <t>000</t>
  </si>
  <si>
    <t>001</t>
  </si>
  <si>
    <t>010</t>
  </si>
  <si>
    <t>100</t>
  </si>
  <si>
    <t>011</t>
  </si>
  <si>
    <t>101</t>
  </si>
  <si>
    <t>110</t>
  </si>
  <si>
    <t>111</t>
  </si>
  <si>
    <t>Attachment</t>
  </si>
  <si>
    <t>Attachment Worksheet</t>
  </si>
  <si>
    <t>Note Worksheet</t>
  </si>
  <si>
    <t>Note Attachment</t>
  </si>
  <si>
    <t>Note Attachment Worksheet</t>
  </si>
  <si>
    <t>Verify that the sample either does or does not need to be at a specific temperature when testing by performing a quick robustness test of viscosity vs sample temperature.  Probably easier to perform this using a rheometer rather than a viscometer.</t>
  </si>
  <si>
    <t xml:space="preserve"> If you have access to a generic method for fast analysis, use this to determine properties such as peak shape, capacity factor, possible spectral analysis, etc.</t>
  </si>
  <si>
    <t>Results of a highly successful chiral screen at RTP: 75% of separations achieved on Chiralpak ADRH, Chiralpak ASRH, Chiralcel ODRH or Chiralcel OJRH.  More than 50% of these were separated with simple mobile phase of Water/Acetonitrile/TFA or Water/Methanol/TFA either of which can run as a gradient from 10-90%B over 20min.  Should not take long to screen all of these, especially with column switching valves.</t>
  </si>
  <si>
    <t>Marfey's Reagent, Mosher's Acid, CFNA, Pirkle's Alcohol, 2-Butanol (with a drop of HCl).  All useful derivatizing reagents that turn enantiomers into diastereomers (which can be separated by achiral methods).  Headsapce GC or KF ovens make great reaction blocks with great control over, and documentation of, reaction conditions.</t>
  </si>
  <si>
    <t>Self explanatory, but an easy way to accomplish this is to use a gradient pump with different pH mobile phases in A, B, C and organic in D.</t>
  </si>
  <si>
    <t>Don't assume (even for powders) that a headspace oven will drive all the water out of a sample and into the headspace.  For instance, any known hydrate that is madeup of large crystals will likely not release all the water of hydration - try measuring a weighed quantity without grinding in a mortar and pestle then compare to ground material.  If you are concerned that grinding the substance will absorb atmospheric water vapor leading to elevated measurements, weigh the sample into a tared vial, add three bb's (from a Daisy BB Gun) and vortex.  The grinding action will abosrb only the amount of vapor that was already in the vial and will be subtracted by running a blank.</t>
  </si>
  <si>
    <t>Confirm Aldehydes or Ketones</t>
  </si>
  <si>
    <r>
      <t>For API, Placebo, Formulated Product, and Control:
Weigh product into 50mL volumetric flask, add 10mL of 0.3M HCl.  Seal flasks and store (sealed) at room temperature.  If no degradation occurs, move flasks to accelerated storage conditions.  At each time point add 6mL of 1M NH</t>
    </r>
    <r>
      <rPr>
        <vertAlign val="subscript"/>
        <sz val="10"/>
        <rFont val="Arial"/>
        <family val="2"/>
      </rPr>
      <t>4</t>
    </r>
    <r>
      <rPr>
        <sz val="10"/>
        <rFont val="Arial"/>
        <family val="2"/>
      </rPr>
      <t>OH.  Dilute to volume with diluent and analyze.</t>
    </r>
  </si>
  <si>
    <t>For API, Placebo, Formulated Product, and Control:
Weigh product into 50mL volumetric flask, add 10mL of 1N NaOH.  Seal flasks and store (sealed) at room temperature.  If no degradation occurs, move flasks to accelerated storage conditions.  At each time point add 6mL of 1M HCl.  Dilute to volume with diluent and analyze.</t>
  </si>
  <si>
    <r>
      <t>For API, Placebo, Formulated Product, and Control:
Weigh product into 50mL volumetric flask, add 10mL of 1mM CuCl</t>
    </r>
    <r>
      <rPr>
        <vertAlign val="subscript"/>
        <sz val="10"/>
        <rFont val="Arial"/>
        <family val="2"/>
      </rPr>
      <t>2</t>
    </r>
    <r>
      <rPr>
        <sz val="10"/>
        <rFont val="Arial"/>
        <family val="2"/>
      </rPr>
      <t>.  Seal flasks and store (sealed) at room temperature.  If no degradation occurs, move flasks to accelerated storage conditions.  At each time point pull flask, dilute to volume with diluent and analyze.</t>
    </r>
  </si>
  <si>
    <r>
      <t>For API, Placebo, Formulated Product, and Control:
Weigh product into 50mL volumetric flask, add 6mL of 2% H</t>
    </r>
    <r>
      <rPr>
        <vertAlign val="subscript"/>
        <sz val="10"/>
        <rFont val="Arial"/>
        <family val="2"/>
      </rPr>
      <t>2</t>
    </r>
    <r>
      <rPr>
        <sz val="10"/>
        <rFont val="Arial"/>
        <family val="2"/>
      </rPr>
      <t>O</t>
    </r>
    <r>
      <rPr>
        <vertAlign val="subscript"/>
        <sz val="10"/>
        <rFont val="Arial"/>
        <family val="2"/>
      </rPr>
      <t>2</t>
    </r>
    <r>
      <rPr>
        <sz val="10"/>
        <rFont val="Arial"/>
        <family val="2"/>
      </rPr>
      <t>.  Seal flasks and store (sealed) at room temperature.  If no degradation occurs, move flasks to accelerated storage conditions.  At each time point pull flask, dilute to volume with diluent and analyze.</t>
    </r>
  </si>
  <si>
    <t>LC GC</t>
  </si>
  <si>
    <t>Viscometry</t>
  </si>
  <si>
    <t>Test the sample at various RPMs (increments of 5 or 10) for at least two spindles.  Provided the torque is 50 or less, plot the result of viscosity vs RPM and, if the curve is flat, then the method can be recorded as a specific spindle and RPM.  If no flat region is observed in the plot, or if the torque is unacceptably high, repeat with a different spindle.  Probably easier to perform this using a rheometer rather than a viscometer.</t>
  </si>
  <si>
    <t>Helipath on/off</t>
  </si>
  <si>
    <t>I have seen where engaging the helipath motor does not alter the viscometer readout, but I have also seen where the effect is quite substantial (20%-40% change in centipoise with helipath on).  Test the method with and without the helipath and record the necessity (if so) in the method.</t>
  </si>
  <si>
    <t>There are several unconventional chromatographic techniques available if all else fails.  HILIC chromatography is useful for very small (low MW) and very polar moecules. Many such molecules have no chromophore so ELSD, CAD, or SIM are useful detectors.  Also, for larger molecules that are very structurally similar such as positional isomers or diasteromers, carbon based stationary phases do surprisingly well (eg, Hypercarb).</t>
  </si>
  <si>
    <t>Unconventional Techniques</t>
  </si>
  <si>
    <t>Newtonian vs non-Newtonian</t>
  </si>
  <si>
    <t>A Newtonian liquid has the same viscosity regardless of the speed of the spindle.  A non-Newtonian liquid will have a different viscosity at different spindle speeds.</t>
  </si>
  <si>
    <t>Viscosity Converter</t>
  </si>
  <si>
    <t>Product</t>
  </si>
  <si>
    <t>Instrument</t>
  </si>
  <si>
    <t>Notebook</t>
  </si>
  <si>
    <t>Sample</t>
  </si>
  <si>
    <t>Viscometer</t>
  </si>
  <si>
    <t>Helipath</t>
  </si>
  <si>
    <t>Spindle</t>
  </si>
  <si>
    <t>RPM</t>
  </si>
  <si>
    <t>˚C</t>
  </si>
  <si>
    <t>cP</t>
  </si>
  <si>
    <t>Torque</t>
  </si>
  <si>
    <t>Spindle Coefficient</t>
  </si>
  <si>
    <t>Scale Divisions</t>
  </si>
  <si>
    <t>LV Spindle Coefficient</t>
  </si>
  <si>
    <t>RV Spindle Coefficient</t>
  </si>
  <si>
    <t>HA Spindle Coefficient</t>
  </si>
  <si>
    <t>HB Spindle Coefficient</t>
  </si>
  <si>
    <t xml:space="preserve">RV1 </t>
  </si>
  <si>
    <t>LV</t>
  </si>
  <si>
    <t xml:space="preserve">RV2 </t>
  </si>
  <si>
    <t>RV</t>
  </si>
  <si>
    <t xml:space="preserve">RV3 </t>
  </si>
  <si>
    <t>HA</t>
  </si>
  <si>
    <t xml:space="preserve">RV4 </t>
  </si>
  <si>
    <t>HB</t>
  </si>
  <si>
    <t xml:space="preserve">RV5 </t>
  </si>
  <si>
    <t xml:space="preserve">RV6 </t>
  </si>
  <si>
    <t xml:space="preserve">RV7 </t>
  </si>
  <si>
    <t xml:space="preserve">HA1 </t>
  </si>
  <si>
    <t>937</t>
  </si>
  <si>
    <t xml:space="preserve"> 10,000</t>
  </si>
  <si>
    <t xml:space="preserve"> 20,000 </t>
  </si>
  <si>
    <t>80,000</t>
  </si>
  <si>
    <t xml:space="preserve">HA2 </t>
  </si>
  <si>
    <t>3,750</t>
  </si>
  <si>
    <t xml:space="preserve"> 40,000</t>
  </si>
  <si>
    <t xml:space="preserve"> 80,000 </t>
  </si>
  <si>
    <t>320,000</t>
  </si>
  <si>
    <t xml:space="preserve">HA3 </t>
  </si>
  <si>
    <t>9,375</t>
  </si>
  <si>
    <t xml:space="preserve"> 100,000</t>
  </si>
  <si>
    <t xml:space="preserve"> 200,000</t>
  </si>
  <si>
    <t xml:space="preserve"> 800,000</t>
  </si>
  <si>
    <t xml:space="preserve">HA4 </t>
  </si>
  <si>
    <t>18,750</t>
  </si>
  <si>
    <t xml:space="preserve"> 400,000</t>
  </si>
  <si>
    <t xml:space="preserve"> 1,600,000</t>
  </si>
  <si>
    <t xml:space="preserve">HA5 </t>
  </si>
  <si>
    <t>3,7500</t>
  </si>
  <si>
    <t xml:space="preserve"> 3,200,000</t>
  </si>
  <si>
    <t xml:space="preserve">HA6 </t>
  </si>
  <si>
    <t>93,750</t>
  </si>
  <si>
    <t xml:space="preserve"> 1,000,00</t>
  </si>
  <si>
    <t>2,000,000</t>
  </si>
  <si>
    <t xml:space="preserve"> 8,000,000</t>
  </si>
  <si>
    <t xml:space="preserve">HA7 </t>
  </si>
  <si>
    <t>375,000</t>
  </si>
  <si>
    <t xml:space="preserve"> 4,000,00</t>
  </si>
  <si>
    <t>8,000,000</t>
  </si>
  <si>
    <t xml:space="preserve"> 32,000,000</t>
  </si>
  <si>
    <t xml:space="preserve">HB1 </t>
  </si>
  <si>
    <t xml:space="preserve">HB2 </t>
  </si>
  <si>
    <t xml:space="preserve">HB3 </t>
  </si>
  <si>
    <t xml:space="preserve">HB4 </t>
  </si>
  <si>
    <t xml:space="preserve">HB5 </t>
  </si>
  <si>
    <t>37,500</t>
  </si>
  <si>
    <t xml:space="preserve">HB6 </t>
  </si>
  <si>
    <t xml:space="preserve">HB7 </t>
  </si>
  <si>
    <t xml:space="preserve">LV1 </t>
  </si>
  <si>
    <t>6,000</t>
  </si>
  <si>
    <t>64,000</t>
  </si>
  <si>
    <t>128,000</t>
  </si>
  <si>
    <t>512,000</t>
  </si>
  <si>
    <t xml:space="preserve">LV2 </t>
  </si>
  <si>
    <t>30,000</t>
  </si>
  <si>
    <t>320,00</t>
  </si>
  <si>
    <t xml:space="preserve"> 640,000</t>
  </si>
  <si>
    <t>2,560,000</t>
  </si>
  <si>
    <t xml:space="preserve">LV3 </t>
  </si>
  <si>
    <t>120,000</t>
  </si>
  <si>
    <t>1,280,000</t>
  </si>
  <si>
    <t>10,240,000</t>
  </si>
  <si>
    <t xml:space="preserve">LV4 </t>
  </si>
  <si>
    <t>600,000</t>
  </si>
  <si>
    <t>6,400,000</t>
  </si>
  <si>
    <t>12,800,000</t>
  </si>
  <si>
    <t>51,200,000</t>
  </si>
  <si>
    <t xml:space="preserve">LV5 </t>
  </si>
  <si>
    <t>1,200,000</t>
  </si>
  <si>
    <t>25,600,000</t>
  </si>
  <si>
    <t>102,400,000</t>
  </si>
  <si>
    <t xml:space="preserve">LV-2C </t>
  </si>
  <si>
    <t>640,000</t>
  </si>
  <si>
    <t xml:space="preserve">LV-3C </t>
  </si>
  <si>
    <t xml:space="preserve">T-A </t>
  </si>
  <si>
    <t xml:space="preserve">18,750 </t>
  </si>
  <si>
    <t xml:space="preserve">T-B </t>
  </si>
  <si>
    <t xml:space="preserve">37,440 </t>
  </si>
  <si>
    <t xml:space="preserve">T-C </t>
  </si>
  <si>
    <t xml:space="preserve">9,3600 </t>
  </si>
  <si>
    <t xml:space="preserve">T-D </t>
  </si>
  <si>
    <t>187,200</t>
  </si>
  <si>
    <t>4,000,000</t>
  </si>
  <si>
    <t>16,000,000</t>
  </si>
  <si>
    <t xml:space="preserve">T-E </t>
  </si>
  <si>
    <t>468,000</t>
  </si>
  <si>
    <t>5,000,000</t>
  </si>
  <si>
    <t>10,000,000</t>
  </si>
  <si>
    <t>40,000,000</t>
  </si>
  <si>
    <t xml:space="preserve">T-F </t>
  </si>
  <si>
    <t>936,000</t>
  </si>
  <si>
    <t>20,000,000</t>
  </si>
  <si>
    <t>80,000,000</t>
  </si>
  <si>
    <t xml:space="preserve">Spiral </t>
  </si>
  <si>
    <t>98,400</t>
  </si>
  <si>
    <t>1,050,000</t>
  </si>
  <si>
    <t>2,100,000</t>
  </si>
  <si>
    <t>8,400,000</t>
  </si>
  <si>
    <t xml:space="preserve">ULA </t>
  </si>
  <si>
    <t>600</t>
  </si>
  <si>
    <t>6,400</t>
  </si>
  <si>
    <t>12,800</t>
  </si>
  <si>
    <t>51,200</t>
  </si>
  <si>
    <t xml:space="preserve">HT-DIN-81 </t>
  </si>
  <si>
    <t>3,420</t>
  </si>
  <si>
    <t>36,500</t>
  </si>
  <si>
    <t>73,000</t>
  </si>
  <si>
    <t>292,000</t>
  </si>
  <si>
    <t xml:space="preserve">SC4-DIN-82 </t>
  </si>
  <si>
    <t xml:space="preserve">SC4-DIN-83 </t>
  </si>
  <si>
    <t>11,340</t>
  </si>
  <si>
    <t>121,300</t>
  </si>
  <si>
    <t>242,600</t>
  </si>
  <si>
    <t>970,400</t>
  </si>
  <si>
    <t xml:space="preserve">ULA-DIN-85 </t>
  </si>
  <si>
    <t>1,144</t>
  </si>
  <si>
    <t>12,200</t>
  </si>
  <si>
    <t>24,400</t>
  </si>
  <si>
    <t>97,600</t>
  </si>
  <si>
    <t xml:space="preserve">ULA-DIN-86 </t>
  </si>
  <si>
    <t xml:space="preserve">ULA-DIN-87 </t>
  </si>
  <si>
    <t xml:space="preserve">SC4-14/6R </t>
  </si>
  <si>
    <t>117,200</t>
  </si>
  <si>
    <t>1,250,000</t>
  </si>
  <si>
    <t xml:space="preserve"> 2,500,000</t>
  </si>
  <si>
    <t xml:space="preserve">SC4-15/7R </t>
  </si>
  <si>
    <t>46,880</t>
  </si>
  <si>
    <t xml:space="preserve"> 500,000</t>
  </si>
  <si>
    <t xml:space="preserve">1,000,000 </t>
  </si>
  <si>
    <t xml:space="preserve">SC4-16/8R </t>
  </si>
  <si>
    <t xml:space="preserve"> 1,280,000</t>
  </si>
  <si>
    <t xml:space="preserve">2,560,000 </t>
  </si>
  <si>
    <t xml:space="preserve">SC4-18/13R </t>
  </si>
  <si>
    <t xml:space="preserve">SC4-21/13R </t>
  </si>
  <si>
    <t xml:space="preserve">SC4-25/13R </t>
  </si>
  <si>
    <t xml:space="preserve">SC4-27/13R </t>
  </si>
  <si>
    <t xml:space="preserve">SC4-28/13R </t>
  </si>
  <si>
    <t xml:space="preserve">SC4-29/13R </t>
  </si>
  <si>
    <t xml:space="preserve">SC4-31/13R </t>
  </si>
  <si>
    <t xml:space="preserve">SC4-34/13R </t>
  </si>
  <si>
    <t xml:space="preserve">CPA-40, </t>
  </si>
  <si>
    <t xml:space="preserve">CPA-41, </t>
  </si>
  <si>
    <t xml:space="preserve">CPA-42, </t>
  </si>
  <si>
    <t xml:space="preserve">CPA-51, </t>
  </si>
  <si>
    <t xml:space="preserve">CPA-52, </t>
  </si>
  <si>
    <t xml:space="preserve">V-71 </t>
  </si>
  <si>
    <t xml:space="preserve">V-72 </t>
  </si>
  <si>
    <t xml:space="preserve">V-73 </t>
  </si>
  <si>
    <t xml:space="preserve">V-74 </t>
  </si>
  <si>
    <t xml:space="preserve">V-75 </t>
  </si>
  <si>
    <t>Data in this table came from</t>
  </si>
  <si>
    <t>Brookfield DV2T</t>
  </si>
  <si>
    <t>Manual No. M13-167-B0614</t>
  </si>
  <si>
    <t>Col Width</t>
  </si>
  <si>
    <t>Object 001</t>
  </si>
  <si>
    <t>Purpose:</t>
  </si>
  <si>
    <t>Conclusions:</t>
  </si>
  <si>
    <t>n/a</t>
  </si>
  <si>
    <t>Pressure (psi)</t>
  </si>
  <si>
    <t xml:space="preserve">Detector Air (mL/min): </t>
  </si>
  <si>
    <t xml:space="preserve">Detector Hydrogen (mL/min): </t>
  </si>
  <si>
    <t xml:space="preserve">Detector Auxilliary (mL/min): </t>
  </si>
  <si>
    <t xml:space="preserve">Split Flow (min): </t>
  </si>
  <si>
    <t xml:space="preserve">Liner Part Number: </t>
  </si>
  <si>
    <t>(°C/min)</t>
  </si>
  <si>
    <t>Empower/Data Notes</t>
  </si>
  <si>
    <t>HPLC Conditions</t>
  </si>
  <si>
    <t>GC Conditions</t>
  </si>
  <si>
    <t xml:space="preserve">Mobile Phase C: </t>
  </si>
  <si>
    <t xml:space="preserve">Mobile Phase D: </t>
  </si>
  <si>
    <t>This is an unvalidated spreadsheet.  All calculated (green) cells should be verified.</t>
  </si>
  <si>
    <t>LC List</t>
  </si>
  <si>
    <t>Liner Choice</t>
  </si>
  <si>
    <t>Liner choice can be greatly simplified by considering sample type, injection mode and the nature of the analytes, such as activity and volatility. Use of an appropriate liner for a particular analysis can help improve peak shapes, detection limits and reproducibility. In summary, some of the best liner choices include a narrow internal diameter straight liner for gas analysis, a single taper liner with wool for splitless analysis, a Precision-style liner for split analysis and a baffled liner for PTV analysis.</t>
  </si>
  <si>
    <t>Karl Fischer reagents contain methanol and methanol reacts with aldehydes and ketones to form acetals and ketals (the reaction produces water as a byproduct).  Therefore, unless you use a specific reagent for aldehydes and ketones, you should test these products using headspace rather than direct addition.</t>
  </si>
  <si>
    <t>Column Length</t>
  </si>
  <si>
    <t>Column Diameter</t>
  </si>
  <si>
    <t>Column Film Thickness</t>
  </si>
  <si>
    <t>Increase length and you increase efficiency, resolution, pressure, analysis time and therefore, cost.</t>
  </si>
  <si>
    <t>Increase column diameter and you increase efficiency, resolution and pressure.  Capacity and flow rate decrease.</t>
  </si>
  <si>
    <t>Increase film thickness and you increase retention, resolution for early peaks, capcatiy, bleed and inertness.   Increasing film thickness also decreases resolutoin for late eluting peaks, and decreases column efficiency.</t>
  </si>
  <si>
    <t>Column Dimensions Presentation</t>
  </si>
  <si>
    <t>/https://www.agilent.com/cs/library/slidepresentation/Public/Secrets_GC_Column_Dimensions.pdf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</si>
</sst>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5" x14ac:knownFonts="1">
    <font>
      <sz val="10"/>
      <name val="Arial"/>
    </font>
    <font>
      <sz val="8"/>
      <name val="Arial"/>
      <family val="2"/>
    </font>
    <font>
      <b/>
      <sz val="10"/>
      <name val="Arial"/>
      <family val="2"/>
    </font>
    <font>
      <sz val="10"/>
      <name val="Arial"/>
      <family val="2"/>
    </font>
    <font>
      <b/>
      <sz val="10"/>
      <color indexed="10"/>
      <name val="Arial"/>
      <family val="2"/>
    </font>
    <font>
      <sz val="10"/>
      <name val="Arial"/>
      <family val="2"/>
      <charset val="204"/>
    </font>
    <font>
      <b/>
      <sz val="18"/>
      <name val="Arial"/>
      <family val="2"/>
      <charset val="204"/>
    </font>
    <font>
      <b/>
      <sz val="10"/>
      <name val="Arial"/>
      <family val="2"/>
      <charset val="204"/>
    </font>
    <font>
      <b/>
      <sz val="18"/>
      <name val="Arial"/>
      <family val="2"/>
    </font>
    <font>
      <sz val="10"/>
      <color indexed="8"/>
      <name val="Arial"/>
      <family val="2"/>
    </font>
    <font>
      <b/>
      <sz val="8"/>
      <name val="Arial"/>
      <family val="2"/>
    </font>
    <font>
      <sz val="8"/>
      <name val="Arial"/>
      <family val="2"/>
    </font>
    <font>
      <b/>
      <sz val="12"/>
      <name val="Arial"/>
      <family val="2"/>
    </font>
    <font>
      <sz val="8"/>
      <name val="Arial"/>
      <family val="2"/>
      <charset val="204"/>
    </font>
    <font>
      <b/>
      <sz val="8"/>
      <name val="Calibri"/>
      <family val="2"/>
    </font>
    <font>
      <sz val="10"/>
      <color rgb="FF0000FF"/>
      <name val="Arial"/>
      <family val="2"/>
    </font>
    <font>
      <sz val="10"/>
      <color rgb="FF000000"/>
      <name val="Arial"/>
      <family val="2"/>
    </font>
    <font>
      <sz val="10"/>
      <color rgb="FF0000FF"/>
      <name val="Arial"/>
      <family val="2"/>
    </font>
    <font>
      <sz val="10"/>
      <name val="Calibri"/>
      <family val="2"/>
    </font>
    <font>
      <vertAlign val="subscript"/>
      <sz val="10"/>
      <name val="Arial"/>
      <family val="2"/>
    </font>
    <font>
      <u/>
      <sz val="10"/>
      <color theme="10"/>
      <name val="Arial"/>
      <family val="2"/>
    </font>
    <font>
      <b/>
      <sz val="11"/>
      <color theme="1"/>
      <name val="Calibri"/>
      <family val="2"/>
      <scheme val="minor"/>
    </font>
    <font>
      <b/>
      <sz val="18"/>
      <color theme="1"/>
      <name val="Calibri"/>
      <family val="2"/>
      <scheme val="minor"/>
    </font>
    <font>
      <b/>
      <sz val="11"/>
      <color theme="1"/>
      <name val="Calibri"/>
      <family val="2"/>
    </font>
    <font>
      <b/>
      <sz val="12"/>
      <color theme="0"/>
      <name val="Calibri"/>
      <family val="2"/>
      <scheme val="minor"/>
    </font>
  </fonts>
  <fills count="10">
    <fill>
      <patternFill patternType="none"/>
    </fill>
    <fill>
      <patternFill patternType="gray125"/>
    </fill>
    <fill>
      <patternFill patternType="solid">
        <fgColor indexed="26"/>
        <bgColor indexed="64"/>
      </patternFill>
    </fill>
    <fill>
      <patternFill patternType="solid">
        <fgColor indexed="42"/>
        <bgColor indexed="64"/>
      </patternFill>
    </fill>
    <fill>
      <patternFill patternType="gray125">
        <bgColor indexed="26"/>
      </patternFill>
    </fill>
    <fill>
      <patternFill patternType="solid">
        <fgColor rgb="FFFFFFCC"/>
        <bgColor indexed="64"/>
      </patternFill>
    </fill>
    <fill>
      <patternFill patternType="solid">
        <fgColor theme="0" tint="-0.14996795556505021"/>
        <bgColor indexed="64"/>
      </patternFill>
    </fill>
    <fill>
      <patternFill patternType="solid">
        <fgColor rgb="FFCCFFCC"/>
        <bgColor indexed="64"/>
      </patternFill>
    </fill>
    <fill>
      <patternFill patternType="solid">
        <fgColor rgb="FFFFFF00"/>
        <bgColor indexed="64"/>
      </patternFill>
    </fill>
    <fill>
      <patternFill patternType="solid">
        <fgColor rgb="FFFF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theme="0" tint="-0.24994659260841701"/>
      </right>
      <top/>
      <bottom style="thick">
        <color theme="0" tint="-0.24994659260841701"/>
      </bottom>
      <diagonal/>
    </border>
    <border>
      <left style="thin">
        <color indexed="64"/>
      </left>
      <right style="thin">
        <color indexed="64"/>
      </right>
      <top style="thin">
        <color indexed="64"/>
      </top>
      <bottom/>
      <diagonal/>
    </border>
    <border>
      <left/>
      <right style="medium">
        <color theme="0" tint="-0.24994659260841701"/>
      </right>
      <top style="medium">
        <color indexed="61"/>
      </top>
      <bottom style="thick">
        <color theme="0" tint="-0.24994659260841701"/>
      </bottom>
      <diagonal/>
    </border>
    <border>
      <left style="medium">
        <color indexed="61"/>
      </left>
      <right style="medium">
        <color theme="0" tint="-0.24994659260841701"/>
      </right>
      <top style="medium">
        <color indexed="61"/>
      </top>
      <bottom style="thick">
        <color theme="0" tint="-0.24994659260841701"/>
      </bottom>
      <diagonal/>
    </border>
  </borders>
  <cellStyleXfs count="3">
    <xf numFmtId="0" fontId="0" fillId="0" borderId="0"/>
    <xf numFmtId="0" fontId="4" fillId="0" borderId="0">
      <protection locked="0"/>
    </xf>
    <xf numFmtId="0" fontId="20" fillId="0" borderId="0" applyNumberFormat="0" applyFill="0" applyBorder="0" applyAlignment="0" applyProtection="0"/>
  </cellStyleXfs>
  <cellXfs count="140">
    <xf numFmtId="0" fontId="0" fillId="0" borderId="0" xfId="0"/>
    <xf numFmtId="0" fontId="5" fillId="0" borderId="0" xfId="0" applyFont="1" applyFill="1" applyBorder="1" applyAlignment="1" applyProtection="1">
      <alignment horizontal="centerContinuous" vertical="center" wrapText="1"/>
      <protection locked="0"/>
    </xf>
    <xf numFmtId="0" fontId="0" fillId="0" borderId="0" xfId="0" applyProtection="1">
      <protection locked="0"/>
    </xf>
    <xf numFmtId="0" fontId="0" fillId="0" borderId="0" xfId="0" applyProtection="1"/>
    <xf numFmtId="0" fontId="8" fillId="0" borderId="0" xfId="0" applyFont="1" applyAlignment="1" applyProtection="1">
      <alignment horizontal="left" vertical="center"/>
      <protection locked="0"/>
    </xf>
    <xf numFmtId="0" fontId="0" fillId="0" borderId="0" xfId="0" applyAlignment="1" applyProtection="1">
      <alignment vertical="center" wrapText="1"/>
      <protection locked="0"/>
    </xf>
    <xf numFmtId="0" fontId="2" fillId="0" borderId="0" xfId="0" applyFont="1" applyAlignment="1" applyProtection="1">
      <alignment horizontal="center" vertical="center" wrapText="1"/>
      <protection locked="0"/>
    </xf>
    <xf numFmtId="0" fontId="2" fillId="0" borderId="0" xfId="0" applyFont="1" applyAlignment="1" applyProtection="1">
      <alignment vertical="center" wrapText="1"/>
      <protection locked="0"/>
    </xf>
    <xf numFmtId="0" fontId="0" fillId="0" borderId="1" xfId="0" applyBorder="1" applyAlignment="1" applyProtection="1">
      <alignment horizontal="center" vertical="center" wrapText="1"/>
      <protection locked="0"/>
    </xf>
    <xf numFmtId="0" fontId="0" fillId="0" borderId="1" xfId="0" applyBorder="1" applyAlignment="1" applyProtection="1">
      <alignment vertical="center" wrapText="1"/>
      <protection locked="0"/>
    </xf>
    <xf numFmtId="0" fontId="0" fillId="0" borderId="1" xfId="0" applyBorder="1" applyProtection="1">
      <protection locked="0"/>
    </xf>
    <xf numFmtId="0" fontId="0" fillId="0" borderId="0" xfId="0" applyAlignment="1" applyProtection="1">
      <alignment horizontal="center" vertical="center" wrapText="1"/>
      <protection locked="0"/>
    </xf>
    <xf numFmtId="0" fontId="0" fillId="0" borderId="0" xfId="0" applyAlignment="1" applyProtection="1">
      <alignment vertical="center"/>
      <protection locked="0"/>
    </xf>
    <xf numFmtId="0" fontId="8" fillId="0" borderId="0" xfId="0" applyFont="1" applyAlignment="1" applyProtection="1">
      <alignment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right" vertical="center"/>
      <protection locked="0"/>
    </xf>
    <xf numFmtId="0" fontId="6" fillId="0" borderId="0" xfId="0" applyFont="1" applyAlignment="1" applyProtection="1">
      <alignment horizontal="left" vertical="center"/>
      <protection locked="0"/>
    </xf>
    <xf numFmtId="0" fontId="7" fillId="0" borderId="0" xfId="0" applyNumberFormat="1" applyFont="1" applyFill="1" applyBorder="1" applyAlignment="1" applyProtection="1">
      <alignment horizontal="left" vertical="center"/>
      <protection locked="0"/>
    </xf>
    <xf numFmtId="0" fontId="5" fillId="0" borderId="0" xfId="0" applyFont="1" applyAlignment="1" applyProtection="1">
      <alignment horizontal="center" vertical="center"/>
      <protection locked="0"/>
    </xf>
    <xf numFmtId="0" fontId="5" fillId="0" borderId="0" xfId="0" applyFont="1" applyAlignment="1" applyProtection="1">
      <alignment vertical="center"/>
      <protection locked="0"/>
    </xf>
    <xf numFmtId="0" fontId="5" fillId="0" borderId="0" xfId="0" applyFont="1" applyBorder="1" applyAlignment="1" applyProtection="1">
      <alignment vertical="center"/>
      <protection locked="0"/>
    </xf>
    <xf numFmtId="0" fontId="0" fillId="0" borderId="0" xfId="0" applyAlignment="1" applyProtection="1">
      <alignment horizontal="left"/>
    </xf>
    <xf numFmtId="0" fontId="11" fillId="0" borderId="0" xfId="0" applyFont="1" applyProtection="1">
      <protection locked="0"/>
    </xf>
    <xf numFmtId="0" fontId="10" fillId="0" borderId="0" xfId="0" applyFont="1" applyAlignment="1">
      <alignment horizontal="center" wrapText="1"/>
    </xf>
    <xf numFmtId="0" fontId="10" fillId="0" borderId="0" xfId="0" applyFont="1" applyBorder="1" applyAlignment="1">
      <alignment horizontal="right"/>
    </xf>
    <xf numFmtId="2" fontId="11" fillId="2" borderId="1" xfId="0" applyNumberFormat="1" applyFont="1" applyFill="1" applyBorder="1" applyAlignment="1" applyProtection="1">
      <alignment horizontal="center" wrapText="1"/>
      <protection locked="0"/>
    </xf>
    <xf numFmtId="0" fontId="11" fillId="2" borderId="1" xfId="0" applyFont="1" applyFill="1" applyBorder="1" applyAlignment="1" applyProtection="1">
      <alignment horizontal="center" wrapText="1"/>
      <protection locked="0"/>
    </xf>
    <xf numFmtId="0" fontId="10" fillId="0" borderId="0" xfId="0" applyFont="1" applyBorder="1" applyAlignment="1" applyProtection="1">
      <alignment horizontal="center"/>
    </xf>
    <xf numFmtId="0" fontId="3" fillId="0" borderId="0" xfId="0" applyFont="1" applyAlignment="1" applyProtection="1">
      <alignment vertical="center"/>
      <protection locked="0"/>
    </xf>
    <xf numFmtId="0" fontId="0" fillId="0" borderId="0" xfId="0" applyFill="1" applyAlignment="1" applyProtection="1">
      <alignment vertical="center"/>
      <protection locked="0"/>
    </xf>
    <xf numFmtId="0" fontId="0" fillId="3" borderId="1" xfId="0" applyNumberFormat="1" applyFill="1" applyBorder="1" applyAlignment="1" applyProtection="1">
      <alignment horizontal="center" vertical="center"/>
    </xf>
    <xf numFmtId="0" fontId="1" fillId="2" borderId="1" xfId="0" applyFont="1" applyFill="1" applyBorder="1" applyAlignment="1" applyProtection="1">
      <alignment vertical="center" wrapText="1"/>
      <protection locked="0"/>
    </xf>
    <xf numFmtId="0" fontId="0" fillId="0" borderId="0" xfId="0" applyAlignment="1" applyProtection="1">
      <alignment horizontal="center" vertical="center"/>
      <protection locked="0"/>
    </xf>
    <xf numFmtId="0" fontId="0" fillId="3" borderId="1" xfId="0" applyFill="1" applyBorder="1" applyAlignment="1" applyProtection="1">
      <alignment horizontal="center" vertical="center"/>
      <protection locked="0"/>
    </xf>
    <xf numFmtId="0" fontId="0" fillId="0" borderId="0" xfId="0" applyFill="1" applyBorder="1" applyProtection="1">
      <protection locked="0"/>
    </xf>
    <xf numFmtId="0" fontId="8" fillId="0" borderId="0" xfId="0" applyFont="1" applyAlignment="1" applyProtection="1">
      <alignment vertical="center"/>
    </xf>
    <xf numFmtId="0" fontId="10" fillId="0" borderId="0" xfId="0" applyFont="1" applyBorder="1" applyAlignment="1" applyProtection="1">
      <alignment horizontal="right" vertical="center"/>
    </xf>
    <xf numFmtId="0" fontId="2" fillId="0" borderId="0" xfId="0" applyFont="1" applyFill="1" applyAlignment="1" applyProtection="1">
      <alignment horizontal="center" wrapText="1"/>
      <protection locked="0"/>
    </xf>
    <xf numFmtId="0" fontId="2" fillId="0" borderId="0" xfId="0" applyFont="1" applyAlignment="1" applyProtection="1">
      <alignment horizontal="center" wrapText="1"/>
      <protection locked="0"/>
    </xf>
    <xf numFmtId="0" fontId="2" fillId="0" borderId="0" xfId="0" applyFont="1" applyAlignment="1" applyProtection="1">
      <alignment wrapText="1"/>
      <protection locked="0"/>
    </xf>
    <xf numFmtId="0" fontId="7" fillId="0" borderId="0" xfId="0" applyFont="1" applyAlignment="1" applyProtection="1">
      <alignment horizontal="left"/>
      <protection locked="0"/>
    </xf>
    <xf numFmtId="0" fontId="7" fillId="0" borderId="0" xfId="0" applyFont="1" applyBorder="1" applyAlignment="1" applyProtection="1">
      <alignment horizontal="left"/>
      <protection locked="0"/>
    </xf>
    <xf numFmtId="0" fontId="12" fillId="0" borderId="0" xfId="0" applyFont="1" applyProtection="1"/>
    <xf numFmtId="0" fontId="11" fillId="3" borderId="1" xfId="0" applyFont="1" applyFill="1" applyBorder="1" applyAlignment="1" applyProtection="1">
      <alignment horizontal="center" wrapText="1"/>
    </xf>
    <xf numFmtId="0" fontId="13" fillId="2" borderId="1" xfId="0" applyNumberFormat="1" applyFont="1" applyFill="1" applyBorder="1" applyAlignment="1" applyProtection="1">
      <alignment horizontal="center" vertical="center" wrapText="1" shrinkToFit="1"/>
      <protection locked="0"/>
    </xf>
    <xf numFmtId="0" fontId="10" fillId="0" borderId="0" xfId="0" applyFont="1" applyBorder="1" applyAlignment="1" applyProtection="1">
      <alignment horizontal="right" vertical="center" wrapText="1"/>
    </xf>
    <xf numFmtId="0" fontId="5" fillId="5" borderId="1" xfId="0" applyFont="1" applyFill="1" applyBorder="1" applyAlignment="1" applyProtection="1">
      <alignment horizontal="center" vertical="center"/>
      <protection locked="0"/>
    </xf>
    <xf numFmtId="0" fontId="0" fillId="0" borderId="0" xfId="0" applyAlignment="1" applyProtection="1">
      <alignment horizontal="left" vertical="center" wrapText="1"/>
      <protection locked="0"/>
    </xf>
    <xf numFmtId="0" fontId="0" fillId="0" borderId="0" xfId="0" applyAlignment="1" applyProtection="1">
      <alignment horizontal="left"/>
      <protection locked="0"/>
    </xf>
    <xf numFmtId="0" fontId="2" fillId="0" borderId="0" xfId="0" applyFont="1" applyAlignment="1" applyProtection="1">
      <alignment horizontal="left" vertical="center" wrapText="1"/>
      <protection locked="0"/>
    </xf>
    <xf numFmtId="0" fontId="0" fillId="0" borderId="1" xfId="0" applyBorder="1" applyAlignment="1" applyProtection="1">
      <alignment horizontal="left" vertical="center" wrapText="1"/>
      <protection locked="0"/>
    </xf>
    <xf numFmtId="0" fontId="9" fillId="0" borderId="1" xfId="0" applyFont="1" applyBorder="1" applyAlignment="1" applyProtection="1">
      <alignment horizontal="left"/>
      <protection locked="0"/>
    </xf>
    <xf numFmtId="0" fontId="0" fillId="0" borderId="1" xfId="0" applyBorder="1" applyAlignment="1" applyProtection="1">
      <alignment horizontal="left"/>
      <protection locked="0"/>
    </xf>
    <xf numFmtId="0" fontId="2" fillId="0" borderId="0" xfId="0" applyFont="1" applyAlignment="1" applyProtection="1">
      <alignment horizontal="left" vertical="center"/>
      <protection locked="0"/>
    </xf>
    <xf numFmtId="0" fontId="7" fillId="0" borderId="0" xfId="0" applyFont="1" applyAlignment="1" applyProtection="1">
      <alignment horizontal="left" vertical="center"/>
      <protection locked="0"/>
    </xf>
    <xf numFmtId="0" fontId="0" fillId="5" borderId="1" xfId="0" applyFill="1" applyBorder="1" applyAlignment="1" applyProtection="1">
      <alignment horizontal="center" vertical="center" wrapText="1"/>
      <protection locked="0"/>
    </xf>
    <xf numFmtId="0" fontId="3" fillId="6" borderId="5" xfId="0" applyFont="1" applyFill="1" applyBorder="1" applyAlignment="1" applyProtection="1">
      <alignment horizontal="center" vertical="center"/>
      <protection locked="0"/>
    </xf>
    <xf numFmtId="0" fontId="3" fillId="0" borderId="1" xfId="0" applyFont="1" applyBorder="1" applyAlignment="1" applyProtection="1">
      <alignment horizontal="left"/>
      <protection locked="0"/>
    </xf>
    <xf numFmtId="0" fontId="3" fillId="0" borderId="0" xfId="0" applyFont="1" applyAlignment="1" applyProtection="1">
      <alignment horizontal="left"/>
      <protection locked="0"/>
    </xf>
    <xf numFmtId="0" fontId="3" fillId="0" borderId="3" xfId="0" applyFont="1" applyBorder="1" applyAlignment="1" applyProtection="1">
      <alignment horizontal="left"/>
      <protection locked="0"/>
    </xf>
    <xf numFmtId="0" fontId="0" fillId="0" borderId="3" xfId="0" applyBorder="1" applyAlignment="1" applyProtection="1">
      <alignment horizontal="left"/>
      <protection locked="0"/>
    </xf>
    <xf numFmtId="0" fontId="3" fillId="0" borderId="1" xfId="0" applyFont="1" applyBorder="1" applyProtection="1">
      <protection locked="0"/>
    </xf>
    <xf numFmtId="0" fontId="17" fillId="0" borderId="1" xfId="0" applyFont="1" applyBorder="1"/>
    <xf numFmtId="0" fontId="16" fillId="0" borderId="1" xfId="0" applyFont="1" applyBorder="1"/>
    <xf numFmtId="0" fontId="3" fillId="3" borderId="1" xfId="0" applyNumberFormat="1" applyFont="1" applyFill="1" applyBorder="1" applyAlignment="1" applyProtection="1">
      <alignment horizontal="center" vertical="center"/>
      <protection locked="0"/>
    </xf>
    <xf numFmtId="0" fontId="0" fillId="3" borderId="1" xfId="0" applyFill="1" applyBorder="1" applyAlignment="1" applyProtection="1">
      <alignment horizontal="center" vertical="center"/>
    </xf>
    <xf numFmtId="0" fontId="2" fillId="0" borderId="0" xfId="0" applyFont="1" applyAlignment="1" applyProtection="1">
      <alignment vertical="center"/>
      <protection locked="0"/>
    </xf>
    <xf numFmtId="0" fontId="0" fillId="0" borderId="1" xfId="0" applyBorder="1" applyProtection="1"/>
    <xf numFmtId="0" fontId="3" fillId="0" borderId="1" xfId="0" applyFont="1" applyBorder="1" applyAlignment="1" applyProtection="1">
      <alignment vertical="center" wrapText="1"/>
      <protection locked="0"/>
    </xf>
    <xf numFmtId="0" fontId="2" fillId="0" borderId="0" xfId="0" applyFont="1" applyAlignment="1" applyProtection="1">
      <alignment horizontal="left"/>
      <protection locked="0"/>
    </xf>
    <xf numFmtId="0" fontId="2" fillId="0" borderId="0" xfId="0" applyFont="1" applyProtection="1">
      <protection locked="0"/>
    </xf>
    <xf numFmtId="0" fontId="3" fillId="0" borderId="1" xfId="0" applyFont="1" applyBorder="1" applyAlignment="1" applyProtection="1">
      <alignment vertical="center"/>
      <protection locked="0"/>
    </xf>
    <xf numFmtId="0" fontId="0" fillId="0" borderId="1" xfId="0" applyBorder="1" applyAlignment="1" applyProtection="1">
      <alignment vertical="center"/>
      <protection locked="0"/>
    </xf>
    <xf numFmtId="0" fontId="3" fillId="0" borderId="1" xfId="0" applyFont="1" applyBorder="1" applyAlignment="1" applyProtection="1">
      <alignment horizontal="left" wrapText="1"/>
      <protection locked="0"/>
    </xf>
    <xf numFmtId="0" fontId="0" fillId="0" borderId="1" xfId="0" applyBorder="1" applyAlignment="1" applyProtection="1">
      <alignment horizontal="left" wrapText="1"/>
      <protection locked="0"/>
    </xf>
    <xf numFmtId="0" fontId="10" fillId="0" borderId="0" xfId="0" applyFont="1" applyBorder="1" applyAlignment="1" applyProtection="1">
      <alignment horizontal="left" wrapText="1"/>
    </xf>
    <xf numFmtId="0" fontId="3" fillId="0" borderId="2" xfId="0" applyFont="1" applyBorder="1" applyProtection="1">
      <protection locked="0"/>
    </xf>
    <xf numFmtId="0" fontId="0" fillId="0" borderId="6" xfId="0" applyBorder="1" applyAlignment="1" applyProtection="1">
      <alignment horizontal="left"/>
      <protection locked="0"/>
    </xf>
    <xf numFmtId="0" fontId="11" fillId="6" borderId="5" xfId="0" applyFont="1" applyFill="1" applyBorder="1" applyAlignment="1" applyProtection="1">
      <alignment horizontal="center" vertical="center"/>
      <protection locked="0"/>
    </xf>
    <xf numFmtId="0" fontId="11" fillId="0" borderId="0" xfId="0" applyFont="1" applyAlignment="1" applyProtection="1">
      <alignment vertical="center"/>
      <protection locked="0"/>
    </xf>
    <xf numFmtId="0" fontId="3" fillId="6" borderId="7" xfId="0" applyFont="1" applyFill="1" applyBorder="1" applyAlignment="1" applyProtection="1">
      <alignment horizontal="center" vertical="center"/>
    </xf>
    <xf numFmtId="0" fontId="0" fillId="3" borderId="2" xfId="0" applyNumberFormat="1" applyFill="1" applyBorder="1" applyAlignment="1" applyProtection="1">
      <alignment horizontal="center" vertical="center"/>
    </xf>
    <xf numFmtId="0" fontId="11" fillId="6" borderId="8" xfId="0" applyFont="1" applyFill="1" applyBorder="1" applyAlignment="1" applyProtection="1">
      <alignment horizontal="center" vertical="center" wrapText="1"/>
    </xf>
    <xf numFmtId="0" fontId="20" fillId="0" borderId="1" xfId="2" applyBorder="1" applyAlignment="1" applyProtection="1">
      <alignment horizontal="left" wrapText="1"/>
      <protection locked="0"/>
    </xf>
    <xf numFmtId="0" fontId="0" fillId="0" borderId="1" xfId="0" quotePrefix="1" applyBorder="1" applyProtection="1">
      <protection locked="0"/>
    </xf>
    <xf numFmtId="0" fontId="2" fillId="8" borderId="0" xfId="0" applyFont="1" applyFill="1" applyAlignment="1" applyProtection="1">
      <alignment horizontal="center" wrapText="1"/>
      <protection locked="0"/>
    </xf>
    <xf numFmtId="0" fontId="2" fillId="8" borderId="0" xfId="0" applyFont="1" applyFill="1" applyAlignment="1" applyProtection="1">
      <alignment horizontal="center"/>
      <protection locked="0"/>
    </xf>
    <xf numFmtId="0" fontId="0" fillId="0" borderId="1" xfId="0" applyBorder="1" applyAlignment="1" applyProtection="1">
      <alignment horizontal="center" vertical="center"/>
    </xf>
    <xf numFmtId="0" fontId="3" fillId="0" borderId="1" xfId="0" applyFont="1" applyBorder="1" applyAlignment="1" applyProtection="1">
      <alignment horizontal="left" vertical="center" wrapText="1"/>
      <protection locked="0"/>
    </xf>
    <xf numFmtId="0" fontId="0" fillId="0" borderId="1" xfId="0" applyBorder="1" applyAlignment="1" applyProtection="1">
      <alignment vertical="center"/>
    </xf>
    <xf numFmtId="0" fontId="0" fillId="0" borderId="0" xfId="0" applyAlignment="1">
      <alignment horizontal="left"/>
    </xf>
    <xf numFmtId="0" fontId="0" fillId="0" borderId="0" xfId="0" applyAlignment="1">
      <alignment horizontal="center"/>
    </xf>
    <xf numFmtId="164" fontId="0" fillId="0" borderId="0" xfId="0" applyNumberFormat="1" applyAlignment="1">
      <alignment horizontal="center"/>
    </xf>
    <xf numFmtId="0" fontId="22" fillId="0" borderId="0" xfId="0" applyFont="1" applyAlignment="1">
      <alignment horizontal="left"/>
    </xf>
    <xf numFmtId="0" fontId="0" fillId="0" borderId="1" xfId="0" applyBorder="1" applyAlignment="1">
      <alignment horizontal="left"/>
    </xf>
    <xf numFmtId="0" fontId="0" fillId="6" borderId="5" xfId="0" applyFill="1" applyBorder="1" applyAlignment="1">
      <alignment horizontal="center" vertical="center"/>
    </xf>
    <xf numFmtId="0" fontId="21" fillId="0" borderId="0" xfId="0" applyFont="1" applyAlignment="1">
      <alignment horizontal="left" wrapText="1"/>
    </xf>
    <xf numFmtId="0" fontId="21" fillId="0" borderId="0" xfId="0" applyFont="1" applyAlignment="1">
      <alignment horizontal="center" wrapText="1"/>
    </xf>
    <xf numFmtId="164" fontId="23" fillId="0" borderId="0" xfId="0" applyNumberFormat="1" applyFont="1" applyAlignment="1">
      <alignment horizontal="center" wrapText="1"/>
    </xf>
    <xf numFmtId="164" fontId="21" fillId="0" borderId="0" xfId="0" applyNumberFormat="1" applyFont="1" applyAlignment="1">
      <alignment horizontal="center" wrapText="1"/>
    </xf>
    <xf numFmtId="0" fontId="0" fillId="0" borderId="1" xfId="0" quotePrefix="1" applyBorder="1" applyAlignment="1">
      <alignment horizontal="left"/>
    </xf>
    <xf numFmtId="0" fontId="0" fillId="0" borderId="1" xfId="0" applyBorder="1" applyAlignment="1">
      <alignment horizontal="center"/>
    </xf>
    <xf numFmtId="164"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applyAlignment="1">
      <alignment horizontal="center"/>
    </xf>
    <xf numFmtId="164" fontId="0" fillId="0" borderId="1" xfId="0" quotePrefix="1" applyNumberFormat="1" applyBorder="1" applyAlignment="1">
      <alignment horizont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pplyProtection="1">
      <alignment horizontal="center"/>
      <protection locked="0"/>
    </xf>
    <xf numFmtId="0" fontId="0" fillId="0" borderId="1" xfId="0" applyBorder="1" applyAlignment="1" applyProtection="1">
      <alignment horizontal="center"/>
      <protection locked="0"/>
    </xf>
    <xf numFmtId="0" fontId="12" fillId="0" borderId="0" xfId="0" applyFont="1"/>
    <xf numFmtId="0" fontId="10" fillId="0" borderId="0" xfId="0" applyFont="1" applyAlignment="1">
      <alignment horizontal="right" vertical="center"/>
    </xf>
    <xf numFmtId="0" fontId="1" fillId="2" borderId="1" xfId="0" applyFont="1" applyFill="1" applyBorder="1" applyAlignment="1" applyProtection="1">
      <alignment horizontal="center" vertical="center" shrinkToFit="1"/>
      <protection locked="0"/>
    </xf>
    <xf numFmtId="164" fontId="1" fillId="2" borderId="1" xfId="0" applyNumberFormat="1" applyFont="1" applyFill="1" applyBorder="1" applyAlignment="1" applyProtection="1">
      <alignment horizontal="center" vertical="center" shrinkToFit="1"/>
      <protection locked="0"/>
    </xf>
    <xf numFmtId="0" fontId="1" fillId="2" borderId="1" xfId="0" quotePrefix="1" applyFont="1" applyFill="1" applyBorder="1" applyAlignment="1" applyProtection="1">
      <alignment horizontal="center" vertical="center" shrinkToFit="1"/>
      <protection locked="0"/>
    </xf>
    <xf numFmtId="1" fontId="1" fillId="2" borderId="1" xfId="0" applyNumberFormat="1" applyFont="1" applyFill="1" applyBorder="1" applyAlignment="1" applyProtection="1">
      <alignment horizontal="center" vertical="center" shrinkToFit="1"/>
      <protection locked="0"/>
    </xf>
    <xf numFmtId="0" fontId="12" fillId="0" borderId="0" xfId="0" applyFont="1" applyAlignment="1">
      <alignment horizontal="left"/>
    </xf>
    <xf numFmtId="0" fontId="1" fillId="0" borderId="0" xfId="0" applyFont="1"/>
    <xf numFmtId="0" fontId="10" fillId="0" borderId="0" xfId="0" applyFont="1" applyAlignment="1">
      <alignment horizontal="right"/>
    </xf>
    <xf numFmtId="0" fontId="1" fillId="4" borderId="1" xfId="0" applyFont="1" applyFill="1" applyBorder="1" applyAlignment="1">
      <alignment horizontal="center"/>
    </xf>
    <xf numFmtId="0" fontId="1" fillId="2" borderId="1" xfId="0" applyFont="1" applyFill="1" applyBorder="1" applyAlignment="1" applyProtection="1">
      <alignment horizontal="center"/>
      <protection locked="0"/>
    </xf>
    <xf numFmtId="2" fontId="1" fillId="3" borderId="1" xfId="0" applyNumberFormat="1" applyFont="1" applyFill="1" applyBorder="1" applyAlignment="1">
      <alignment horizontal="center"/>
    </xf>
    <xf numFmtId="0" fontId="5" fillId="2" borderId="3" xfId="0" applyNumberFormat="1" applyFont="1" applyFill="1" applyBorder="1" applyAlignment="1" applyProtection="1">
      <alignment horizontal="left" vertical="center" wrapText="1"/>
      <protection locked="0"/>
    </xf>
    <xf numFmtId="0" fontId="0" fillId="2" borderId="4" xfId="0" applyFill="1" applyBorder="1" applyAlignment="1" applyProtection="1">
      <alignment vertical="center" wrapText="1"/>
      <protection locked="0"/>
    </xf>
    <xf numFmtId="0" fontId="0" fillId="2" borderId="2" xfId="0" applyFill="1" applyBorder="1" applyAlignment="1" applyProtection="1">
      <alignment vertical="center" wrapText="1"/>
      <protection locked="0"/>
    </xf>
    <xf numFmtId="0" fontId="5" fillId="2" borderId="3" xfId="0" applyFont="1" applyFill="1" applyBorder="1" applyAlignment="1" applyProtection="1">
      <alignment horizontal="left" vertical="center" wrapText="1"/>
      <protection locked="0"/>
    </xf>
    <xf numFmtId="0" fontId="0" fillId="2" borderId="4" xfId="0" applyFill="1" applyBorder="1" applyAlignment="1" applyProtection="1">
      <alignment horizontal="left" vertical="center" wrapText="1"/>
      <protection locked="0"/>
    </xf>
    <xf numFmtId="0" fontId="0" fillId="2" borderId="2" xfId="0" applyFill="1" applyBorder="1" applyAlignment="1" applyProtection="1">
      <alignment horizontal="left" vertical="center" wrapText="1"/>
      <protection locked="0"/>
    </xf>
    <xf numFmtId="0" fontId="24" fillId="9" borderId="0" xfId="0" applyFont="1" applyFill="1" applyAlignment="1">
      <alignment horizontal="left" vertical="center"/>
    </xf>
    <xf numFmtId="0" fontId="3" fillId="7" borderId="1" xfId="0" applyFont="1" applyFill="1" applyBorder="1" applyAlignment="1" applyProtection="1">
      <alignment horizontal="left" vertical="center" wrapText="1"/>
      <protection locked="0"/>
    </xf>
    <xf numFmtId="0" fontId="3" fillId="7" borderId="1" xfId="0" applyFont="1" applyFill="1" applyBorder="1" applyAlignment="1" applyProtection="1">
      <alignment horizontal="left" vertical="center"/>
      <protection locked="0"/>
    </xf>
    <xf numFmtId="0" fontId="1" fillId="2" borderId="1" xfId="0" applyFont="1" applyFill="1" applyBorder="1" applyAlignment="1" applyProtection="1">
      <alignment horizontal="left" vertical="center" wrapText="1"/>
    </xf>
    <xf numFmtId="0" fontId="3" fillId="2" borderId="3" xfId="0" applyFont="1" applyFill="1" applyBorder="1" applyAlignment="1">
      <alignment horizontal="left" vertical="center"/>
    </xf>
    <xf numFmtId="0" fontId="3" fillId="2" borderId="4" xfId="0" applyFont="1" applyFill="1" applyBorder="1" applyAlignment="1">
      <alignment horizontal="left" vertical="center"/>
    </xf>
    <xf numFmtId="0" fontId="3" fillId="2" borderId="2" xfId="0" applyFont="1" applyFill="1" applyBorder="1" applyAlignment="1">
      <alignment horizontal="left" vertical="center"/>
    </xf>
    <xf numFmtId="0" fontId="1" fillId="2" borderId="1" xfId="0" applyFont="1" applyFill="1" applyBorder="1" applyAlignment="1" applyProtection="1">
      <alignment horizontal="left" vertical="center" shrinkToFit="1"/>
      <protection locked="0"/>
    </xf>
    <xf numFmtId="0" fontId="1" fillId="2" borderId="3" xfId="0" applyFont="1" applyFill="1" applyBorder="1" applyAlignment="1" applyProtection="1">
      <alignment horizontal="left" vertical="center" shrinkToFit="1"/>
      <protection locked="0"/>
    </xf>
    <xf numFmtId="0" fontId="1" fillId="2" borderId="4" xfId="0" applyFont="1" applyFill="1" applyBorder="1" applyAlignment="1" applyProtection="1">
      <alignment horizontal="left" vertical="center" shrinkToFit="1"/>
      <protection locked="0"/>
    </xf>
    <xf numFmtId="0" fontId="1" fillId="2" borderId="2" xfId="0" applyFont="1" applyFill="1" applyBorder="1" applyAlignment="1" applyProtection="1">
      <alignment horizontal="left" vertical="center" shrinkToFit="1"/>
      <protection locked="0"/>
    </xf>
    <xf numFmtId="0" fontId="1" fillId="2" borderId="1" xfId="0" applyFont="1" applyFill="1" applyBorder="1" applyAlignment="1" applyProtection="1">
      <alignment horizontal="center" vertical="center" shrinkToFit="1"/>
      <protection locked="0"/>
    </xf>
  </cellXfs>
  <cellStyles count="3">
    <cellStyle name="Fail" xfId="1"/>
    <cellStyle name="Hyperlink" xfId="2" builtinId="8"/>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DDDDDD"/>
      <rgbColor rgb="00333399"/>
      <rgbColor rgb="00333333"/>
    </indexedColors>
    <mruColors>
      <color rgb="FFCCFFC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molnar-institute.com/drylab"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Intro">
    <pageSetUpPr fitToPage="1"/>
  </sheetPr>
  <dimension ref="B2:G18"/>
  <sheetViews>
    <sheetView showGridLines="0" tabSelected="1" workbookViewId="0">
      <selection activeCell="A2" sqref="A2"/>
    </sheetView>
  </sheetViews>
  <sheetFormatPr defaultColWidth="9.140625" defaultRowHeight="12.75" x14ac:dyDescent="0.2"/>
  <cols>
    <col min="1" max="1" width="3.7109375" style="19" customWidth="1"/>
    <col min="2" max="2" width="14.28515625" style="19" customWidth="1"/>
    <col min="3" max="3" width="22.85546875" style="19" customWidth="1"/>
    <col min="4" max="4" width="8.140625" style="19" customWidth="1"/>
    <col min="5" max="5" width="18.7109375" style="19" customWidth="1"/>
    <col min="6" max="6" width="22.140625" style="18" customWidth="1"/>
    <col min="7" max="7" width="9.140625" style="19"/>
    <col min="8" max="8" width="12.5703125" style="19" bestFit="1" customWidth="1"/>
    <col min="9" max="16384" width="9.140625" style="19"/>
  </cols>
  <sheetData>
    <row r="2" spans="2:6" ht="23.25" x14ac:dyDescent="0.2">
      <c r="B2" s="16" t="s">
        <v>74</v>
      </c>
      <c r="C2" s="16"/>
      <c r="D2" s="16"/>
      <c r="E2" s="17"/>
    </row>
    <row r="3" spans="2:6" ht="15.75" x14ac:dyDescent="0.2">
      <c r="B3" s="128" t="s">
        <v>492</v>
      </c>
      <c r="C3" s="128"/>
      <c r="D3" s="128"/>
      <c r="E3" s="128"/>
      <c r="F3" s="128"/>
    </row>
    <row r="4" spans="2:6" ht="13.5" customHeight="1" x14ac:dyDescent="0.2"/>
    <row r="5" spans="2:6" ht="13.5" customHeight="1" x14ac:dyDescent="0.2">
      <c r="B5" s="40" t="s">
        <v>477</v>
      </c>
    </row>
    <row r="6" spans="2:6" ht="50.45" customHeight="1" x14ac:dyDescent="0.2">
      <c r="B6" s="122"/>
      <c r="C6" s="123"/>
      <c r="D6" s="123"/>
      <c r="E6" s="123"/>
      <c r="F6" s="124"/>
    </row>
    <row r="7" spans="2:6" x14ac:dyDescent="0.2">
      <c r="C7" s="1"/>
      <c r="D7" s="1"/>
      <c r="E7" s="1"/>
    </row>
    <row r="8" spans="2:6" x14ac:dyDescent="0.2">
      <c r="B8" s="41" t="s">
        <v>478</v>
      </c>
      <c r="C8" s="1"/>
      <c r="D8" s="1"/>
      <c r="E8" s="1"/>
    </row>
    <row r="9" spans="2:6" ht="50.45" customHeight="1" x14ac:dyDescent="0.2">
      <c r="B9" s="125"/>
      <c r="C9" s="126"/>
      <c r="D9" s="126"/>
      <c r="E9" s="126"/>
      <c r="F9" s="127"/>
    </row>
    <row r="10" spans="2:6" x14ac:dyDescent="0.2">
      <c r="E10" s="20"/>
    </row>
    <row r="12" spans="2:6" x14ac:dyDescent="0.2">
      <c r="B12" s="15" t="s">
        <v>79</v>
      </c>
      <c r="C12" s="46"/>
      <c r="E12" s="15" t="s">
        <v>3</v>
      </c>
      <c r="F12" s="46"/>
    </row>
    <row r="13" spans="2:6" x14ac:dyDescent="0.2">
      <c r="B13" s="15" t="s">
        <v>78</v>
      </c>
      <c r="C13" s="46"/>
      <c r="E13" s="15" t="s">
        <v>69</v>
      </c>
      <c r="F13" s="46"/>
    </row>
    <row r="14" spans="2:6" x14ac:dyDescent="0.2">
      <c r="E14" s="15" t="s">
        <v>68</v>
      </c>
      <c r="F14" s="46"/>
    </row>
    <row r="15" spans="2:6" ht="12.75" customHeight="1" x14ac:dyDescent="0.2">
      <c r="E15" s="15" t="s">
        <v>1</v>
      </c>
      <c r="F15" s="46"/>
    </row>
    <row r="16" spans="2:6" x14ac:dyDescent="0.2">
      <c r="E16" s="15" t="s">
        <v>42</v>
      </c>
      <c r="F16" s="46"/>
    </row>
    <row r="17" spans="6:7" x14ac:dyDescent="0.2">
      <c r="F17" s="19"/>
      <c r="G17" s="12"/>
    </row>
    <row r="18" spans="6:7" x14ac:dyDescent="0.2">
      <c r="G18" s="12"/>
    </row>
  </sheetData>
  <mergeCells count="3">
    <mergeCell ref="B6:F6"/>
    <mergeCell ref="B9:F9"/>
    <mergeCell ref="B3:F3"/>
  </mergeCells>
  <phoneticPr fontId="1" type="noConversion"/>
  <dataValidations xWindow="303" yWindow="393" count="8">
    <dataValidation showInputMessage="1" sqref="E2"/>
    <dataValidation type="list" showInputMessage="1" sqref="C13">
      <formula1>hidden_Conclusion</formula1>
    </dataValidation>
    <dataValidation type="list" showInputMessage="1" sqref="F12">
      <formula1>hidden_Phase</formula1>
    </dataValidation>
    <dataValidation type="list" showInputMessage="1" sqref="F13">
      <formula1>hidden_MaterialType</formula1>
    </dataValidation>
    <dataValidation type="list" showInputMessage="1" sqref="F14">
      <formula1>hidden_TestType</formula1>
    </dataValidation>
    <dataValidation type="list" showInputMessage="1" sqref="F15">
      <formula1>hidden_Technique</formula1>
    </dataValidation>
    <dataValidation type="list" showInputMessage="1" sqref="F16">
      <formula1>hidden_Chirality</formula1>
    </dataValidation>
    <dataValidation type="list" showInputMessage="1" sqref="C12">
      <formula1>"scratch"</formula1>
    </dataValidation>
  </dataValidations>
  <pageMargins left="0.75" right="0.35" top="0.32" bottom="0.37" header="0.25" footer="0.23"/>
  <pageSetup orientation="portrait" r:id="rId1"/>
  <headerFooter alignWithMargins="0">
    <oddHeader>&amp;L&amp;A&amp;C&amp;F&amp;R&amp;D
&amp;T
EE Print
&amp;T
EE</oddHeader>
    <oddFooter>&amp;L&amp;A&amp;C&amp;F&amp;RPage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Process"/>
  <dimension ref="B2:M61"/>
  <sheetViews>
    <sheetView showGridLines="0" workbookViewId="0">
      <selection activeCell="A2" sqref="A2"/>
    </sheetView>
  </sheetViews>
  <sheetFormatPr defaultColWidth="9.140625" defaultRowHeight="12.75" x14ac:dyDescent="0.2"/>
  <cols>
    <col min="1" max="1" width="3.7109375" style="12" customWidth="1"/>
    <col min="2" max="2" width="9.7109375" style="12" customWidth="1"/>
    <col min="3" max="3" width="9.5703125" style="12" hidden="1" customWidth="1"/>
    <col min="4" max="4" width="18.7109375" style="12" customWidth="1"/>
    <col min="5" max="5" width="107.42578125" style="5" customWidth="1"/>
    <col min="6" max="6" width="15.7109375" style="5" hidden="1" customWidth="1"/>
    <col min="7" max="8" width="15.7109375" style="32" hidden="1" customWidth="1"/>
    <col min="9" max="9" width="23.85546875" style="32" hidden="1" customWidth="1"/>
    <col min="10" max="10" width="15.7109375" style="32" hidden="1" customWidth="1"/>
    <col min="11" max="13" width="2" style="12" hidden="1" customWidth="1"/>
    <col min="14" max="16384" width="9.140625" style="12"/>
  </cols>
  <sheetData>
    <row r="2" spans="2:13" ht="23.25" x14ac:dyDescent="0.2">
      <c r="B2" s="13" t="s">
        <v>65</v>
      </c>
    </row>
    <row r="3" spans="2:13" ht="13.5" thickBot="1" x14ac:dyDescent="0.25">
      <c r="B3" s="28"/>
    </row>
    <row r="4" spans="2:13" ht="13.5" thickBot="1" x14ac:dyDescent="0.25">
      <c r="B4" s="80" t="s">
        <v>64</v>
      </c>
      <c r="E4" s="12"/>
      <c r="F4" s="12"/>
    </row>
    <row r="5" spans="2:13" ht="13.5" thickTop="1" x14ac:dyDescent="0.2"/>
    <row r="6" spans="2:13" ht="26.25" thickBot="1" x14ac:dyDescent="0.25">
      <c r="B6" s="28"/>
      <c r="C6" s="37" t="s">
        <v>267</v>
      </c>
      <c r="D6" s="38" t="s">
        <v>222</v>
      </c>
      <c r="E6" s="39" t="s">
        <v>66</v>
      </c>
      <c r="F6" s="38" t="s">
        <v>262</v>
      </c>
      <c r="G6" s="85" t="s">
        <v>0</v>
      </c>
      <c r="H6" s="86" t="s">
        <v>76</v>
      </c>
      <c r="I6" s="14" t="s">
        <v>90</v>
      </c>
      <c r="J6" s="86" t="s">
        <v>89</v>
      </c>
    </row>
    <row r="7" spans="2:13" ht="39" customHeight="1" thickBot="1" x14ac:dyDescent="0.25">
      <c r="B7" s="82" t="str">
        <f>IF(I7="","",I7)</f>
        <v/>
      </c>
      <c r="C7" s="81" t="str">
        <f>CONCATENATE(K7,L7,M7)</f>
        <v>000</v>
      </c>
      <c r="D7" s="55"/>
      <c r="E7" s="31"/>
      <c r="F7" s="30" t="str">
        <f t="shared" ref="F7:F14" si="0">IF(ISERROR(VLOOKUP(D7,hidden_NoteLookupTable,2,FALSE)),"error",D7)</f>
        <v>error</v>
      </c>
      <c r="G7" s="64"/>
      <c r="H7" s="33"/>
      <c r="I7" s="65" t="str">
        <f t="shared" ref="I7:I38" si="1">IF(C7="000","",VLOOKUP(C7,hidden_ButtonText,2,FALSE))</f>
        <v/>
      </c>
      <c r="J7" s="33"/>
      <c r="K7" s="30">
        <f>IF(F7="error",0,1)</f>
        <v>0</v>
      </c>
      <c r="L7" s="30">
        <f>IF(G7="",0,1)</f>
        <v>0</v>
      </c>
      <c r="M7" s="30">
        <f>IF(H7="",0,1)</f>
        <v>0</v>
      </c>
    </row>
    <row r="8" spans="2:13" ht="39" hidden="1" customHeight="1" thickTop="1" thickBot="1" x14ac:dyDescent="0.25">
      <c r="B8" s="82" t="str">
        <f t="shared" ref="B8:B57" si="2">IF(I8="","",I8)</f>
        <v>Attachment</v>
      </c>
      <c r="C8" s="81" t="str">
        <f t="shared" ref="C8:C57" si="3">CONCATENATE(K8,L8,M8)</f>
        <v>010</v>
      </c>
      <c r="D8" s="55"/>
      <c r="E8" s="31"/>
      <c r="F8" s="30" t="str">
        <f t="shared" si="0"/>
        <v>error</v>
      </c>
      <c r="G8" s="64" t="s">
        <v>476</v>
      </c>
      <c r="H8" s="33"/>
      <c r="I8" s="65" t="str">
        <f t="shared" si="1"/>
        <v>Attachment</v>
      </c>
      <c r="J8" s="33"/>
      <c r="K8" s="30">
        <f t="shared" ref="K8:K14" si="4">IF(F8="error",0,1)</f>
        <v>0</v>
      </c>
      <c r="L8" s="30">
        <f t="shared" ref="L8:L14" si="5">IF(G8="",0,1)</f>
        <v>1</v>
      </c>
      <c r="M8" s="30">
        <f t="shared" ref="M8:M14" si="6">IF(H8="",0,1)</f>
        <v>0</v>
      </c>
    </row>
    <row r="9" spans="2:13" ht="39" hidden="1" customHeight="1" thickTop="1" thickBot="1" x14ac:dyDescent="0.25">
      <c r="B9" s="82" t="str">
        <f t="shared" si="2"/>
        <v/>
      </c>
      <c r="C9" s="81" t="str">
        <f t="shared" si="3"/>
        <v>000</v>
      </c>
      <c r="D9" s="55"/>
      <c r="E9" s="31"/>
      <c r="F9" s="30" t="str">
        <f t="shared" si="0"/>
        <v>error</v>
      </c>
      <c r="G9" s="64"/>
      <c r="H9" s="33"/>
      <c r="I9" s="65" t="str">
        <f t="shared" si="1"/>
        <v/>
      </c>
      <c r="J9" s="33"/>
      <c r="K9" s="30">
        <f t="shared" si="4"/>
        <v>0</v>
      </c>
      <c r="L9" s="30">
        <f t="shared" si="5"/>
        <v>0</v>
      </c>
      <c r="M9" s="30">
        <f t="shared" si="6"/>
        <v>0</v>
      </c>
    </row>
    <row r="10" spans="2:13" ht="39" hidden="1" customHeight="1" thickTop="1" thickBot="1" x14ac:dyDescent="0.25">
      <c r="B10" s="82" t="str">
        <f t="shared" si="2"/>
        <v/>
      </c>
      <c r="C10" s="81" t="str">
        <f t="shared" si="3"/>
        <v>000</v>
      </c>
      <c r="D10" s="55"/>
      <c r="E10" s="31"/>
      <c r="F10" s="30" t="str">
        <f t="shared" si="0"/>
        <v>error</v>
      </c>
      <c r="G10" s="64"/>
      <c r="H10" s="33"/>
      <c r="I10" s="65" t="str">
        <f t="shared" si="1"/>
        <v/>
      </c>
      <c r="J10" s="33"/>
      <c r="K10" s="30">
        <f t="shared" si="4"/>
        <v>0</v>
      </c>
      <c r="L10" s="30">
        <f t="shared" si="5"/>
        <v>0</v>
      </c>
      <c r="M10" s="30">
        <f t="shared" si="6"/>
        <v>0</v>
      </c>
    </row>
    <row r="11" spans="2:13" ht="39" hidden="1" customHeight="1" thickTop="1" thickBot="1" x14ac:dyDescent="0.25">
      <c r="B11" s="82" t="str">
        <f t="shared" si="2"/>
        <v/>
      </c>
      <c r="C11" s="81" t="str">
        <f t="shared" si="3"/>
        <v>000</v>
      </c>
      <c r="D11" s="55"/>
      <c r="E11" s="31"/>
      <c r="F11" s="30" t="str">
        <f t="shared" si="0"/>
        <v>error</v>
      </c>
      <c r="G11" s="64"/>
      <c r="H11" s="33"/>
      <c r="I11" s="65" t="str">
        <f t="shared" si="1"/>
        <v/>
      </c>
      <c r="J11" s="33"/>
      <c r="K11" s="30">
        <f t="shared" si="4"/>
        <v>0</v>
      </c>
      <c r="L11" s="30">
        <f t="shared" si="5"/>
        <v>0</v>
      </c>
      <c r="M11" s="30">
        <f t="shared" si="6"/>
        <v>0</v>
      </c>
    </row>
    <row r="12" spans="2:13" ht="39" hidden="1" customHeight="1" thickTop="1" thickBot="1" x14ac:dyDescent="0.25">
      <c r="B12" s="82" t="str">
        <f t="shared" si="2"/>
        <v/>
      </c>
      <c r="C12" s="81" t="str">
        <f t="shared" si="3"/>
        <v>000</v>
      </c>
      <c r="D12" s="55"/>
      <c r="E12" s="31"/>
      <c r="F12" s="30" t="str">
        <f t="shared" si="0"/>
        <v>error</v>
      </c>
      <c r="G12" s="64"/>
      <c r="H12" s="33"/>
      <c r="I12" s="65" t="str">
        <f t="shared" si="1"/>
        <v/>
      </c>
      <c r="J12" s="33"/>
      <c r="K12" s="30">
        <f t="shared" si="4"/>
        <v>0</v>
      </c>
      <c r="L12" s="30">
        <f t="shared" si="5"/>
        <v>0</v>
      </c>
      <c r="M12" s="30">
        <f t="shared" si="6"/>
        <v>0</v>
      </c>
    </row>
    <row r="13" spans="2:13" ht="39" hidden="1" customHeight="1" thickTop="1" thickBot="1" x14ac:dyDescent="0.25">
      <c r="B13" s="82" t="str">
        <f t="shared" si="2"/>
        <v/>
      </c>
      <c r="C13" s="81" t="str">
        <f t="shared" si="3"/>
        <v>000</v>
      </c>
      <c r="D13" s="55"/>
      <c r="E13" s="31"/>
      <c r="F13" s="30" t="str">
        <f t="shared" si="0"/>
        <v>error</v>
      </c>
      <c r="G13" s="64"/>
      <c r="H13" s="33"/>
      <c r="I13" s="65" t="str">
        <f t="shared" si="1"/>
        <v/>
      </c>
      <c r="J13" s="33"/>
      <c r="K13" s="30">
        <f t="shared" si="4"/>
        <v>0</v>
      </c>
      <c r="L13" s="30">
        <f t="shared" si="5"/>
        <v>0</v>
      </c>
      <c r="M13" s="30">
        <f t="shared" si="6"/>
        <v>0</v>
      </c>
    </row>
    <row r="14" spans="2:13" ht="39" hidden="1" customHeight="1" thickTop="1" thickBot="1" x14ac:dyDescent="0.25">
      <c r="B14" s="82" t="str">
        <f t="shared" si="2"/>
        <v/>
      </c>
      <c r="C14" s="81" t="str">
        <f t="shared" si="3"/>
        <v>000</v>
      </c>
      <c r="D14" s="55"/>
      <c r="E14" s="31"/>
      <c r="F14" s="30" t="str">
        <f t="shared" si="0"/>
        <v>error</v>
      </c>
      <c r="G14" s="64"/>
      <c r="H14" s="33"/>
      <c r="I14" s="65" t="str">
        <f t="shared" si="1"/>
        <v/>
      </c>
      <c r="J14" s="33"/>
      <c r="K14" s="30">
        <f t="shared" si="4"/>
        <v>0</v>
      </c>
      <c r="L14" s="30">
        <f t="shared" si="5"/>
        <v>0</v>
      </c>
      <c r="M14" s="30">
        <f t="shared" si="6"/>
        <v>0</v>
      </c>
    </row>
    <row r="15" spans="2:13" ht="39" hidden="1" customHeight="1" thickTop="1" thickBot="1" x14ac:dyDescent="0.25">
      <c r="B15" s="82" t="str">
        <f t="shared" si="2"/>
        <v/>
      </c>
      <c r="C15" s="81" t="str">
        <f t="shared" si="3"/>
        <v>000</v>
      </c>
      <c r="D15" s="55"/>
      <c r="E15" s="31"/>
      <c r="F15" s="30" t="str">
        <f t="shared" ref="F15:F57" si="7">IF(ISERROR(VLOOKUP(D15,hidden_NoteLookupTable,2,FALSE)),"error",D15)</f>
        <v>error</v>
      </c>
      <c r="G15" s="64"/>
      <c r="H15" s="33"/>
      <c r="I15" s="65" t="str">
        <f t="shared" si="1"/>
        <v/>
      </c>
      <c r="J15" s="33"/>
      <c r="K15" s="30">
        <f t="shared" ref="K15:K57" si="8">IF(F15="error",0,1)</f>
        <v>0</v>
      </c>
      <c r="L15" s="30">
        <f t="shared" ref="L15:L57" si="9">IF(G15="",0,1)</f>
        <v>0</v>
      </c>
      <c r="M15" s="30">
        <f t="shared" ref="M15:M57" si="10">IF(H15="",0,1)</f>
        <v>0</v>
      </c>
    </row>
    <row r="16" spans="2:13" ht="39" hidden="1" customHeight="1" thickTop="1" thickBot="1" x14ac:dyDescent="0.25">
      <c r="B16" s="82" t="str">
        <f t="shared" si="2"/>
        <v/>
      </c>
      <c r="C16" s="81" t="str">
        <f t="shared" si="3"/>
        <v>000</v>
      </c>
      <c r="D16" s="55"/>
      <c r="E16" s="31"/>
      <c r="F16" s="30" t="str">
        <f t="shared" si="7"/>
        <v>error</v>
      </c>
      <c r="G16" s="64"/>
      <c r="H16" s="33"/>
      <c r="I16" s="65" t="str">
        <f t="shared" si="1"/>
        <v/>
      </c>
      <c r="J16" s="33"/>
      <c r="K16" s="30">
        <f t="shared" si="8"/>
        <v>0</v>
      </c>
      <c r="L16" s="30">
        <f t="shared" si="9"/>
        <v>0</v>
      </c>
      <c r="M16" s="30">
        <f t="shared" si="10"/>
        <v>0</v>
      </c>
    </row>
    <row r="17" spans="2:13" ht="39" hidden="1" customHeight="1" thickTop="1" thickBot="1" x14ac:dyDescent="0.25">
      <c r="B17" s="82" t="str">
        <f t="shared" si="2"/>
        <v/>
      </c>
      <c r="C17" s="81" t="str">
        <f t="shared" si="3"/>
        <v>000</v>
      </c>
      <c r="D17" s="55"/>
      <c r="E17" s="31"/>
      <c r="F17" s="30" t="str">
        <f t="shared" si="7"/>
        <v>error</v>
      </c>
      <c r="G17" s="64"/>
      <c r="H17" s="33"/>
      <c r="I17" s="65" t="str">
        <f t="shared" si="1"/>
        <v/>
      </c>
      <c r="J17" s="33"/>
      <c r="K17" s="30">
        <f t="shared" si="8"/>
        <v>0</v>
      </c>
      <c r="L17" s="30">
        <f t="shared" si="9"/>
        <v>0</v>
      </c>
      <c r="M17" s="30">
        <f t="shared" si="10"/>
        <v>0</v>
      </c>
    </row>
    <row r="18" spans="2:13" ht="39" hidden="1" customHeight="1" thickTop="1" thickBot="1" x14ac:dyDescent="0.25">
      <c r="B18" s="82" t="str">
        <f t="shared" si="2"/>
        <v/>
      </c>
      <c r="C18" s="81" t="str">
        <f t="shared" si="3"/>
        <v>000</v>
      </c>
      <c r="D18" s="55"/>
      <c r="E18" s="31"/>
      <c r="F18" s="30" t="str">
        <f t="shared" si="7"/>
        <v>error</v>
      </c>
      <c r="G18" s="64"/>
      <c r="H18" s="33"/>
      <c r="I18" s="65" t="str">
        <f t="shared" si="1"/>
        <v/>
      </c>
      <c r="J18" s="33"/>
      <c r="K18" s="30">
        <f t="shared" si="8"/>
        <v>0</v>
      </c>
      <c r="L18" s="30">
        <f t="shared" si="9"/>
        <v>0</v>
      </c>
      <c r="M18" s="30">
        <f t="shared" si="10"/>
        <v>0</v>
      </c>
    </row>
    <row r="19" spans="2:13" ht="39" hidden="1" customHeight="1" thickTop="1" thickBot="1" x14ac:dyDescent="0.25">
      <c r="B19" s="82" t="str">
        <f t="shared" si="2"/>
        <v/>
      </c>
      <c r="C19" s="81" t="str">
        <f t="shared" si="3"/>
        <v>000</v>
      </c>
      <c r="D19" s="55"/>
      <c r="E19" s="31"/>
      <c r="F19" s="30" t="str">
        <f t="shared" si="7"/>
        <v>error</v>
      </c>
      <c r="G19" s="64"/>
      <c r="H19" s="33"/>
      <c r="I19" s="65" t="str">
        <f t="shared" si="1"/>
        <v/>
      </c>
      <c r="J19" s="33"/>
      <c r="K19" s="30">
        <f t="shared" si="8"/>
        <v>0</v>
      </c>
      <c r="L19" s="30">
        <f t="shared" si="9"/>
        <v>0</v>
      </c>
      <c r="M19" s="30">
        <f t="shared" si="10"/>
        <v>0</v>
      </c>
    </row>
    <row r="20" spans="2:13" ht="39" hidden="1" customHeight="1" thickTop="1" thickBot="1" x14ac:dyDescent="0.25">
      <c r="B20" s="82" t="str">
        <f t="shared" si="2"/>
        <v/>
      </c>
      <c r="C20" s="81" t="str">
        <f t="shared" si="3"/>
        <v>000</v>
      </c>
      <c r="D20" s="55"/>
      <c r="E20" s="31"/>
      <c r="F20" s="30" t="str">
        <f t="shared" si="7"/>
        <v>error</v>
      </c>
      <c r="G20" s="64"/>
      <c r="H20" s="33"/>
      <c r="I20" s="65" t="str">
        <f t="shared" si="1"/>
        <v/>
      </c>
      <c r="J20" s="33"/>
      <c r="K20" s="30">
        <f t="shared" si="8"/>
        <v>0</v>
      </c>
      <c r="L20" s="30">
        <f t="shared" si="9"/>
        <v>0</v>
      </c>
      <c r="M20" s="30">
        <f t="shared" si="10"/>
        <v>0</v>
      </c>
    </row>
    <row r="21" spans="2:13" ht="39" hidden="1" customHeight="1" thickTop="1" thickBot="1" x14ac:dyDescent="0.25">
      <c r="B21" s="82" t="str">
        <f t="shared" si="2"/>
        <v/>
      </c>
      <c r="C21" s="81" t="str">
        <f t="shared" si="3"/>
        <v>000</v>
      </c>
      <c r="D21" s="55"/>
      <c r="E21" s="31"/>
      <c r="F21" s="30" t="str">
        <f t="shared" si="7"/>
        <v>error</v>
      </c>
      <c r="G21" s="64"/>
      <c r="H21" s="33"/>
      <c r="I21" s="65" t="str">
        <f t="shared" si="1"/>
        <v/>
      </c>
      <c r="J21" s="33"/>
      <c r="K21" s="30">
        <f t="shared" si="8"/>
        <v>0</v>
      </c>
      <c r="L21" s="30">
        <f t="shared" si="9"/>
        <v>0</v>
      </c>
      <c r="M21" s="30">
        <f t="shared" si="10"/>
        <v>0</v>
      </c>
    </row>
    <row r="22" spans="2:13" ht="39" hidden="1" customHeight="1" thickTop="1" thickBot="1" x14ac:dyDescent="0.25">
      <c r="B22" s="82" t="str">
        <f t="shared" si="2"/>
        <v/>
      </c>
      <c r="C22" s="81" t="str">
        <f t="shared" si="3"/>
        <v>000</v>
      </c>
      <c r="D22" s="55"/>
      <c r="E22" s="31"/>
      <c r="F22" s="30" t="str">
        <f t="shared" si="7"/>
        <v>error</v>
      </c>
      <c r="G22" s="64"/>
      <c r="H22" s="33"/>
      <c r="I22" s="65" t="str">
        <f t="shared" si="1"/>
        <v/>
      </c>
      <c r="J22" s="33"/>
      <c r="K22" s="30">
        <f t="shared" si="8"/>
        <v>0</v>
      </c>
      <c r="L22" s="30">
        <f t="shared" si="9"/>
        <v>0</v>
      </c>
      <c r="M22" s="30">
        <f t="shared" si="10"/>
        <v>0</v>
      </c>
    </row>
    <row r="23" spans="2:13" ht="39" hidden="1" customHeight="1" thickTop="1" thickBot="1" x14ac:dyDescent="0.25">
      <c r="B23" s="82" t="str">
        <f t="shared" si="2"/>
        <v/>
      </c>
      <c r="C23" s="81" t="str">
        <f t="shared" si="3"/>
        <v>000</v>
      </c>
      <c r="D23" s="55"/>
      <c r="E23" s="31"/>
      <c r="F23" s="30" t="str">
        <f t="shared" si="7"/>
        <v>error</v>
      </c>
      <c r="G23" s="64"/>
      <c r="H23" s="33"/>
      <c r="I23" s="65" t="str">
        <f t="shared" si="1"/>
        <v/>
      </c>
      <c r="J23" s="33"/>
      <c r="K23" s="30">
        <f t="shared" si="8"/>
        <v>0</v>
      </c>
      <c r="L23" s="30">
        <f t="shared" si="9"/>
        <v>0</v>
      </c>
      <c r="M23" s="30">
        <f t="shared" si="10"/>
        <v>0</v>
      </c>
    </row>
    <row r="24" spans="2:13" ht="39" hidden="1" customHeight="1" thickTop="1" thickBot="1" x14ac:dyDescent="0.25">
      <c r="B24" s="82" t="str">
        <f t="shared" si="2"/>
        <v/>
      </c>
      <c r="C24" s="81" t="str">
        <f t="shared" si="3"/>
        <v>000</v>
      </c>
      <c r="D24" s="55"/>
      <c r="E24" s="31"/>
      <c r="F24" s="30" t="str">
        <f t="shared" si="7"/>
        <v>error</v>
      </c>
      <c r="G24" s="64"/>
      <c r="H24" s="33"/>
      <c r="I24" s="65" t="str">
        <f t="shared" si="1"/>
        <v/>
      </c>
      <c r="J24" s="33"/>
      <c r="K24" s="30">
        <f t="shared" si="8"/>
        <v>0</v>
      </c>
      <c r="L24" s="30">
        <f t="shared" si="9"/>
        <v>0</v>
      </c>
      <c r="M24" s="30">
        <f t="shared" si="10"/>
        <v>0</v>
      </c>
    </row>
    <row r="25" spans="2:13" ht="39" hidden="1" customHeight="1" thickTop="1" thickBot="1" x14ac:dyDescent="0.25">
      <c r="B25" s="82" t="str">
        <f t="shared" si="2"/>
        <v/>
      </c>
      <c r="C25" s="81" t="str">
        <f t="shared" si="3"/>
        <v>000</v>
      </c>
      <c r="D25" s="55"/>
      <c r="E25" s="31"/>
      <c r="F25" s="30" t="str">
        <f t="shared" si="7"/>
        <v>error</v>
      </c>
      <c r="G25" s="64"/>
      <c r="H25" s="33"/>
      <c r="I25" s="65" t="str">
        <f t="shared" si="1"/>
        <v/>
      </c>
      <c r="J25" s="33"/>
      <c r="K25" s="30">
        <f t="shared" si="8"/>
        <v>0</v>
      </c>
      <c r="L25" s="30">
        <f t="shared" si="9"/>
        <v>0</v>
      </c>
      <c r="M25" s="30">
        <f t="shared" si="10"/>
        <v>0</v>
      </c>
    </row>
    <row r="26" spans="2:13" ht="39" hidden="1" customHeight="1" thickTop="1" thickBot="1" x14ac:dyDescent="0.25">
      <c r="B26" s="82" t="str">
        <f t="shared" si="2"/>
        <v/>
      </c>
      <c r="C26" s="81" t="str">
        <f t="shared" si="3"/>
        <v>000</v>
      </c>
      <c r="D26" s="55"/>
      <c r="E26" s="31"/>
      <c r="F26" s="30" t="str">
        <f t="shared" si="7"/>
        <v>error</v>
      </c>
      <c r="G26" s="64"/>
      <c r="H26" s="33"/>
      <c r="I26" s="65" t="str">
        <f t="shared" si="1"/>
        <v/>
      </c>
      <c r="J26" s="33"/>
      <c r="K26" s="30">
        <f t="shared" si="8"/>
        <v>0</v>
      </c>
      <c r="L26" s="30">
        <f t="shared" si="9"/>
        <v>0</v>
      </c>
      <c r="M26" s="30">
        <f t="shared" si="10"/>
        <v>0</v>
      </c>
    </row>
    <row r="27" spans="2:13" ht="39" hidden="1" customHeight="1" thickTop="1" thickBot="1" x14ac:dyDescent="0.25">
      <c r="B27" s="82" t="str">
        <f t="shared" si="2"/>
        <v/>
      </c>
      <c r="C27" s="81" t="str">
        <f t="shared" si="3"/>
        <v>000</v>
      </c>
      <c r="D27" s="55"/>
      <c r="E27" s="31"/>
      <c r="F27" s="30" t="str">
        <f t="shared" si="7"/>
        <v>error</v>
      </c>
      <c r="G27" s="64"/>
      <c r="H27" s="33"/>
      <c r="I27" s="65" t="str">
        <f t="shared" si="1"/>
        <v/>
      </c>
      <c r="J27" s="33"/>
      <c r="K27" s="30">
        <f t="shared" si="8"/>
        <v>0</v>
      </c>
      <c r="L27" s="30">
        <f t="shared" si="9"/>
        <v>0</v>
      </c>
      <c r="M27" s="30">
        <f t="shared" si="10"/>
        <v>0</v>
      </c>
    </row>
    <row r="28" spans="2:13" ht="39" hidden="1" customHeight="1" thickTop="1" thickBot="1" x14ac:dyDescent="0.25">
      <c r="B28" s="82" t="str">
        <f t="shared" si="2"/>
        <v/>
      </c>
      <c r="C28" s="81" t="str">
        <f t="shared" si="3"/>
        <v>000</v>
      </c>
      <c r="D28" s="55"/>
      <c r="E28" s="31"/>
      <c r="F28" s="30" t="str">
        <f t="shared" si="7"/>
        <v>error</v>
      </c>
      <c r="G28" s="64"/>
      <c r="H28" s="33"/>
      <c r="I28" s="65" t="str">
        <f t="shared" si="1"/>
        <v/>
      </c>
      <c r="J28" s="33"/>
      <c r="K28" s="30">
        <f t="shared" si="8"/>
        <v>0</v>
      </c>
      <c r="L28" s="30">
        <f t="shared" si="9"/>
        <v>0</v>
      </c>
      <c r="M28" s="30">
        <f t="shared" si="10"/>
        <v>0</v>
      </c>
    </row>
    <row r="29" spans="2:13" ht="39" hidden="1" customHeight="1" thickTop="1" thickBot="1" x14ac:dyDescent="0.25">
      <c r="B29" s="82" t="str">
        <f t="shared" si="2"/>
        <v/>
      </c>
      <c r="C29" s="81" t="str">
        <f t="shared" si="3"/>
        <v>000</v>
      </c>
      <c r="D29" s="55"/>
      <c r="E29" s="31"/>
      <c r="F29" s="30" t="str">
        <f t="shared" si="7"/>
        <v>error</v>
      </c>
      <c r="G29" s="64"/>
      <c r="H29" s="33"/>
      <c r="I29" s="65" t="str">
        <f t="shared" si="1"/>
        <v/>
      </c>
      <c r="J29" s="33"/>
      <c r="K29" s="30">
        <f t="shared" si="8"/>
        <v>0</v>
      </c>
      <c r="L29" s="30">
        <f t="shared" si="9"/>
        <v>0</v>
      </c>
      <c r="M29" s="30">
        <f t="shared" si="10"/>
        <v>0</v>
      </c>
    </row>
    <row r="30" spans="2:13" ht="39" hidden="1" customHeight="1" thickTop="1" thickBot="1" x14ac:dyDescent="0.25">
      <c r="B30" s="82" t="str">
        <f t="shared" si="2"/>
        <v/>
      </c>
      <c r="C30" s="81" t="str">
        <f t="shared" si="3"/>
        <v>000</v>
      </c>
      <c r="D30" s="55"/>
      <c r="E30" s="31"/>
      <c r="F30" s="30" t="str">
        <f t="shared" si="7"/>
        <v>error</v>
      </c>
      <c r="G30" s="64"/>
      <c r="H30" s="33"/>
      <c r="I30" s="65" t="str">
        <f t="shared" si="1"/>
        <v/>
      </c>
      <c r="J30" s="33"/>
      <c r="K30" s="30">
        <f t="shared" si="8"/>
        <v>0</v>
      </c>
      <c r="L30" s="30">
        <f t="shared" si="9"/>
        <v>0</v>
      </c>
      <c r="M30" s="30">
        <f t="shared" si="10"/>
        <v>0</v>
      </c>
    </row>
    <row r="31" spans="2:13" ht="39" hidden="1" customHeight="1" thickTop="1" thickBot="1" x14ac:dyDescent="0.25">
      <c r="B31" s="82" t="str">
        <f t="shared" si="2"/>
        <v/>
      </c>
      <c r="C31" s="81" t="str">
        <f t="shared" si="3"/>
        <v>000</v>
      </c>
      <c r="D31" s="55"/>
      <c r="E31" s="31"/>
      <c r="F31" s="30" t="str">
        <f t="shared" si="7"/>
        <v>error</v>
      </c>
      <c r="G31" s="64"/>
      <c r="H31" s="33"/>
      <c r="I31" s="65" t="str">
        <f t="shared" si="1"/>
        <v/>
      </c>
      <c r="J31" s="33"/>
      <c r="K31" s="30">
        <f t="shared" si="8"/>
        <v>0</v>
      </c>
      <c r="L31" s="30">
        <f t="shared" si="9"/>
        <v>0</v>
      </c>
      <c r="M31" s="30">
        <f t="shared" si="10"/>
        <v>0</v>
      </c>
    </row>
    <row r="32" spans="2:13" ht="39" hidden="1" customHeight="1" thickTop="1" thickBot="1" x14ac:dyDescent="0.25">
      <c r="B32" s="82" t="str">
        <f t="shared" si="2"/>
        <v/>
      </c>
      <c r="C32" s="81" t="str">
        <f t="shared" si="3"/>
        <v>000</v>
      </c>
      <c r="D32" s="55"/>
      <c r="E32" s="31"/>
      <c r="F32" s="30" t="str">
        <f t="shared" si="7"/>
        <v>error</v>
      </c>
      <c r="G32" s="64"/>
      <c r="H32" s="33"/>
      <c r="I32" s="65" t="str">
        <f t="shared" si="1"/>
        <v/>
      </c>
      <c r="J32" s="33"/>
      <c r="K32" s="30">
        <f t="shared" si="8"/>
        <v>0</v>
      </c>
      <c r="L32" s="30">
        <f t="shared" si="9"/>
        <v>0</v>
      </c>
      <c r="M32" s="30">
        <f t="shared" si="10"/>
        <v>0</v>
      </c>
    </row>
    <row r="33" spans="2:13" ht="39" hidden="1" customHeight="1" thickTop="1" thickBot="1" x14ac:dyDescent="0.25">
      <c r="B33" s="82" t="str">
        <f t="shared" si="2"/>
        <v/>
      </c>
      <c r="C33" s="81" t="str">
        <f t="shared" si="3"/>
        <v>000</v>
      </c>
      <c r="D33" s="55"/>
      <c r="E33" s="31"/>
      <c r="F33" s="30" t="str">
        <f t="shared" si="7"/>
        <v>error</v>
      </c>
      <c r="G33" s="64"/>
      <c r="H33" s="33"/>
      <c r="I33" s="65" t="str">
        <f t="shared" si="1"/>
        <v/>
      </c>
      <c r="J33" s="33"/>
      <c r="K33" s="30">
        <f t="shared" si="8"/>
        <v>0</v>
      </c>
      <c r="L33" s="30">
        <f t="shared" si="9"/>
        <v>0</v>
      </c>
      <c r="M33" s="30">
        <f t="shared" si="10"/>
        <v>0</v>
      </c>
    </row>
    <row r="34" spans="2:13" ht="39" hidden="1" customHeight="1" thickTop="1" thickBot="1" x14ac:dyDescent="0.25">
      <c r="B34" s="82" t="str">
        <f t="shared" si="2"/>
        <v/>
      </c>
      <c r="C34" s="81" t="str">
        <f t="shared" si="3"/>
        <v>000</v>
      </c>
      <c r="D34" s="55"/>
      <c r="E34" s="31"/>
      <c r="F34" s="30" t="str">
        <f t="shared" si="7"/>
        <v>error</v>
      </c>
      <c r="G34" s="64"/>
      <c r="H34" s="33"/>
      <c r="I34" s="65" t="str">
        <f t="shared" si="1"/>
        <v/>
      </c>
      <c r="J34" s="33"/>
      <c r="K34" s="30">
        <f t="shared" si="8"/>
        <v>0</v>
      </c>
      <c r="L34" s="30">
        <f t="shared" si="9"/>
        <v>0</v>
      </c>
      <c r="M34" s="30">
        <f t="shared" si="10"/>
        <v>0</v>
      </c>
    </row>
    <row r="35" spans="2:13" ht="39" hidden="1" customHeight="1" thickTop="1" thickBot="1" x14ac:dyDescent="0.25">
      <c r="B35" s="82" t="str">
        <f t="shared" si="2"/>
        <v/>
      </c>
      <c r="C35" s="81" t="str">
        <f t="shared" si="3"/>
        <v>000</v>
      </c>
      <c r="D35" s="55"/>
      <c r="E35" s="31"/>
      <c r="F35" s="30" t="str">
        <f t="shared" si="7"/>
        <v>error</v>
      </c>
      <c r="G35" s="64"/>
      <c r="H35" s="33"/>
      <c r="I35" s="65" t="str">
        <f t="shared" si="1"/>
        <v/>
      </c>
      <c r="J35" s="33"/>
      <c r="K35" s="30">
        <f t="shared" si="8"/>
        <v>0</v>
      </c>
      <c r="L35" s="30">
        <f t="shared" si="9"/>
        <v>0</v>
      </c>
      <c r="M35" s="30">
        <f t="shared" si="10"/>
        <v>0</v>
      </c>
    </row>
    <row r="36" spans="2:13" ht="39" hidden="1" customHeight="1" thickTop="1" thickBot="1" x14ac:dyDescent="0.25">
      <c r="B36" s="82" t="str">
        <f t="shared" si="2"/>
        <v/>
      </c>
      <c r="C36" s="81" t="str">
        <f t="shared" si="3"/>
        <v>000</v>
      </c>
      <c r="D36" s="55"/>
      <c r="E36" s="31"/>
      <c r="F36" s="30" t="str">
        <f t="shared" si="7"/>
        <v>error</v>
      </c>
      <c r="G36" s="64"/>
      <c r="H36" s="33"/>
      <c r="I36" s="65" t="str">
        <f t="shared" si="1"/>
        <v/>
      </c>
      <c r="J36" s="33"/>
      <c r="K36" s="30">
        <f t="shared" si="8"/>
        <v>0</v>
      </c>
      <c r="L36" s="30">
        <f t="shared" si="9"/>
        <v>0</v>
      </c>
      <c r="M36" s="30">
        <f t="shared" si="10"/>
        <v>0</v>
      </c>
    </row>
    <row r="37" spans="2:13" ht="39" hidden="1" customHeight="1" thickTop="1" thickBot="1" x14ac:dyDescent="0.25">
      <c r="B37" s="82" t="str">
        <f t="shared" si="2"/>
        <v/>
      </c>
      <c r="C37" s="81" t="str">
        <f t="shared" si="3"/>
        <v>000</v>
      </c>
      <c r="D37" s="55"/>
      <c r="E37" s="31"/>
      <c r="F37" s="30" t="str">
        <f t="shared" si="7"/>
        <v>error</v>
      </c>
      <c r="G37" s="64"/>
      <c r="H37" s="33"/>
      <c r="I37" s="65" t="str">
        <f t="shared" si="1"/>
        <v/>
      </c>
      <c r="J37" s="33"/>
      <c r="K37" s="30">
        <f t="shared" si="8"/>
        <v>0</v>
      </c>
      <c r="L37" s="30">
        <f t="shared" si="9"/>
        <v>0</v>
      </c>
      <c r="M37" s="30">
        <f t="shared" si="10"/>
        <v>0</v>
      </c>
    </row>
    <row r="38" spans="2:13" ht="39" hidden="1" customHeight="1" thickTop="1" thickBot="1" x14ac:dyDescent="0.25">
      <c r="B38" s="82" t="str">
        <f t="shared" si="2"/>
        <v/>
      </c>
      <c r="C38" s="81" t="str">
        <f t="shared" si="3"/>
        <v>000</v>
      </c>
      <c r="D38" s="55"/>
      <c r="E38" s="31"/>
      <c r="F38" s="30" t="str">
        <f t="shared" si="7"/>
        <v>error</v>
      </c>
      <c r="G38" s="64"/>
      <c r="H38" s="33"/>
      <c r="I38" s="65" t="str">
        <f t="shared" si="1"/>
        <v/>
      </c>
      <c r="J38" s="33"/>
      <c r="K38" s="30">
        <f t="shared" si="8"/>
        <v>0</v>
      </c>
      <c r="L38" s="30">
        <f t="shared" si="9"/>
        <v>0</v>
      </c>
      <c r="M38" s="30">
        <f t="shared" si="10"/>
        <v>0</v>
      </c>
    </row>
    <row r="39" spans="2:13" ht="39" hidden="1" customHeight="1" thickTop="1" thickBot="1" x14ac:dyDescent="0.25">
      <c r="B39" s="82" t="str">
        <f t="shared" si="2"/>
        <v/>
      </c>
      <c r="C39" s="81" t="str">
        <f t="shared" si="3"/>
        <v>000</v>
      </c>
      <c r="D39" s="55"/>
      <c r="E39" s="31"/>
      <c r="F39" s="30" t="str">
        <f t="shared" si="7"/>
        <v>error</v>
      </c>
      <c r="G39" s="64"/>
      <c r="H39" s="33"/>
      <c r="I39" s="65" t="str">
        <f t="shared" ref="I39:I57" si="11">IF(C39="000","",VLOOKUP(C39,hidden_ButtonText,2,FALSE))</f>
        <v/>
      </c>
      <c r="J39" s="33"/>
      <c r="K39" s="30">
        <f t="shared" si="8"/>
        <v>0</v>
      </c>
      <c r="L39" s="30">
        <f t="shared" si="9"/>
        <v>0</v>
      </c>
      <c r="M39" s="30">
        <f t="shared" si="10"/>
        <v>0</v>
      </c>
    </row>
    <row r="40" spans="2:13" ht="39" hidden="1" customHeight="1" thickTop="1" thickBot="1" x14ac:dyDescent="0.25">
      <c r="B40" s="82" t="str">
        <f t="shared" si="2"/>
        <v/>
      </c>
      <c r="C40" s="81" t="str">
        <f t="shared" si="3"/>
        <v>000</v>
      </c>
      <c r="D40" s="55"/>
      <c r="E40" s="31"/>
      <c r="F40" s="30" t="str">
        <f t="shared" si="7"/>
        <v>error</v>
      </c>
      <c r="G40" s="64"/>
      <c r="H40" s="33"/>
      <c r="I40" s="65" t="str">
        <f t="shared" si="11"/>
        <v/>
      </c>
      <c r="J40" s="33"/>
      <c r="K40" s="30">
        <f t="shared" si="8"/>
        <v>0</v>
      </c>
      <c r="L40" s="30">
        <f t="shared" si="9"/>
        <v>0</v>
      </c>
      <c r="M40" s="30">
        <f t="shared" si="10"/>
        <v>0</v>
      </c>
    </row>
    <row r="41" spans="2:13" ht="39" hidden="1" customHeight="1" thickTop="1" thickBot="1" x14ac:dyDescent="0.25">
      <c r="B41" s="82" t="str">
        <f t="shared" si="2"/>
        <v/>
      </c>
      <c r="C41" s="81" t="str">
        <f t="shared" si="3"/>
        <v>000</v>
      </c>
      <c r="D41" s="55"/>
      <c r="E41" s="31"/>
      <c r="F41" s="30" t="str">
        <f t="shared" si="7"/>
        <v>error</v>
      </c>
      <c r="G41" s="64"/>
      <c r="H41" s="33"/>
      <c r="I41" s="65" t="str">
        <f t="shared" si="11"/>
        <v/>
      </c>
      <c r="J41" s="33"/>
      <c r="K41" s="30">
        <f t="shared" si="8"/>
        <v>0</v>
      </c>
      <c r="L41" s="30">
        <f t="shared" si="9"/>
        <v>0</v>
      </c>
      <c r="M41" s="30">
        <f t="shared" si="10"/>
        <v>0</v>
      </c>
    </row>
    <row r="42" spans="2:13" ht="39" hidden="1" customHeight="1" thickTop="1" thickBot="1" x14ac:dyDescent="0.25">
      <c r="B42" s="82" t="str">
        <f t="shared" si="2"/>
        <v/>
      </c>
      <c r="C42" s="81" t="str">
        <f t="shared" si="3"/>
        <v>000</v>
      </c>
      <c r="D42" s="55"/>
      <c r="E42" s="31"/>
      <c r="F42" s="30" t="str">
        <f t="shared" si="7"/>
        <v>error</v>
      </c>
      <c r="G42" s="64"/>
      <c r="H42" s="33"/>
      <c r="I42" s="65" t="str">
        <f t="shared" si="11"/>
        <v/>
      </c>
      <c r="J42" s="33"/>
      <c r="K42" s="30">
        <f t="shared" si="8"/>
        <v>0</v>
      </c>
      <c r="L42" s="30">
        <f t="shared" si="9"/>
        <v>0</v>
      </c>
      <c r="M42" s="30">
        <f t="shared" si="10"/>
        <v>0</v>
      </c>
    </row>
    <row r="43" spans="2:13" ht="39" hidden="1" customHeight="1" thickTop="1" thickBot="1" x14ac:dyDescent="0.25">
      <c r="B43" s="82" t="str">
        <f t="shared" si="2"/>
        <v/>
      </c>
      <c r="C43" s="81" t="str">
        <f t="shared" si="3"/>
        <v>000</v>
      </c>
      <c r="D43" s="55"/>
      <c r="E43" s="31"/>
      <c r="F43" s="30" t="str">
        <f t="shared" si="7"/>
        <v>error</v>
      </c>
      <c r="G43" s="64"/>
      <c r="H43" s="33"/>
      <c r="I43" s="65" t="str">
        <f t="shared" si="11"/>
        <v/>
      </c>
      <c r="J43" s="33"/>
      <c r="K43" s="30">
        <f t="shared" si="8"/>
        <v>0</v>
      </c>
      <c r="L43" s="30">
        <f t="shared" si="9"/>
        <v>0</v>
      </c>
      <c r="M43" s="30">
        <f t="shared" si="10"/>
        <v>0</v>
      </c>
    </row>
    <row r="44" spans="2:13" ht="39" hidden="1" customHeight="1" thickTop="1" thickBot="1" x14ac:dyDescent="0.25">
      <c r="B44" s="82" t="str">
        <f t="shared" si="2"/>
        <v/>
      </c>
      <c r="C44" s="81" t="str">
        <f t="shared" si="3"/>
        <v>000</v>
      </c>
      <c r="D44" s="55"/>
      <c r="E44" s="31"/>
      <c r="F44" s="30" t="str">
        <f t="shared" si="7"/>
        <v>error</v>
      </c>
      <c r="G44" s="64"/>
      <c r="H44" s="33"/>
      <c r="I44" s="65" t="str">
        <f t="shared" si="11"/>
        <v/>
      </c>
      <c r="J44" s="33"/>
      <c r="K44" s="30">
        <f t="shared" si="8"/>
        <v>0</v>
      </c>
      <c r="L44" s="30">
        <f t="shared" si="9"/>
        <v>0</v>
      </c>
      <c r="M44" s="30">
        <f t="shared" si="10"/>
        <v>0</v>
      </c>
    </row>
    <row r="45" spans="2:13" ht="39" hidden="1" customHeight="1" thickTop="1" thickBot="1" x14ac:dyDescent="0.25">
      <c r="B45" s="82" t="str">
        <f t="shared" si="2"/>
        <v/>
      </c>
      <c r="C45" s="81" t="str">
        <f t="shared" si="3"/>
        <v>000</v>
      </c>
      <c r="D45" s="55"/>
      <c r="E45" s="31"/>
      <c r="F45" s="30" t="str">
        <f t="shared" si="7"/>
        <v>error</v>
      </c>
      <c r="G45" s="64"/>
      <c r="H45" s="33"/>
      <c r="I45" s="65" t="str">
        <f t="shared" si="11"/>
        <v/>
      </c>
      <c r="J45" s="33"/>
      <c r="K45" s="30">
        <f t="shared" si="8"/>
        <v>0</v>
      </c>
      <c r="L45" s="30">
        <f t="shared" si="9"/>
        <v>0</v>
      </c>
      <c r="M45" s="30">
        <f t="shared" si="10"/>
        <v>0</v>
      </c>
    </row>
    <row r="46" spans="2:13" ht="39" hidden="1" customHeight="1" thickTop="1" thickBot="1" x14ac:dyDescent="0.25">
      <c r="B46" s="82" t="str">
        <f t="shared" si="2"/>
        <v/>
      </c>
      <c r="C46" s="81" t="str">
        <f t="shared" si="3"/>
        <v>000</v>
      </c>
      <c r="D46" s="55"/>
      <c r="E46" s="31"/>
      <c r="F46" s="30" t="str">
        <f t="shared" si="7"/>
        <v>error</v>
      </c>
      <c r="G46" s="64"/>
      <c r="H46" s="33"/>
      <c r="I46" s="65" t="str">
        <f t="shared" si="11"/>
        <v/>
      </c>
      <c r="J46" s="33"/>
      <c r="K46" s="30">
        <f t="shared" si="8"/>
        <v>0</v>
      </c>
      <c r="L46" s="30">
        <f t="shared" si="9"/>
        <v>0</v>
      </c>
      <c r="M46" s="30">
        <f t="shared" si="10"/>
        <v>0</v>
      </c>
    </row>
    <row r="47" spans="2:13" ht="39" hidden="1" customHeight="1" thickTop="1" thickBot="1" x14ac:dyDescent="0.25">
      <c r="B47" s="82" t="str">
        <f t="shared" si="2"/>
        <v/>
      </c>
      <c r="C47" s="81" t="str">
        <f t="shared" si="3"/>
        <v>000</v>
      </c>
      <c r="D47" s="55"/>
      <c r="E47" s="31"/>
      <c r="F47" s="30" t="str">
        <f t="shared" si="7"/>
        <v>error</v>
      </c>
      <c r="G47" s="64"/>
      <c r="H47" s="33"/>
      <c r="I47" s="65" t="str">
        <f t="shared" si="11"/>
        <v/>
      </c>
      <c r="J47" s="33"/>
      <c r="K47" s="30">
        <f t="shared" si="8"/>
        <v>0</v>
      </c>
      <c r="L47" s="30">
        <f t="shared" si="9"/>
        <v>0</v>
      </c>
      <c r="M47" s="30">
        <f t="shared" si="10"/>
        <v>0</v>
      </c>
    </row>
    <row r="48" spans="2:13" ht="39" hidden="1" customHeight="1" thickTop="1" thickBot="1" x14ac:dyDescent="0.25">
      <c r="B48" s="82" t="str">
        <f t="shared" si="2"/>
        <v/>
      </c>
      <c r="C48" s="81" t="str">
        <f t="shared" si="3"/>
        <v>000</v>
      </c>
      <c r="D48" s="55"/>
      <c r="E48" s="31"/>
      <c r="F48" s="30" t="str">
        <f t="shared" si="7"/>
        <v>error</v>
      </c>
      <c r="G48" s="64"/>
      <c r="H48" s="33"/>
      <c r="I48" s="65" t="str">
        <f t="shared" si="11"/>
        <v/>
      </c>
      <c r="J48" s="33"/>
      <c r="K48" s="30">
        <f t="shared" si="8"/>
        <v>0</v>
      </c>
      <c r="L48" s="30">
        <f t="shared" si="9"/>
        <v>0</v>
      </c>
      <c r="M48" s="30">
        <f t="shared" si="10"/>
        <v>0</v>
      </c>
    </row>
    <row r="49" spans="2:13" ht="39" hidden="1" customHeight="1" thickTop="1" thickBot="1" x14ac:dyDescent="0.25">
      <c r="B49" s="82" t="str">
        <f t="shared" si="2"/>
        <v/>
      </c>
      <c r="C49" s="81" t="str">
        <f t="shared" si="3"/>
        <v>000</v>
      </c>
      <c r="D49" s="55"/>
      <c r="E49" s="31"/>
      <c r="F49" s="30" t="str">
        <f t="shared" si="7"/>
        <v>error</v>
      </c>
      <c r="G49" s="64"/>
      <c r="H49" s="33"/>
      <c r="I49" s="65" t="str">
        <f t="shared" si="11"/>
        <v/>
      </c>
      <c r="J49" s="33"/>
      <c r="K49" s="30">
        <f t="shared" si="8"/>
        <v>0</v>
      </c>
      <c r="L49" s="30">
        <f t="shared" si="9"/>
        <v>0</v>
      </c>
      <c r="M49" s="30">
        <f t="shared" si="10"/>
        <v>0</v>
      </c>
    </row>
    <row r="50" spans="2:13" ht="39" hidden="1" customHeight="1" thickTop="1" thickBot="1" x14ac:dyDescent="0.25">
      <c r="B50" s="82" t="str">
        <f t="shared" si="2"/>
        <v/>
      </c>
      <c r="C50" s="81" t="str">
        <f t="shared" si="3"/>
        <v>000</v>
      </c>
      <c r="D50" s="55"/>
      <c r="E50" s="31"/>
      <c r="F50" s="30" t="str">
        <f t="shared" si="7"/>
        <v>error</v>
      </c>
      <c r="G50" s="64"/>
      <c r="H50" s="33"/>
      <c r="I50" s="65" t="str">
        <f t="shared" si="11"/>
        <v/>
      </c>
      <c r="J50" s="33"/>
      <c r="K50" s="30">
        <f t="shared" si="8"/>
        <v>0</v>
      </c>
      <c r="L50" s="30">
        <f t="shared" si="9"/>
        <v>0</v>
      </c>
      <c r="M50" s="30">
        <f t="shared" si="10"/>
        <v>0</v>
      </c>
    </row>
    <row r="51" spans="2:13" ht="39" hidden="1" customHeight="1" thickTop="1" thickBot="1" x14ac:dyDescent="0.25">
      <c r="B51" s="82" t="str">
        <f t="shared" si="2"/>
        <v/>
      </c>
      <c r="C51" s="81" t="str">
        <f t="shared" si="3"/>
        <v>000</v>
      </c>
      <c r="D51" s="55"/>
      <c r="E51" s="31"/>
      <c r="F51" s="30" t="str">
        <f t="shared" si="7"/>
        <v>error</v>
      </c>
      <c r="G51" s="64"/>
      <c r="H51" s="33"/>
      <c r="I51" s="65" t="str">
        <f t="shared" si="11"/>
        <v/>
      </c>
      <c r="J51" s="33"/>
      <c r="K51" s="30">
        <f t="shared" si="8"/>
        <v>0</v>
      </c>
      <c r="L51" s="30">
        <f t="shared" si="9"/>
        <v>0</v>
      </c>
      <c r="M51" s="30">
        <f t="shared" si="10"/>
        <v>0</v>
      </c>
    </row>
    <row r="52" spans="2:13" ht="39" hidden="1" customHeight="1" thickTop="1" thickBot="1" x14ac:dyDescent="0.25">
      <c r="B52" s="82" t="str">
        <f t="shared" si="2"/>
        <v/>
      </c>
      <c r="C52" s="81" t="str">
        <f t="shared" si="3"/>
        <v>000</v>
      </c>
      <c r="D52" s="55"/>
      <c r="E52" s="31"/>
      <c r="F52" s="30" t="str">
        <f t="shared" si="7"/>
        <v>error</v>
      </c>
      <c r="G52" s="64"/>
      <c r="H52" s="33"/>
      <c r="I52" s="65" t="str">
        <f t="shared" si="11"/>
        <v/>
      </c>
      <c r="J52" s="33"/>
      <c r="K52" s="30">
        <f t="shared" si="8"/>
        <v>0</v>
      </c>
      <c r="L52" s="30">
        <f t="shared" si="9"/>
        <v>0</v>
      </c>
      <c r="M52" s="30">
        <f t="shared" si="10"/>
        <v>0</v>
      </c>
    </row>
    <row r="53" spans="2:13" ht="39" hidden="1" customHeight="1" thickTop="1" thickBot="1" x14ac:dyDescent="0.25">
      <c r="B53" s="82" t="str">
        <f t="shared" si="2"/>
        <v/>
      </c>
      <c r="C53" s="81" t="str">
        <f t="shared" si="3"/>
        <v>000</v>
      </c>
      <c r="D53" s="55"/>
      <c r="E53" s="31"/>
      <c r="F53" s="30" t="str">
        <f t="shared" si="7"/>
        <v>error</v>
      </c>
      <c r="G53" s="64"/>
      <c r="H53" s="33"/>
      <c r="I53" s="65" t="str">
        <f t="shared" si="11"/>
        <v/>
      </c>
      <c r="J53" s="33"/>
      <c r="K53" s="30">
        <f t="shared" si="8"/>
        <v>0</v>
      </c>
      <c r="L53" s="30">
        <f t="shared" si="9"/>
        <v>0</v>
      </c>
      <c r="M53" s="30">
        <f t="shared" si="10"/>
        <v>0</v>
      </c>
    </row>
    <row r="54" spans="2:13" ht="39" hidden="1" customHeight="1" thickTop="1" thickBot="1" x14ac:dyDescent="0.25">
      <c r="B54" s="82" t="str">
        <f t="shared" si="2"/>
        <v/>
      </c>
      <c r="C54" s="81" t="str">
        <f t="shared" si="3"/>
        <v>000</v>
      </c>
      <c r="D54" s="55"/>
      <c r="E54" s="31"/>
      <c r="F54" s="30" t="str">
        <f t="shared" si="7"/>
        <v>error</v>
      </c>
      <c r="G54" s="64"/>
      <c r="H54" s="33"/>
      <c r="I54" s="65" t="str">
        <f t="shared" si="11"/>
        <v/>
      </c>
      <c r="J54" s="33"/>
      <c r="K54" s="30">
        <f t="shared" si="8"/>
        <v>0</v>
      </c>
      <c r="L54" s="30">
        <f t="shared" si="9"/>
        <v>0</v>
      </c>
      <c r="M54" s="30">
        <f t="shared" si="10"/>
        <v>0</v>
      </c>
    </row>
    <row r="55" spans="2:13" ht="39" hidden="1" customHeight="1" thickTop="1" thickBot="1" x14ac:dyDescent="0.25">
      <c r="B55" s="82" t="str">
        <f t="shared" si="2"/>
        <v/>
      </c>
      <c r="C55" s="81" t="str">
        <f t="shared" si="3"/>
        <v>000</v>
      </c>
      <c r="D55" s="55"/>
      <c r="E55" s="31"/>
      <c r="F55" s="30" t="str">
        <f t="shared" si="7"/>
        <v>error</v>
      </c>
      <c r="G55" s="64"/>
      <c r="H55" s="33"/>
      <c r="I55" s="65" t="str">
        <f t="shared" si="11"/>
        <v/>
      </c>
      <c r="J55" s="33"/>
      <c r="K55" s="30">
        <f t="shared" si="8"/>
        <v>0</v>
      </c>
      <c r="L55" s="30">
        <f t="shared" si="9"/>
        <v>0</v>
      </c>
      <c r="M55" s="30">
        <f t="shared" si="10"/>
        <v>0</v>
      </c>
    </row>
    <row r="56" spans="2:13" ht="39" hidden="1" customHeight="1" thickTop="1" thickBot="1" x14ac:dyDescent="0.25">
      <c r="B56" s="82" t="str">
        <f t="shared" si="2"/>
        <v/>
      </c>
      <c r="C56" s="81" t="str">
        <f t="shared" si="3"/>
        <v>000</v>
      </c>
      <c r="D56" s="55"/>
      <c r="E56" s="31"/>
      <c r="F56" s="30" t="str">
        <f t="shared" si="7"/>
        <v>error</v>
      </c>
      <c r="G56" s="64"/>
      <c r="H56" s="33"/>
      <c r="I56" s="65" t="str">
        <f t="shared" si="11"/>
        <v/>
      </c>
      <c r="J56" s="33"/>
      <c r="K56" s="30">
        <f t="shared" si="8"/>
        <v>0</v>
      </c>
      <c r="L56" s="30">
        <f t="shared" si="9"/>
        <v>0</v>
      </c>
      <c r="M56" s="30">
        <f t="shared" si="10"/>
        <v>0</v>
      </c>
    </row>
    <row r="57" spans="2:13" ht="39" hidden="1" customHeight="1" thickTop="1" thickBot="1" x14ac:dyDescent="0.25">
      <c r="B57" s="82" t="str">
        <f t="shared" si="2"/>
        <v/>
      </c>
      <c r="C57" s="81" t="str">
        <f t="shared" si="3"/>
        <v>000</v>
      </c>
      <c r="D57" s="55"/>
      <c r="E57" s="31"/>
      <c r="F57" s="30" t="str">
        <f t="shared" si="7"/>
        <v>error</v>
      </c>
      <c r="G57" s="64"/>
      <c r="H57" s="33"/>
      <c r="I57" s="65" t="str">
        <f t="shared" si="11"/>
        <v/>
      </c>
      <c r="J57" s="33"/>
      <c r="K57" s="30">
        <f t="shared" si="8"/>
        <v>0</v>
      </c>
      <c r="L57" s="30">
        <f t="shared" si="9"/>
        <v>0</v>
      </c>
      <c r="M57" s="30">
        <f t="shared" si="10"/>
        <v>0</v>
      </c>
    </row>
    <row r="58" spans="2:13" ht="13.5" thickTop="1" x14ac:dyDescent="0.2">
      <c r="B58" s="5"/>
      <c r="C58" s="5"/>
      <c r="D58" s="5"/>
      <c r="E58" s="12"/>
      <c r="F58" s="12"/>
      <c r="G58" s="12"/>
      <c r="H58" s="12"/>
      <c r="I58" s="12"/>
      <c r="J58" s="12"/>
    </row>
    <row r="59" spans="2:13" x14ac:dyDescent="0.2">
      <c r="F59" s="32"/>
      <c r="I59" s="12"/>
      <c r="J59" s="12"/>
    </row>
    <row r="60" spans="2:13" hidden="1" x14ac:dyDescent="0.2">
      <c r="B60" s="29"/>
      <c r="D60" s="66" t="s">
        <v>232</v>
      </c>
    </row>
    <row r="61" spans="2:13" ht="72.599999999999994" hidden="1" customHeight="1" thickBot="1" x14ac:dyDescent="0.25">
      <c r="B61" s="78" t="s">
        <v>231</v>
      </c>
      <c r="C61" s="79"/>
      <c r="D61" s="129" t="s">
        <v>495</v>
      </c>
      <c r="E61" s="130"/>
    </row>
  </sheetData>
  <mergeCells count="1">
    <mergeCell ref="D61:E61"/>
  </mergeCells>
  <phoneticPr fontId="1" type="noConversion"/>
  <dataValidations count="1">
    <dataValidation type="list" showInputMessage="1" sqref="D7:D57">
      <formula1>hidden_Short</formula1>
    </dataValidation>
  </dataValidations>
  <pageMargins left="0.75" right="0.75" top="1" bottom="1" header="0.5" footer="0.5"/>
  <pageSetup orientation="portrait" r:id="rId1"/>
  <headerFooter alignWithMargins="0">
    <oddHeader>&amp;L&amp;A&amp;C&amp;F&amp;R&amp;D
&amp;T
EE Print
&amp;T
EE</oddHeader>
    <oddFooter>&amp;L&amp;A&amp;C&amp;F&amp;RPage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Viscosity0"/>
  <dimension ref="B1:T102"/>
  <sheetViews>
    <sheetView showGridLines="0" workbookViewId="0">
      <selection activeCell="A2" sqref="A2"/>
    </sheetView>
  </sheetViews>
  <sheetFormatPr defaultRowHeight="12.75" x14ac:dyDescent="0.2"/>
  <cols>
    <col min="1" max="1" width="3.7109375" customWidth="1"/>
    <col min="2" max="2" width="13.140625" customWidth="1"/>
    <col min="3" max="3" width="16" customWidth="1"/>
    <col min="8" max="8" width="9" customWidth="1"/>
    <col min="10" max="10" width="11.7109375" customWidth="1"/>
    <col min="13" max="13" width="13.28515625" hidden="1" customWidth="1"/>
    <col min="14" max="14" width="11.7109375" hidden="1" customWidth="1"/>
    <col min="15" max="16" width="10.140625" hidden="1" customWidth="1"/>
    <col min="17" max="17" width="11.140625" hidden="1" customWidth="1"/>
    <col min="19" max="20" width="0" hidden="1" customWidth="1"/>
  </cols>
  <sheetData>
    <row r="1" spans="2:20" x14ac:dyDescent="0.2">
      <c r="B1" s="90"/>
      <c r="C1" s="91"/>
      <c r="D1" s="91"/>
      <c r="E1" s="91"/>
      <c r="F1" s="91"/>
      <c r="G1" s="92"/>
      <c r="H1" s="91"/>
      <c r="I1" s="92"/>
      <c r="J1" s="91"/>
      <c r="K1" s="91"/>
      <c r="L1" s="92"/>
      <c r="M1" s="91"/>
      <c r="N1" s="91"/>
      <c r="O1" s="91"/>
      <c r="P1" s="91"/>
      <c r="Q1" s="91"/>
    </row>
    <row r="2" spans="2:20" ht="23.25" x14ac:dyDescent="0.35">
      <c r="B2" s="93" t="s">
        <v>301</v>
      </c>
      <c r="C2" s="91"/>
      <c r="D2" s="91"/>
      <c r="E2" s="91"/>
      <c r="F2" s="91"/>
      <c r="G2" s="92"/>
      <c r="H2" s="91"/>
      <c r="I2" s="92"/>
      <c r="J2" s="91"/>
      <c r="K2" s="91"/>
      <c r="L2" s="92"/>
      <c r="M2" s="91"/>
      <c r="N2" s="91"/>
      <c r="O2" s="91"/>
      <c r="P2" s="91"/>
      <c r="Q2" s="91"/>
    </row>
    <row r="3" spans="2:20" x14ac:dyDescent="0.2">
      <c r="B3" s="90"/>
      <c r="C3" s="91"/>
      <c r="D3" s="91"/>
      <c r="E3" s="91"/>
      <c r="F3" s="91"/>
      <c r="G3" s="92"/>
      <c r="H3" s="91"/>
      <c r="I3" s="92"/>
      <c r="J3" s="91"/>
      <c r="K3" s="91"/>
      <c r="L3" s="92"/>
      <c r="M3" s="91"/>
      <c r="N3" s="91"/>
      <c r="O3" s="91"/>
      <c r="P3" s="91"/>
      <c r="Q3" s="91"/>
    </row>
    <row r="4" spans="2:20" ht="13.5" thickBot="1" x14ac:dyDescent="0.25">
      <c r="B4" s="95" t="s">
        <v>114</v>
      </c>
      <c r="C4" s="91"/>
      <c r="D4" s="91"/>
      <c r="E4" s="91"/>
      <c r="F4" s="91"/>
      <c r="G4" s="92"/>
      <c r="H4" s="91"/>
      <c r="I4" s="92"/>
      <c r="J4" s="91"/>
      <c r="K4" s="91"/>
      <c r="L4" s="92"/>
      <c r="M4" s="91"/>
      <c r="N4" s="91"/>
      <c r="O4" s="91"/>
      <c r="P4" s="91"/>
      <c r="Q4" s="91"/>
    </row>
    <row r="5" spans="2:20" ht="13.5" thickTop="1" x14ac:dyDescent="0.2">
      <c r="B5" s="90"/>
      <c r="C5" s="91"/>
      <c r="D5" s="91"/>
      <c r="E5" s="91"/>
      <c r="F5" s="91"/>
      <c r="G5" s="92"/>
      <c r="H5" s="91"/>
      <c r="I5" s="92"/>
      <c r="J5" s="91"/>
      <c r="K5" s="91"/>
      <c r="L5" s="92"/>
      <c r="M5" s="91"/>
      <c r="N5" s="91"/>
      <c r="O5" s="91"/>
      <c r="P5" s="91"/>
      <c r="Q5" s="91"/>
    </row>
    <row r="6" spans="2:20" ht="13.5" thickBot="1" x14ac:dyDescent="0.25">
      <c r="B6" s="90" t="s">
        <v>302</v>
      </c>
      <c r="C6" s="94"/>
      <c r="D6" s="91"/>
      <c r="E6" s="95" t="s">
        <v>64</v>
      </c>
      <c r="F6" s="91"/>
      <c r="G6" s="92"/>
      <c r="H6" s="91"/>
      <c r="I6" s="92"/>
      <c r="J6" s="91"/>
      <c r="K6" s="91"/>
      <c r="L6" s="92"/>
      <c r="M6" s="91"/>
      <c r="N6" s="91"/>
      <c r="O6" s="91"/>
      <c r="P6" s="91"/>
      <c r="Q6" s="91"/>
    </row>
    <row r="7" spans="2:20" ht="13.5" thickTop="1" x14ac:dyDescent="0.2">
      <c r="B7" s="90" t="s">
        <v>303</v>
      </c>
      <c r="C7" s="94"/>
      <c r="D7" s="91"/>
      <c r="E7" s="91"/>
      <c r="F7" s="91"/>
      <c r="G7" s="92"/>
      <c r="H7" s="91"/>
      <c r="I7" s="92"/>
      <c r="J7" s="91"/>
      <c r="K7" s="91"/>
      <c r="L7" s="92"/>
      <c r="M7" s="91"/>
      <c r="N7" s="91"/>
      <c r="O7" s="91"/>
      <c r="P7" s="91"/>
      <c r="Q7" s="91"/>
    </row>
    <row r="8" spans="2:20" x14ac:dyDescent="0.2">
      <c r="B8" s="90" t="s">
        <v>304</v>
      </c>
      <c r="C8" s="94"/>
      <c r="D8" s="91"/>
      <c r="E8" s="91"/>
      <c r="F8" s="91"/>
      <c r="G8" s="92"/>
      <c r="H8" s="91"/>
      <c r="I8" s="92"/>
      <c r="J8" s="91"/>
      <c r="K8" s="91"/>
      <c r="L8" s="92"/>
      <c r="M8" s="91"/>
      <c r="N8" s="91"/>
      <c r="O8" s="91"/>
      <c r="P8" s="91"/>
      <c r="Q8" s="91"/>
    </row>
    <row r="9" spans="2:20" x14ac:dyDescent="0.2">
      <c r="B9" s="90"/>
      <c r="C9" s="91"/>
      <c r="D9" s="91"/>
      <c r="E9" s="91"/>
      <c r="F9" s="91"/>
      <c r="G9" s="92"/>
      <c r="H9" s="91"/>
      <c r="I9" s="92"/>
      <c r="J9" s="91"/>
      <c r="K9" s="91"/>
      <c r="L9" s="92"/>
      <c r="M9" s="91"/>
      <c r="N9" s="91"/>
      <c r="O9" s="91"/>
      <c r="P9" s="91"/>
      <c r="Q9" s="91"/>
    </row>
    <row r="10" spans="2:20" ht="60" x14ac:dyDescent="0.25">
      <c r="B10" s="97" t="s">
        <v>306</v>
      </c>
      <c r="C10" s="96" t="s">
        <v>305</v>
      </c>
      <c r="D10" s="97" t="s">
        <v>307</v>
      </c>
      <c r="E10" s="97" t="s">
        <v>308</v>
      </c>
      <c r="F10" s="97" t="s">
        <v>309</v>
      </c>
      <c r="G10" s="98" t="s">
        <v>310</v>
      </c>
      <c r="H10" s="97" t="s">
        <v>311</v>
      </c>
      <c r="I10" s="99" t="s">
        <v>312</v>
      </c>
      <c r="J10" s="97" t="s">
        <v>313</v>
      </c>
      <c r="K10" s="97" t="s">
        <v>314</v>
      </c>
      <c r="L10" s="92"/>
      <c r="M10" s="97" t="s">
        <v>308</v>
      </c>
      <c r="N10" s="97" t="s">
        <v>315</v>
      </c>
      <c r="O10" s="97" t="s">
        <v>316</v>
      </c>
      <c r="P10" s="97" t="s">
        <v>317</v>
      </c>
      <c r="Q10" s="97" t="s">
        <v>318</v>
      </c>
    </row>
    <row r="11" spans="2:20" x14ac:dyDescent="0.2">
      <c r="B11" s="101"/>
      <c r="C11" s="100"/>
      <c r="D11" s="101"/>
      <c r="E11" s="101"/>
      <c r="F11" s="101"/>
      <c r="G11" s="102"/>
      <c r="H11" s="104"/>
      <c r="I11" s="102"/>
      <c r="J11" s="101" t="str">
        <f>IF(E11="","",VLOOKUP(E11,$M$11:$Q$73,VLOOKUP(B11,$S$11:$T$14,2,FALSE),FALSE))</f>
        <v/>
      </c>
      <c r="K11" s="103" t="str">
        <f>IF(H11="","",H11/((J11/F11)/100))</f>
        <v/>
      </c>
      <c r="L11" s="92"/>
      <c r="M11" s="101" t="s">
        <v>319</v>
      </c>
      <c r="N11" s="104">
        <v>937</v>
      </c>
      <c r="O11" s="104">
        <v>10000</v>
      </c>
      <c r="P11" s="104">
        <v>20000</v>
      </c>
      <c r="Q11" s="104">
        <v>80000</v>
      </c>
      <c r="S11" s="101" t="s">
        <v>320</v>
      </c>
      <c r="T11" s="104">
        <v>2</v>
      </c>
    </row>
    <row r="12" spans="2:20" hidden="1" x14ac:dyDescent="0.2">
      <c r="B12" s="101"/>
      <c r="C12" s="100"/>
      <c r="D12" s="101"/>
      <c r="E12" s="101"/>
      <c r="F12" s="101"/>
      <c r="G12" s="105"/>
      <c r="H12" s="104"/>
      <c r="I12" s="102"/>
      <c r="J12" s="101" t="str">
        <f t="shared" ref="J12:J75" si="0">IF(E12="","",VLOOKUP(E12,$M$11:$Q$73,VLOOKUP(B12,$S$11:$T$14,2,FALSE),FALSE))</f>
        <v/>
      </c>
      <c r="K12" s="103" t="str">
        <f t="shared" ref="K12:K75" si="1">IF(H12="","",H12/((J12/F12)/100))</f>
        <v/>
      </c>
      <c r="L12" s="92"/>
      <c r="M12" s="101" t="s">
        <v>321</v>
      </c>
      <c r="N12" s="104">
        <v>3750</v>
      </c>
      <c r="O12" s="104">
        <v>40000</v>
      </c>
      <c r="P12" s="104">
        <v>80000</v>
      </c>
      <c r="Q12" s="104">
        <v>320000</v>
      </c>
      <c r="S12" s="101" t="s">
        <v>322</v>
      </c>
      <c r="T12" s="104">
        <v>3</v>
      </c>
    </row>
    <row r="13" spans="2:20" hidden="1" x14ac:dyDescent="0.2">
      <c r="B13" s="101"/>
      <c r="C13" s="100"/>
      <c r="D13" s="101"/>
      <c r="E13" s="101"/>
      <c r="F13" s="101"/>
      <c r="G13" s="105"/>
      <c r="H13" s="104"/>
      <c r="I13" s="102"/>
      <c r="J13" s="101" t="str">
        <f t="shared" si="0"/>
        <v/>
      </c>
      <c r="K13" s="103" t="str">
        <f t="shared" si="1"/>
        <v/>
      </c>
      <c r="L13" s="92"/>
      <c r="M13" s="101" t="s">
        <v>323</v>
      </c>
      <c r="N13" s="104">
        <v>9375</v>
      </c>
      <c r="O13" s="104">
        <v>100000</v>
      </c>
      <c r="P13" s="104">
        <v>200000</v>
      </c>
      <c r="Q13" s="104">
        <v>800000</v>
      </c>
      <c r="S13" s="101" t="s">
        <v>324</v>
      </c>
      <c r="T13" s="104">
        <v>4</v>
      </c>
    </row>
    <row r="14" spans="2:20" hidden="1" x14ac:dyDescent="0.2">
      <c r="B14" s="101"/>
      <c r="C14" s="100"/>
      <c r="D14" s="101"/>
      <c r="E14" s="101"/>
      <c r="F14" s="101"/>
      <c r="G14" s="105"/>
      <c r="H14" s="104"/>
      <c r="I14" s="102"/>
      <c r="J14" s="101" t="str">
        <f t="shared" si="0"/>
        <v/>
      </c>
      <c r="K14" s="103" t="str">
        <f t="shared" si="1"/>
        <v/>
      </c>
      <c r="L14" s="92"/>
      <c r="M14" s="101" t="s">
        <v>325</v>
      </c>
      <c r="N14" s="104">
        <v>18750</v>
      </c>
      <c r="O14" s="104">
        <v>200000</v>
      </c>
      <c r="P14" s="104">
        <v>400000</v>
      </c>
      <c r="Q14" s="104">
        <v>1600000</v>
      </c>
      <c r="S14" s="101" t="s">
        <v>326</v>
      </c>
      <c r="T14" s="104">
        <v>5</v>
      </c>
    </row>
    <row r="15" spans="2:20" hidden="1" x14ac:dyDescent="0.2">
      <c r="B15" s="101"/>
      <c r="C15" s="100"/>
      <c r="D15" s="101"/>
      <c r="E15" s="101"/>
      <c r="F15" s="101"/>
      <c r="G15" s="102"/>
      <c r="H15" s="104"/>
      <c r="I15" s="102"/>
      <c r="J15" s="101" t="str">
        <f t="shared" si="0"/>
        <v/>
      </c>
      <c r="K15" s="103" t="str">
        <f t="shared" si="1"/>
        <v/>
      </c>
      <c r="L15" s="92"/>
      <c r="M15" s="101" t="s">
        <v>327</v>
      </c>
      <c r="N15" s="104">
        <v>37500</v>
      </c>
      <c r="O15" s="104">
        <v>400000</v>
      </c>
      <c r="P15" s="104">
        <v>800000</v>
      </c>
      <c r="Q15" s="104">
        <v>3200000</v>
      </c>
    </row>
    <row r="16" spans="2:20" hidden="1" x14ac:dyDescent="0.2">
      <c r="B16" s="101"/>
      <c r="C16" s="100"/>
      <c r="D16" s="101"/>
      <c r="E16" s="101"/>
      <c r="F16" s="101"/>
      <c r="G16" s="105"/>
      <c r="H16" s="104"/>
      <c r="I16" s="102"/>
      <c r="J16" s="101" t="str">
        <f t="shared" si="0"/>
        <v/>
      </c>
      <c r="K16" s="103" t="str">
        <f t="shared" si="1"/>
        <v/>
      </c>
      <c r="L16" s="92"/>
      <c r="M16" s="101" t="s">
        <v>328</v>
      </c>
      <c r="N16" s="104">
        <v>93750</v>
      </c>
      <c r="O16" s="104">
        <v>1000000</v>
      </c>
      <c r="P16" s="104">
        <v>2000000</v>
      </c>
      <c r="Q16" s="104">
        <v>8000000</v>
      </c>
    </row>
    <row r="17" spans="2:17" hidden="1" x14ac:dyDescent="0.2">
      <c r="B17" s="101"/>
      <c r="C17" s="100"/>
      <c r="D17" s="101"/>
      <c r="E17" s="101"/>
      <c r="F17" s="101"/>
      <c r="G17" s="105"/>
      <c r="H17" s="104"/>
      <c r="I17" s="102"/>
      <c r="J17" s="101" t="str">
        <f t="shared" si="0"/>
        <v/>
      </c>
      <c r="K17" s="103" t="str">
        <f t="shared" si="1"/>
        <v/>
      </c>
      <c r="L17" s="92"/>
      <c r="M17" s="101" t="s">
        <v>329</v>
      </c>
      <c r="N17" s="104">
        <v>375000</v>
      </c>
      <c r="O17" s="104">
        <v>4000000</v>
      </c>
      <c r="P17" s="104">
        <v>8000000</v>
      </c>
      <c r="Q17" s="104">
        <v>32000000</v>
      </c>
    </row>
    <row r="18" spans="2:17" hidden="1" x14ac:dyDescent="0.2">
      <c r="B18" s="101"/>
      <c r="C18" s="100"/>
      <c r="D18" s="101"/>
      <c r="E18" s="101"/>
      <c r="F18" s="101"/>
      <c r="G18" s="105"/>
      <c r="H18" s="104"/>
      <c r="I18" s="102"/>
      <c r="J18" s="101" t="str">
        <f t="shared" si="0"/>
        <v/>
      </c>
      <c r="K18" s="103" t="str">
        <f t="shared" si="1"/>
        <v/>
      </c>
      <c r="L18" s="92"/>
      <c r="M18" s="101" t="s">
        <v>330</v>
      </c>
      <c r="N18" s="104" t="s">
        <v>331</v>
      </c>
      <c r="O18" s="104" t="s">
        <v>332</v>
      </c>
      <c r="P18" s="104" t="s">
        <v>333</v>
      </c>
      <c r="Q18" s="104" t="s">
        <v>334</v>
      </c>
    </row>
    <row r="19" spans="2:17" hidden="1" x14ac:dyDescent="0.2">
      <c r="B19" s="101"/>
      <c r="C19" s="100"/>
      <c r="D19" s="101"/>
      <c r="E19" s="101"/>
      <c r="F19" s="101"/>
      <c r="G19" s="102"/>
      <c r="H19" s="104"/>
      <c r="I19" s="102"/>
      <c r="J19" s="101" t="str">
        <f t="shared" si="0"/>
        <v/>
      </c>
      <c r="K19" s="103" t="str">
        <f t="shared" si="1"/>
        <v/>
      </c>
      <c r="L19" s="92"/>
      <c r="M19" s="101" t="s">
        <v>335</v>
      </c>
      <c r="N19" s="104" t="s">
        <v>336</v>
      </c>
      <c r="O19" s="104" t="s">
        <v>337</v>
      </c>
      <c r="P19" s="104" t="s">
        <v>338</v>
      </c>
      <c r="Q19" s="104" t="s">
        <v>339</v>
      </c>
    </row>
    <row r="20" spans="2:17" hidden="1" x14ac:dyDescent="0.2">
      <c r="B20" s="101"/>
      <c r="C20" s="100"/>
      <c r="D20" s="101"/>
      <c r="E20" s="101"/>
      <c r="F20" s="101"/>
      <c r="G20" s="105"/>
      <c r="H20" s="104"/>
      <c r="I20" s="102"/>
      <c r="J20" s="101" t="str">
        <f t="shared" si="0"/>
        <v/>
      </c>
      <c r="K20" s="103" t="str">
        <f t="shared" si="1"/>
        <v/>
      </c>
      <c r="L20" s="92"/>
      <c r="M20" s="101" t="s">
        <v>340</v>
      </c>
      <c r="N20" s="104" t="s">
        <v>341</v>
      </c>
      <c r="O20" s="104" t="s">
        <v>342</v>
      </c>
      <c r="P20" s="104" t="s">
        <v>343</v>
      </c>
      <c r="Q20" s="104" t="s">
        <v>344</v>
      </c>
    </row>
    <row r="21" spans="2:17" hidden="1" x14ac:dyDescent="0.2">
      <c r="B21" s="101"/>
      <c r="C21" s="100"/>
      <c r="D21" s="101"/>
      <c r="E21" s="101"/>
      <c r="F21" s="101"/>
      <c r="G21" s="105"/>
      <c r="H21" s="104"/>
      <c r="I21" s="102"/>
      <c r="J21" s="101" t="str">
        <f t="shared" si="0"/>
        <v/>
      </c>
      <c r="K21" s="103" t="str">
        <f t="shared" si="1"/>
        <v/>
      </c>
      <c r="L21" s="92"/>
      <c r="M21" s="101" t="s">
        <v>345</v>
      </c>
      <c r="N21" s="104" t="s">
        <v>346</v>
      </c>
      <c r="O21" s="104" t="s">
        <v>343</v>
      </c>
      <c r="P21" s="104" t="s">
        <v>347</v>
      </c>
      <c r="Q21" s="104" t="s">
        <v>348</v>
      </c>
    </row>
    <row r="22" spans="2:17" hidden="1" x14ac:dyDescent="0.2">
      <c r="B22" s="101"/>
      <c r="C22" s="100"/>
      <c r="D22" s="101"/>
      <c r="E22" s="101"/>
      <c r="F22" s="101"/>
      <c r="G22" s="105"/>
      <c r="H22" s="104"/>
      <c r="I22" s="102"/>
      <c r="J22" s="101" t="str">
        <f t="shared" si="0"/>
        <v/>
      </c>
      <c r="K22" s="103" t="str">
        <f t="shared" si="1"/>
        <v/>
      </c>
      <c r="L22" s="92"/>
      <c r="M22" s="101" t="s">
        <v>349</v>
      </c>
      <c r="N22" s="104" t="s">
        <v>350</v>
      </c>
      <c r="O22" s="104" t="s">
        <v>347</v>
      </c>
      <c r="P22" s="104" t="s">
        <v>344</v>
      </c>
      <c r="Q22" s="104" t="s">
        <v>351</v>
      </c>
    </row>
    <row r="23" spans="2:17" hidden="1" x14ac:dyDescent="0.2">
      <c r="B23" s="101"/>
      <c r="C23" s="100"/>
      <c r="D23" s="101"/>
      <c r="E23" s="101"/>
      <c r="F23" s="101"/>
      <c r="G23" s="105"/>
      <c r="H23" s="104"/>
      <c r="I23" s="102"/>
      <c r="J23" s="101" t="str">
        <f t="shared" si="0"/>
        <v/>
      </c>
      <c r="K23" s="103" t="str">
        <f t="shared" si="1"/>
        <v/>
      </c>
      <c r="L23" s="92"/>
      <c r="M23" s="101" t="s">
        <v>352</v>
      </c>
      <c r="N23" s="104" t="s">
        <v>353</v>
      </c>
      <c r="O23" s="104" t="s">
        <v>354</v>
      </c>
      <c r="P23" s="104" t="s">
        <v>355</v>
      </c>
      <c r="Q23" s="104" t="s">
        <v>356</v>
      </c>
    </row>
    <row r="24" spans="2:17" hidden="1" x14ac:dyDescent="0.2">
      <c r="B24" s="101"/>
      <c r="C24" s="100"/>
      <c r="D24" s="101"/>
      <c r="E24" s="101"/>
      <c r="F24" s="101"/>
      <c r="G24" s="105"/>
      <c r="H24" s="104"/>
      <c r="I24" s="102"/>
      <c r="J24" s="101" t="str">
        <f t="shared" si="0"/>
        <v/>
      </c>
      <c r="K24" s="103" t="str">
        <f t="shared" si="1"/>
        <v/>
      </c>
      <c r="L24" s="92"/>
      <c r="M24" s="101" t="s">
        <v>357</v>
      </c>
      <c r="N24" s="104" t="s">
        <v>358</v>
      </c>
      <c r="O24" s="104" t="s">
        <v>359</v>
      </c>
      <c r="P24" s="104" t="s">
        <v>360</v>
      </c>
      <c r="Q24" s="104" t="s">
        <v>361</v>
      </c>
    </row>
    <row r="25" spans="2:17" hidden="1" x14ac:dyDescent="0.2">
      <c r="B25" s="101"/>
      <c r="C25" s="100"/>
      <c r="D25" s="101"/>
      <c r="E25" s="101"/>
      <c r="F25" s="101"/>
      <c r="G25" s="102"/>
      <c r="H25" s="104"/>
      <c r="I25" s="102"/>
      <c r="J25" s="101" t="str">
        <f t="shared" si="0"/>
        <v/>
      </c>
      <c r="K25" s="103" t="str">
        <f t="shared" si="1"/>
        <v/>
      </c>
      <c r="L25" s="92"/>
      <c r="M25" s="101" t="s">
        <v>362</v>
      </c>
      <c r="N25" s="104" t="s">
        <v>331</v>
      </c>
      <c r="O25" s="104" t="s">
        <v>332</v>
      </c>
      <c r="P25" s="104" t="s">
        <v>333</v>
      </c>
      <c r="Q25" s="104" t="s">
        <v>334</v>
      </c>
    </row>
    <row r="26" spans="2:17" hidden="1" x14ac:dyDescent="0.2">
      <c r="B26" s="101"/>
      <c r="C26" s="100"/>
      <c r="D26" s="101"/>
      <c r="E26" s="101"/>
      <c r="F26" s="101"/>
      <c r="G26" s="102"/>
      <c r="H26" s="104"/>
      <c r="I26" s="102"/>
      <c r="J26" s="101" t="str">
        <f t="shared" si="0"/>
        <v/>
      </c>
      <c r="K26" s="103" t="str">
        <f t="shared" si="1"/>
        <v/>
      </c>
      <c r="L26" s="92"/>
      <c r="M26" s="101" t="s">
        <v>363</v>
      </c>
      <c r="N26" s="104" t="s">
        <v>336</v>
      </c>
      <c r="O26" s="104" t="s">
        <v>337</v>
      </c>
      <c r="P26" s="104" t="s">
        <v>338</v>
      </c>
      <c r="Q26" s="104" t="s">
        <v>339</v>
      </c>
    </row>
    <row r="27" spans="2:17" hidden="1" x14ac:dyDescent="0.2">
      <c r="B27" s="101"/>
      <c r="C27" s="100"/>
      <c r="D27" s="101"/>
      <c r="E27" s="101"/>
      <c r="F27" s="101"/>
      <c r="G27" s="105"/>
      <c r="H27" s="104"/>
      <c r="I27" s="102"/>
      <c r="J27" s="101" t="str">
        <f t="shared" si="0"/>
        <v/>
      </c>
      <c r="K27" s="103" t="str">
        <f t="shared" si="1"/>
        <v/>
      </c>
      <c r="L27" s="92"/>
      <c r="M27" s="101" t="s">
        <v>364</v>
      </c>
      <c r="N27" s="104" t="s">
        <v>341</v>
      </c>
      <c r="O27" s="104" t="s">
        <v>342</v>
      </c>
      <c r="P27" s="104" t="s">
        <v>343</v>
      </c>
      <c r="Q27" s="104" t="s">
        <v>344</v>
      </c>
    </row>
    <row r="28" spans="2:17" hidden="1" x14ac:dyDescent="0.2">
      <c r="B28" s="101"/>
      <c r="C28" s="100"/>
      <c r="D28" s="101"/>
      <c r="E28" s="101"/>
      <c r="F28" s="101"/>
      <c r="G28" s="105"/>
      <c r="H28" s="104"/>
      <c r="I28" s="102"/>
      <c r="J28" s="101" t="str">
        <f t="shared" si="0"/>
        <v/>
      </c>
      <c r="K28" s="103" t="str">
        <f t="shared" si="1"/>
        <v/>
      </c>
      <c r="L28" s="92"/>
      <c r="M28" s="101" t="s">
        <v>365</v>
      </c>
      <c r="N28" s="104" t="s">
        <v>346</v>
      </c>
      <c r="O28" s="104" t="s">
        <v>343</v>
      </c>
      <c r="P28" s="104" t="s">
        <v>347</v>
      </c>
      <c r="Q28" s="104" t="s">
        <v>348</v>
      </c>
    </row>
    <row r="29" spans="2:17" hidden="1" x14ac:dyDescent="0.2">
      <c r="B29" s="101"/>
      <c r="C29" s="100"/>
      <c r="D29" s="101"/>
      <c r="E29" s="101"/>
      <c r="F29" s="101"/>
      <c r="G29" s="105"/>
      <c r="H29" s="104"/>
      <c r="I29" s="102"/>
      <c r="J29" s="101" t="str">
        <f t="shared" si="0"/>
        <v/>
      </c>
      <c r="K29" s="103" t="str">
        <f t="shared" si="1"/>
        <v/>
      </c>
      <c r="L29" s="92"/>
      <c r="M29" s="101" t="s">
        <v>366</v>
      </c>
      <c r="N29" s="104" t="s">
        <v>367</v>
      </c>
      <c r="O29" s="104" t="s">
        <v>347</v>
      </c>
      <c r="P29" s="104" t="s">
        <v>344</v>
      </c>
      <c r="Q29" s="104" t="s">
        <v>351</v>
      </c>
    </row>
    <row r="30" spans="2:17" hidden="1" x14ac:dyDescent="0.2">
      <c r="B30" s="101"/>
      <c r="C30" s="100"/>
      <c r="D30" s="101"/>
      <c r="E30" s="101"/>
      <c r="F30" s="101"/>
      <c r="G30" s="105"/>
      <c r="H30" s="104"/>
      <c r="I30" s="102"/>
      <c r="J30" s="101" t="str">
        <f t="shared" si="0"/>
        <v/>
      </c>
      <c r="K30" s="103" t="str">
        <f t="shared" si="1"/>
        <v/>
      </c>
      <c r="L30" s="92"/>
      <c r="M30" s="101" t="s">
        <v>368</v>
      </c>
      <c r="N30" s="104" t="s">
        <v>353</v>
      </c>
      <c r="O30" s="104" t="s">
        <v>354</v>
      </c>
      <c r="P30" s="104" t="s">
        <v>355</v>
      </c>
      <c r="Q30" s="104" t="s">
        <v>356</v>
      </c>
    </row>
    <row r="31" spans="2:17" hidden="1" x14ac:dyDescent="0.2">
      <c r="B31" s="101"/>
      <c r="C31" s="100"/>
      <c r="D31" s="101"/>
      <c r="E31" s="101"/>
      <c r="F31" s="101"/>
      <c r="G31" s="105"/>
      <c r="H31" s="104"/>
      <c r="I31" s="102"/>
      <c r="J31" s="101" t="str">
        <f t="shared" si="0"/>
        <v/>
      </c>
      <c r="K31" s="103" t="str">
        <f t="shared" si="1"/>
        <v/>
      </c>
      <c r="L31" s="92"/>
      <c r="M31" s="101" t="s">
        <v>369</v>
      </c>
      <c r="N31" s="104" t="s">
        <v>358</v>
      </c>
      <c r="O31" s="104" t="s">
        <v>359</v>
      </c>
      <c r="P31" s="104" t="s">
        <v>360</v>
      </c>
      <c r="Q31" s="104" t="s">
        <v>361</v>
      </c>
    </row>
    <row r="32" spans="2:17" hidden="1" x14ac:dyDescent="0.2">
      <c r="B32" s="101"/>
      <c r="C32" s="100"/>
      <c r="D32" s="101"/>
      <c r="E32" s="101"/>
      <c r="F32" s="101"/>
      <c r="G32" s="105"/>
      <c r="H32" s="104"/>
      <c r="I32" s="102"/>
      <c r="J32" s="101" t="str">
        <f t="shared" si="0"/>
        <v/>
      </c>
      <c r="K32" s="103" t="str">
        <f t="shared" si="1"/>
        <v/>
      </c>
      <c r="L32" s="92"/>
      <c r="M32" s="101" t="s">
        <v>370</v>
      </c>
      <c r="N32" s="104" t="s">
        <v>371</v>
      </c>
      <c r="O32" s="104" t="s">
        <v>372</v>
      </c>
      <c r="P32" s="104" t="s">
        <v>373</v>
      </c>
      <c r="Q32" s="104" t="s">
        <v>374</v>
      </c>
    </row>
    <row r="33" spans="2:17" hidden="1" x14ac:dyDescent="0.2">
      <c r="B33" s="101"/>
      <c r="C33" s="100"/>
      <c r="D33" s="101"/>
      <c r="E33" s="101"/>
      <c r="F33" s="101"/>
      <c r="G33" s="105"/>
      <c r="H33" s="104"/>
      <c r="I33" s="102"/>
      <c r="J33" s="101" t="str">
        <f t="shared" si="0"/>
        <v/>
      </c>
      <c r="K33" s="103" t="str">
        <f t="shared" si="1"/>
        <v/>
      </c>
      <c r="L33" s="92"/>
      <c r="M33" s="101" t="s">
        <v>375</v>
      </c>
      <c r="N33" s="104" t="s">
        <v>376</v>
      </c>
      <c r="O33" s="104" t="s">
        <v>377</v>
      </c>
      <c r="P33" s="104" t="s">
        <v>378</v>
      </c>
      <c r="Q33" s="104" t="s">
        <v>379</v>
      </c>
    </row>
    <row r="34" spans="2:17" hidden="1" x14ac:dyDescent="0.2">
      <c r="B34" s="101"/>
      <c r="C34" s="100"/>
      <c r="D34" s="101"/>
      <c r="E34" s="101"/>
      <c r="F34" s="101"/>
      <c r="G34" s="105"/>
      <c r="H34" s="104"/>
      <c r="I34" s="102"/>
      <c r="J34" s="101" t="str">
        <f t="shared" si="0"/>
        <v/>
      </c>
      <c r="K34" s="103" t="str">
        <f t="shared" si="1"/>
        <v/>
      </c>
      <c r="L34" s="92"/>
      <c r="M34" s="101" t="s">
        <v>380</v>
      </c>
      <c r="N34" s="104" t="s">
        <v>381</v>
      </c>
      <c r="O34" s="104" t="s">
        <v>382</v>
      </c>
      <c r="P34" s="104" t="s">
        <v>379</v>
      </c>
      <c r="Q34" s="104" t="s">
        <v>383</v>
      </c>
    </row>
    <row r="35" spans="2:17" hidden="1" x14ac:dyDescent="0.2">
      <c r="B35" s="101"/>
      <c r="C35" s="100"/>
      <c r="D35" s="101"/>
      <c r="E35" s="101"/>
      <c r="F35" s="101"/>
      <c r="G35" s="105"/>
      <c r="H35" s="104"/>
      <c r="I35" s="102"/>
      <c r="J35" s="101" t="str">
        <f t="shared" si="0"/>
        <v/>
      </c>
      <c r="K35" s="103" t="str">
        <f t="shared" si="1"/>
        <v/>
      </c>
      <c r="L35" s="92"/>
      <c r="M35" s="101" t="s">
        <v>384</v>
      </c>
      <c r="N35" s="104" t="s">
        <v>385</v>
      </c>
      <c r="O35" s="104" t="s">
        <v>386</v>
      </c>
      <c r="P35" s="104" t="s">
        <v>387</v>
      </c>
      <c r="Q35" s="104" t="s">
        <v>388</v>
      </c>
    </row>
    <row r="36" spans="2:17" hidden="1" x14ac:dyDescent="0.2">
      <c r="B36" s="101"/>
      <c r="C36" s="100"/>
      <c r="D36" s="101"/>
      <c r="E36" s="101"/>
      <c r="F36" s="101"/>
      <c r="G36" s="105"/>
      <c r="H36" s="104"/>
      <c r="I36" s="102"/>
      <c r="J36" s="101" t="str">
        <f t="shared" si="0"/>
        <v/>
      </c>
      <c r="K36" s="103" t="str">
        <f t="shared" si="1"/>
        <v/>
      </c>
      <c r="L36" s="92"/>
      <c r="M36" s="101" t="s">
        <v>389</v>
      </c>
      <c r="N36" s="104" t="s">
        <v>390</v>
      </c>
      <c r="O36" s="104" t="s">
        <v>387</v>
      </c>
      <c r="P36" s="104" t="s">
        <v>391</v>
      </c>
      <c r="Q36" s="104" t="s">
        <v>392</v>
      </c>
    </row>
    <row r="37" spans="2:17" hidden="1" x14ac:dyDescent="0.2">
      <c r="B37" s="101"/>
      <c r="C37" s="100"/>
      <c r="D37" s="101"/>
      <c r="E37" s="101"/>
      <c r="F37" s="101"/>
      <c r="G37" s="105"/>
      <c r="H37" s="104"/>
      <c r="I37" s="102"/>
      <c r="J37" s="101" t="str">
        <f t="shared" si="0"/>
        <v/>
      </c>
      <c r="K37" s="103" t="str">
        <f t="shared" si="1"/>
        <v/>
      </c>
      <c r="L37" s="92"/>
      <c r="M37" s="101" t="s">
        <v>393</v>
      </c>
      <c r="N37" s="104" t="s">
        <v>376</v>
      </c>
      <c r="O37" s="104" t="s">
        <v>339</v>
      </c>
      <c r="P37" s="104" t="s">
        <v>394</v>
      </c>
      <c r="Q37" s="104" t="s">
        <v>379</v>
      </c>
    </row>
    <row r="38" spans="2:17" hidden="1" x14ac:dyDescent="0.2">
      <c r="B38" s="101"/>
      <c r="C38" s="100"/>
      <c r="D38" s="101"/>
      <c r="E38" s="101"/>
      <c r="F38" s="101"/>
      <c r="G38" s="105"/>
      <c r="H38" s="104"/>
      <c r="I38" s="102"/>
      <c r="J38" s="101" t="str">
        <f t="shared" si="0"/>
        <v/>
      </c>
      <c r="K38" s="103" t="str">
        <f t="shared" si="1"/>
        <v/>
      </c>
      <c r="L38" s="92"/>
      <c r="M38" s="101" t="s">
        <v>395</v>
      </c>
      <c r="N38" s="104" t="s">
        <v>381</v>
      </c>
      <c r="O38" s="104" t="s">
        <v>382</v>
      </c>
      <c r="P38" s="104" t="s">
        <v>379</v>
      </c>
      <c r="Q38" s="104" t="s">
        <v>383</v>
      </c>
    </row>
    <row r="39" spans="2:17" hidden="1" x14ac:dyDescent="0.2">
      <c r="B39" s="101"/>
      <c r="C39" s="100"/>
      <c r="D39" s="101"/>
      <c r="E39" s="101"/>
      <c r="F39" s="101"/>
      <c r="G39" s="105"/>
      <c r="H39" s="104"/>
      <c r="I39" s="102"/>
      <c r="J39" s="101" t="str">
        <f t="shared" si="0"/>
        <v/>
      </c>
      <c r="K39" s="103" t="str">
        <f t="shared" si="1"/>
        <v/>
      </c>
      <c r="L39" s="92"/>
      <c r="M39" s="101" t="s">
        <v>396</v>
      </c>
      <c r="N39" s="104" t="s">
        <v>397</v>
      </c>
      <c r="O39" s="104">
        <v>200000</v>
      </c>
      <c r="P39" s="104">
        <v>400000</v>
      </c>
      <c r="Q39" s="104">
        <v>1600000</v>
      </c>
    </row>
    <row r="40" spans="2:17" hidden="1" x14ac:dyDescent="0.2">
      <c r="B40" s="101"/>
      <c r="C40" s="100"/>
      <c r="D40" s="101"/>
      <c r="E40" s="101"/>
      <c r="F40" s="101"/>
      <c r="G40" s="102"/>
      <c r="H40" s="104"/>
      <c r="I40" s="102"/>
      <c r="J40" s="101" t="str">
        <f t="shared" si="0"/>
        <v/>
      </c>
      <c r="K40" s="103" t="str">
        <f t="shared" si="1"/>
        <v/>
      </c>
      <c r="L40" s="92"/>
      <c r="M40" s="101" t="s">
        <v>398</v>
      </c>
      <c r="N40" s="104" t="s">
        <v>399</v>
      </c>
      <c r="O40" s="104">
        <v>400000</v>
      </c>
      <c r="P40" s="104">
        <v>800000</v>
      </c>
      <c r="Q40" s="104">
        <v>3200000</v>
      </c>
    </row>
    <row r="41" spans="2:17" hidden="1" x14ac:dyDescent="0.2">
      <c r="B41" s="101"/>
      <c r="C41" s="100"/>
      <c r="D41" s="101"/>
      <c r="E41" s="101"/>
      <c r="F41" s="101"/>
      <c r="G41" s="102"/>
      <c r="H41" s="104"/>
      <c r="I41" s="102"/>
      <c r="J41" s="101" t="str">
        <f t="shared" si="0"/>
        <v/>
      </c>
      <c r="K41" s="103" t="str">
        <f t="shared" si="1"/>
        <v/>
      </c>
      <c r="L41" s="92"/>
      <c r="M41" s="101" t="s">
        <v>400</v>
      </c>
      <c r="N41" s="104" t="s">
        <v>401</v>
      </c>
      <c r="O41" s="104">
        <v>1000000</v>
      </c>
      <c r="P41" s="104">
        <v>2000000</v>
      </c>
      <c r="Q41" s="104">
        <v>8000000</v>
      </c>
    </row>
    <row r="42" spans="2:17" hidden="1" x14ac:dyDescent="0.2">
      <c r="B42" s="101"/>
      <c r="C42" s="100"/>
      <c r="D42" s="101"/>
      <c r="E42" s="101"/>
      <c r="F42" s="101"/>
      <c r="G42" s="105"/>
      <c r="H42" s="104"/>
      <c r="I42" s="102"/>
      <c r="J42" s="101" t="str">
        <f t="shared" si="0"/>
        <v/>
      </c>
      <c r="K42" s="103" t="str">
        <f t="shared" si="1"/>
        <v/>
      </c>
      <c r="L42" s="92"/>
      <c r="M42" s="101" t="s">
        <v>402</v>
      </c>
      <c r="N42" s="104" t="s">
        <v>403</v>
      </c>
      <c r="O42" s="104" t="s">
        <v>355</v>
      </c>
      <c r="P42" s="104" t="s">
        <v>404</v>
      </c>
      <c r="Q42" s="104" t="s">
        <v>405</v>
      </c>
    </row>
    <row r="43" spans="2:17" hidden="1" x14ac:dyDescent="0.2">
      <c r="B43" s="101"/>
      <c r="C43" s="100"/>
      <c r="D43" s="101"/>
      <c r="E43" s="101"/>
      <c r="F43" s="101"/>
      <c r="G43" s="105"/>
      <c r="H43" s="104"/>
      <c r="I43" s="102"/>
      <c r="J43" s="101" t="str">
        <f t="shared" si="0"/>
        <v/>
      </c>
      <c r="K43" s="103" t="str">
        <f t="shared" si="1"/>
        <v/>
      </c>
      <c r="L43" s="92"/>
      <c r="M43" s="101" t="s">
        <v>406</v>
      </c>
      <c r="N43" s="104" t="s">
        <v>407</v>
      </c>
      <c r="O43" s="104" t="s">
        <v>408</v>
      </c>
      <c r="P43" s="104" t="s">
        <v>409</v>
      </c>
      <c r="Q43" s="104" t="s">
        <v>410</v>
      </c>
    </row>
    <row r="44" spans="2:17" hidden="1" x14ac:dyDescent="0.2">
      <c r="B44" s="101"/>
      <c r="C44" s="100"/>
      <c r="D44" s="101"/>
      <c r="E44" s="101"/>
      <c r="F44" s="101"/>
      <c r="G44" s="105"/>
      <c r="H44" s="104"/>
      <c r="I44" s="102"/>
      <c r="J44" s="101" t="str">
        <f t="shared" si="0"/>
        <v/>
      </c>
      <c r="K44" s="103" t="str">
        <f t="shared" si="1"/>
        <v/>
      </c>
      <c r="L44" s="92"/>
      <c r="M44" s="101" t="s">
        <v>411</v>
      </c>
      <c r="N44" s="104" t="s">
        <v>412</v>
      </c>
      <c r="O44" s="104" t="s">
        <v>409</v>
      </c>
      <c r="P44" s="104" t="s">
        <v>413</v>
      </c>
      <c r="Q44" s="104" t="s">
        <v>414</v>
      </c>
    </row>
    <row r="45" spans="2:17" hidden="1" x14ac:dyDescent="0.2">
      <c r="B45" s="101"/>
      <c r="C45" s="100"/>
      <c r="D45" s="101"/>
      <c r="E45" s="101"/>
      <c r="F45" s="101"/>
      <c r="G45" s="105"/>
      <c r="H45" s="104"/>
      <c r="I45" s="102"/>
      <c r="J45" s="101" t="str">
        <f t="shared" si="0"/>
        <v/>
      </c>
      <c r="K45" s="103" t="str">
        <f t="shared" si="1"/>
        <v/>
      </c>
      <c r="L45" s="92"/>
      <c r="M45" s="101" t="s">
        <v>415</v>
      </c>
      <c r="N45" s="104" t="s">
        <v>416</v>
      </c>
      <c r="O45" s="104" t="s">
        <v>417</v>
      </c>
      <c r="P45" s="104" t="s">
        <v>418</v>
      </c>
      <c r="Q45" s="104" t="s">
        <v>419</v>
      </c>
    </row>
    <row r="46" spans="2:17" hidden="1" x14ac:dyDescent="0.2">
      <c r="B46" s="101"/>
      <c r="C46" s="100"/>
      <c r="D46" s="101"/>
      <c r="E46" s="101"/>
      <c r="F46" s="101"/>
      <c r="G46" s="105"/>
      <c r="H46" s="104"/>
      <c r="I46" s="102"/>
      <c r="J46" s="101" t="str">
        <f t="shared" si="0"/>
        <v/>
      </c>
      <c r="K46" s="103" t="str">
        <f t="shared" si="1"/>
        <v/>
      </c>
      <c r="L46" s="92"/>
      <c r="M46" s="101" t="s">
        <v>420</v>
      </c>
      <c r="N46" s="104" t="s">
        <v>421</v>
      </c>
      <c r="O46" s="104" t="s">
        <v>422</v>
      </c>
      <c r="P46" s="104" t="s">
        <v>423</v>
      </c>
      <c r="Q46" s="104" t="s">
        <v>424</v>
      </c>
    </row>
    <row r="47" spans="2:17" hidden="1" x14ac:dyDescent="0.2">
      <c r="B47" s="101"/>
      <c r="C47" s="100"/>
      <c r="D47" s="101"/>
      <c r="E47" s="101"/>
      <c r="F47" s="101"/>
      <c r="G47" s="105"/>
      <c r="H47" s="104"/>
      <c r="I47" s="102"/>
      <c r="J47" s="101" t="str">
        <f t="shared" si="0"/>
        <v/>
      </c>
      <c r="K47" s="103" t="str">
        <f t="shared" si="1"/>
        <v/>
      </c>
      <c r="L47" s="92"/>
      <c r="M47" s="101" t="s">
        <v>425</v>
      </c>
      <c r="N47" s="104" t="s">
        <v>426</v>
      </c>
      <c r="O47" s="104" t="s">
        <v>427</v>
      </c>
      <c r="P47" s="104" t="s">
        <v>428</v>
      </c>
      <c r="Q47" s="104" t="s">
        <v>429</v>
      </c>
    </row>
    <row r="48" spans="2:17" hidden="1" x14ac:dyDescent="0.2">
      <c r="B48" s="101"/>
      <c r="C48" s="100"/>
      <c r="D48" s="101"/>
      <c r="E48" s="101"/>
      <c r="F48" s="101"/>
      <c r="G48" s="105"/>
      <c r="H48" s="104"/>
      <c r="I48" s="102"/>
      <c r="J48" s="101" t="str">
        <f t="shared" si="0"/>
        <v/>
      </c>
      <c r="K48" s="103" t="str">
        <f t="shared" si="1"/>
        <v/>
      </c>
      <c r="L48" s="92"/>
      <c r="M48" s="101" t="s">
        <v>430</v>
      </c>
      <c r="N48" s="104" t="s">
        <v>426</v>
      </c>
      <c r="O48" s="104" t="s">
        <v>427</v>
      </c>
      <c r="P48" s="104" t="s">
        <v>428</v>
      </c>
      <c r="Q48" s="104" t="s">
        <v>429</v>
      </c>
    </row>
    <row r="49" spans="2:17" hidden="1" x14ac:dyDescent="0.2">
      <c r="B49" s="101"/>
      <c r="C49" s="100"/>
      <c r="D49" s="101"/>
      <c r="E49" s="101"/>
      <c r="F49" s="101"/>
      <c r="G49" s="105"/>
      <c r="H49" s="104"/>
      <c r="I49" s="102"/>
      <c r="J49" s="101" t="str">
        <f t="shared" si="0"/>
        <v/>
      </c>
      <c r="K49" s="103" t="str">
        <f t="shared" si="1"/>
        <v/>
      </c>
      <c r="L49" s="92"/>
      <c r="M49" s="101" t="s">
        <v>431</v>
      </c>
      <c r="N49" s="104" t="s">
        <v>432</v>
      </c>
      <c r="O49" s="104" t="s">
        <v>433</v>
      </c>
      <c r="P49" s="104" t="s">
        <v>434</v>
      </c>
      <c r="Q49" s="104" t="s">
        <v>435</v>
      </c>
    </row>
    <row r="50" spans="2:17" hidden="1" x14ac:dyDescent="0.2">
      <c r="B50" s="101"/>
      <c r="C50" s="100"/>
      <c r="D50" s="101"/>
      <c r="E50" s="101"/>
      <c r="F50" s="101"/>
      <c r="G50" s="105"/>
      <c r="H50" s="104"/>
      <c r="I50" s="102"/>
      <c r="J50" s="101" t="str">
        <f t="shared" si="0"/>
        <v/>
      </c>
      <c r="K50" s="103" t="str">
        <f t="shared" si="1"/>
        <v/>
      </c>
      <c r="L50" s="92"/>
      <c r="M50" s="101" t="s">
        <v>436</v>
      </c>
      <c r="N50" s="104" t="s">
        <v>437</v>
      </c>
      <c r="O50" s="104" t="s">
        <v>438</v>
      </c>
      <c r="P50" s="104" t="s">
        <v>439</v>
      </c>
      <c r="Q50" s="104" t="s">
        <v>440</v>
      </c>
    </row>
    <row r="51" spans="2:17" hidden="1" x14ac:dyDescent="0.2">
      <c r="B51" s="101"/>
      <c r="C51" s="100"/>
      <c r="D51" s="101"/>
      <c r="E51" s="101"/>
      <c r="F51" s="101"/>
      <c r="G51" s="105"/>
      <c r="H51" s="104"/>
      <c r="I51" s="102"/>
      <c r="J51" s="101" t="str">
        <f t="shared" si="0"/>
        <v/>
      </c>
      <c r="K51" s="103" t="str">
        <f t="shared" si="1"/>
        <v/>
      </c>
      <c r="L51" s="92"/>
      <c r="M51" s="101" t="s">
        <v>441</v>
      </c>
      <c r="N51" s="104" t="s">
        <v>426</v>
      </c>
      <c r="O51" s="104" t="s">
        <v>427</v>
      </c>
      <c r="P51" s="104" t="s">
        <v>428</v>
      </c>
      <c r="Q51" s="104" t="s">
        <v>429</v>
      </c>
    </row>
    <row r="52" spans="2:17" hidden="1" x14ac:dyDescent="0.2">
      <c r="B52" s="101"/>
      <c r="C52" s="100"/>
      <c r="D52" s="101"/>
      <c r="E52" s="101"/>
      <c r="F52" s="101"/>
      <c r="G52" s="105"/>
      <c r="H52" s="104"/>
      <c r="I52" s="102"/>
      <c r="J52" s="101" t="str">
        <f t="shared" si="0"/>
        <v/>
      </c>
      <c r="K52" s="103" t="str">
        <f t="shared" si="1"/>
        <v/>
      </c>
      <c r="L52" s="92"/>
      <c r="M52" s="101" t="s">
        <v>442</v>
      </c>
      <c r="N52" s="104" t="s">
        <v>432</v>
      </c>
      <c r="O52" s="104" t="s">
        <v>433</v>
      </c>
      <c r="P52" s="104">
        <v>242600</v>
      </c>
      <c r="Q52" s="104" t="s">
        <v>435</v>
      </c>
    </row>
    <row r="53" spans="2:17" hidden="1" x14ac:dyDescent="0.2">
      <c r="B53" s="101"/>
      <c r="C53" s="100"/>
      <c r="D53" s="101"/>
      <c r="E53" s="101"/>
      <c r="F53" s="101"/>
      <c r="G53" s="105"/>
      <c r="H53" s="104"/>
      <c r="I53" s="102"/>
      <c r="J53" s="101" t="str">
        <f t="shared" si="0"/>
        <v/>
      </c>
      <c r="K53" s="103" t="str">
        <f t="shared" si="1"/>
        <v/>
      </c>
      <c r="L53" s="92"/>
      <c r="M53" s="101" t="s">
        <v>443</v>
      </c>
      <c r="N53" s="104" t="s">
        <v>444</v>
      </c>
      <c r="O53" s="104" t="s">
        <v>445</v>
      </c>
      <c r="P53" s="104" t="s">
        <v>446</v>
      </c>
      <c r="Q53" s="104" t="s">
        <v>409</v>
      </c>
    </row>
    <row r="54" spans="2:17" hidden="1" x14ac:dyDescent="0.2">
      <c r="B54" s="101"/>
      <c r="C54" s="100"/>
      <c r="D54" s="101"/>
      <c r="E54" s="101"/>
      <c r="F54" s="101"/>
      <c r="G54" s="105"/>
      <c r="H54" s="104"/>
      <c r="I54" s="102"/>
      <c r="J54" s="101" t="str">
        <f t="shared" si="0"/>
        <v/>
      </c>
      <c r="K54" s="103" t="str">
        <f t="shared" si="1"/>
        <v/>
      </c>
      <c r="L54" s="92"/>
      <c r="M54" s="101" t="s">
        <v>447</v>
      </c>
      <c r="N54" s="104" t="s">
        <v>448</v>
      </c>
      <c r="O54" s="104" t="s">
        <v>449</v>
      </c>
      <c r="P54" s="104" t="s">
        <v>450</v>
      </c>
      <c r="Q54" s="104">
        <v>4000000</v>
      </c>
    </row>
    <row r="55" spans="2:17" hidden="1" x14ac:dyDescent="0.2">
      <c r="B55" s="101"/>
      <c r="C55" s="100"/>
      <c r="D55" s="101"/>
      <c r="E55" s="101"/>
      <c r="F55" s="101"/>
      <c r="G55" s="102"/>
      <c r="H55" s="104"/>
      <c r="I55" s="102"/>
      <c r="J55" s="101" t="str">
        <f t="shared" si="0"/>
        <v/>
      </c>
      <c r="K55" s="103" t="str">
        <f t="shared" si="1"/>
        <v/>
      </c>
      <c r="L55" s="92"/>
      <c r="M55" s="101" t="s">
        <v>451</v>
      </c>
      <c r="N55" s="104" t="s">
        <v>381</v>
      </c>
      <c r="O55" s="104" t="s">
        <v>452</v>
      </c>
      <c r="P55" s="104" t="s">
        <v>453</v>
      </c>
      <c r="Q55" s="104">
        <v>10240000</v>
      </c>
    </row>
    <row r="56" spans="2:17" hidden="1" x14ac:dyDescent="0.2">
      <c r="B56" s="101"/>
      <c r="C56" s="100"/>
      <c r="D56" s="101"/>
      <c r="E56" s="101"/>
      <c r="F56" s="101"/>
      <c r="G56" s="102"/>
      <c r="H56" s="104"/>
      <c r="I56" s="102"/>
      <c r="J56" s="101" t="str">
        <f t="shared" si="0"/>
        <v/>
      </c>
      <c r="K56" s="103" t="str">
        <f t="shared" si="1"/>
        <v/>
      </c>
      <c r="L56" s="92"/>
      <c r="M56" s="101" t="s">
        <v>454</v>
      </c>
      <c r="N56" s="104">
        <v>3000</v>
      </c>
      <c r="O56" s="104">
        <v>32000</v>
      </c>
      <c r="P56" s="104">
        <v>64000</v>
      </c>
      <c r="Q56" s="104">
        <v>256000</v>
      </c>
    </row>
    <row r="57" spans="2:17" hidden="1" x14ac:dyDescent="0.2">
      <c r="B57" s="101"/>
      <c r="C57" s="100"/>
      <c r="D57" s="101"/>
      <c r="E57" s="101"/>
      <c r="F57" s="101"/>
      <c r="G57" s="105"/>
      <c r="H57" s="104"/>
      <c r="I57" s="102"/>
      <c r="J57" s="101" t="str">
        <f t="shared" si="0"/>
        <v/>
      </c>
      <c r="K57" s="103" t="str">
        <f t="shared" si="1"/>
        <v/>
      </c>
      <c r="L57" s="92"/>
      <c r="M57" s="101" t="s">
        <v>455</v>
      </c>
      <c r="N57" s="104">
        <v>4688</v>
      </c>
      <c r="O57" s="104">
        <v>50000</v>
      </c>
      <c r="P57" s="104">
        <v>100000</v>
      </c>
      <c r="Q57" s="104">
        <v>400000</v>
      </c>
    </row>
    <row r="58" spans="2:17" hidden="1" x14ac:dyDescent="0.2">
      <c r="B58" s="101"/>
      <c r="C58" s="100"/>
      <c r="D58" s="101"/>
      <c r="E58" s="101"/>
      <c r="F58" s="101"/>
      <c r="G58" s="105"/>
      <c r="H58" s="104"/>
      <c r="I58" s="102"/>
      <c r="J58" s="101" t="str">
        <f t="shared" si="0"/>
        <v/>
      </c>
      <c r="K58" s="103" t="str">
        <f t="shared" si="1"/>
        <v/>
      </c>
      <c r="L58" s="92"/>
      <c r="M58" s="101" t="s">
        <v>456</v>
      </c>
      <c r="N58" s="104">
        <v>480000</v>
      </c>
      <c r="O58" s="104">
        <v>5120000</v>
      </c>
      <c r="P58" s="104">
        <v>10240000</v>
      </c>
      <c r="Q58" s="104">
        <v>40960000</v>
      </c>
    </row>
    <row r="59" spans="2:17" hidden="1" x14ac:dyDescent="0.2">
      <c r="B59" s="101"/>
      <c r="C59" s="100"/>
      <c r="D59" s="101"/>
      <c r="E59" s="101"/>
      <c r="F59" s="101"/>
      <c r="G59" s="105"/>
      <c r="H59" s="104"/>
      <c r="I59" s="102"/>
      <c r="J59" s="101" t="str">
        <f t="shared" si="0"/>
        <v/>
      </c>
      <c r="K59" s="103" t="str">
        <f t="shared" si="1"/>
        <v/>
      </c>
      <c r="L59" s="92"/>
      <c r="M59" s="101" t="s">
        <v>457</v>
      </c>
      <c r="N59" s="104">
        <v>23440</v>
      </c>
      <c r="O59" s="104">
        <v>250000</v>
      </c>
      <c r="P59" s="104">
        <v>500000</v>
      </c>
      <c r="Q59" s="104">
        <v>2000000</v>
      </c>
    </row>
    <row r="60" spans="2:17" hidden="1" x14ac:dyDescent="0.2">
      <c r="B60" s="101"/>
      <c r="C60" s="100"/>
      <c r="D60" s="101"/>
      <c r="E60" s="101"/>
      <c r="F60" s="101"/>
      <c r="G60" s="105"/>
      <c r="H60" s="104"/>
      <c r="I60" s="102"/>
      <c r="J60" s="101" t="str">
        <f t="shared" si="0"/>
        <v/>
      </c>
      <c r="K60" s="103" t="str">
        <f t="shared" si="1"/>
        <v/>
      </c>
      <c r="L60" s="92"/>
      <c r="M60" s="101" t="s">
        <v>458</v>
      </c>
      <c r="N60" s="104">
        <v>46880</v>
      </c>
      <c r="O60" s="104">
        <v>500000</v>
      </c>
      <c r="P60" s="104">
        <v>1000000</v>
      </c>
      <c r="Q60" s="104">
        <v>4000000</v>
      </c>
    </row>
    <row r="61" spans="2:17" hidden="1" x14ac:dyDescent="0.2">
      <c r="B61" s="101"/>
      <c r="C61" s="100"/>
      <c r="D61" s="101"/>
      <c r="E61" s="101"/>
      <c r="F61" s="101"/>
      <c r="G61" s="105"/>
      <c r="H61" s="104"/>
      <c r="I61" s="102"/>
      <c r="J61" s="101" t="str">
        <f t="shared" si="0"/>
        <v/>
      </c>
      <c r="K61" s="103" t="str">
        <f t="shared" si="1"/>
        <v/>
      </c>
      <c r="L61" s="92"/>
      <c r="M61" s="101" t="s">
        <v>459</v>
      </c>
      <c r="N61" s="104">
        <v>93750</v>
      </c>
      <c r="O61" s="104">
        <v>1000000</v>
      </c>
      <c r="P61" s="104">
        <v>2000000</v>
      </c>
      <c r="Q61" s="104">
        <v>8000000</v>
      </c>
    </row>
    <row r="62" spans="2:17" hidden="1" x14ac:dyDescent="0.2">
      <c r="B62" s="101"/>
      <c r="C62" s="100"/>
      <c r="D62" s="101"/>
      <c r="E62" s="101"/>
      <c r="F62" s="101"/>
      <c r="G62" s="105"/>
      <c r="H62" s="104"/>
      <c r="I62" s="102"/>
      <c r="J62" s="101" t="str">
        <f t="shared" si="0"/>
        <v/>
      </c>
      <c r="K62" s="103" t="str">
        <f t="shared" si="1"/>
        <v/>
      </c>
      <c r="L62" s="92"/>
      <c r="M62" s="101" t="s">
        <v>460</v>
      </c>
      <c r="N62" s="104">
        <v>30000</v>
      </c>
      <c r="O62" s="104">
        <v>320000</v>
      </c>
      <c r="P62" s="104">
        <v>640000</v>
      </c>
      <c r="Q62" s="104">
        <v>2560000</v>
      </c>
    </row>
    <row r="63" spans="2:17" hidden="1" x14ac:dyDescent="0.2">
      <c r="B63" s="101"/>
      <c r="C63" s="100"/>
      <c r="D63" s="101"/>
      <c r="E63" s="101"/>
      <c r="F63" s="101"/>
      <c r="G63" s="105"/>
      <c r="H63" s="104"/>
      <c r="I63" s="102"/>
      <c r="J63" s="101" t="str">
        <f t="shared" si="0"/>
        <v/>
      </c>
      <c r="K63" s="103" t="str">
        <f t="shared" si="1"/>
        <v/>
      </c>
      <c r="L63" s="92"/>
      <c r="M63" s="101" t="s">
        <v>461</v>
      </c>
      <c r="N63" s="104">
        <v>60000</v>
      </c>
      <c r="O63" s="104">
        <v>640000</v>
      </c>
      <c r="P63" s="104">
        <v>1280000</v>
      </c>
      <c r="Q63" s="104">
        <v>5120000</v>
      </c>
    </row>
    <row r="64" spans="2:17" hidden="1" x14ac:dyDescent="0.2">
      <c r="B64" s="101"/>
      <c r="C64" s="100"/>
      <c r="D64" s="101"/>
      <c r="E64" s="101"/>
      <c r="F64" s="101"/>
      <c r="G64" s="105"/>
      <c r="H64" s="104"/>
      <c r="I64" s="102"/>
      <c r="J64" s="101" t="str">
        <f t="shared" si="0"/>
        <v/>
      </c>
      <c r="K64" s="103" t="str">
        <f t="shared" si="1"/>
        <v/>
      </c>
      <c r="L64" s="92"/>
      <c r="M64" s="101" t="s">
        <v>462</v>
      </c>
      <c r="N64" s="104">
        <v>307</v>
      </c>
      <c r="O64" s="104">
        <v>3270</v>
      </c>
      <c r="P64" s="104">
        <v>6540</v>
      </c>
      <c r="Q64" s="104">
        <v>26160</v>
      </c>
    </row>
    <row r="65" spans="2:17" hidden="1" x14ac:dyDescent="0.2">
      <c r="B65" s="101"/>
      <c r="C65" s="100"/>
      <c r="D65" s="101"/>
      <c r="E65" s="101"/>
      <c r="F65" s="101"/>
      <c r="G65" s="105"/>
      <c r="H65" s="104"/>
      <c r="I65" s="102"/>
      <c r="J65" s="101" t="str">
        <f t="shared" si="0"/>
        <v/>
      </c>
      <c r="K65" s="103" t="str">
        <f t="shared" si="1"/>
        <v/>
      </c>
      <c r="L65" s="92"/>
      <c r="M65" s="101" t="s">
        <v>463</v>
      </c>
      <c r="N65" s="104">
        <v>1151</v>
      </c>
      <c r="O65" s="104">
        <v>12280</v>
      </c>
      <c r="P65" s="104">
        <v>24560</v>
      </c>
      <c r="Q65" s="104">
        <v>98240</v>
      </c>
    </row>
    <row r="66" spans="2:17" hidden="1" x14ac:dyDescent="0.2">
      <c r="B66" s="101"/>
      <c r="C66" s="100"/>
      <c r="D66" s="101"/>
      <c r="E66" s="101"/>
      <c r="F66" s="101"/>
      <c r="G66" s="105"/>
      <c r="H66" s="104"/>
      <c r="I66" s="102"/>
      <c r="J66" s="101" t="str">
        <f t="shared" si="0"/>
        <v/>
      </c>
      <c r="K66" s="103" t="str">
        <f t="shared" si="1"/>
        <v/>
      </c>
      <c r="L66" s="92"/>
      <c r="M66" s="101" t="s">
        <v>464</v>
      </c>
      <c r="N66" s="104">
        <v>600</v>
      </c>
      <c r="O66" s="104">
        <v>6400</v>
      </c>
      <c r="P66" s="104">
        <v>12800</v>
      </c>
      <c r="Q66" s="104">
        <v>51200</v>
      </c>
    </row>
    <row r="67" spans="2:17" hidden="1" x14ac:dyDescent="0.2">
      <c r="B67" s="101"/>
      <c r="C67" s="100"/>
      <c r="D67" s="101"/>
      <c r="E67" s="101"/>
      <c r="F67" s="101"/>
      <c r="G67" s="105"/>
      <c r="H67" s="104"/>
      <c r="I67" s="102"/>
      <c r="J67" s="101" t="str">
        <f t="shared" si="0"/>
        <v/>
      </c>
      <c r="K67" s="103" t="str">
        <f t="shared" si="1"/>
        <v/>
      </c>
      <c r="L67" s="92"/>
      <c r="M67" s="101" t="s">
        <v>465</v>
      </c>
      <c r="N67" s="104">
        <v>4854</v>
      </c>
      <c r="O67" s="104">
        <v>51780</v>
      </c>
      <c r="P67" s="104">
        <v>103560</v>
      </c>
      <c r="Q67" s="104">
        <v>414240</v>
      </c>
    </row>
    <row r="68" spans="2:17" hidden="1" x14ac:dyDescent="0.2">
      <c r="B68" s="101"/>
      <c r="C68" s="100"/>
      <c r="D68" s="101"/>
      <c r="E68" s="101"/>
      <c r="F68" s="101"/>
      <c r="G68" s="105"/>
      <c r="H68" s="104"/>
      <c r="I68" s="102"/>
      <c r="J68" s="101" t="str">
        <f t="shared" si="0"/>
        <v/>
      </c>
      <c r="K68" s="103" t="str">
        <f t="shared" si="1"/>
        <v/>
      </c>
      <c r="L68" s="92"/>
      <c r="M68" s="101" t="s">
        <v>466</v>
      </c>
      <c r="N68" s="104">
        <v>9300</v>
      </c>
      <c r="O68" s="104">
        <v>99220</v>
      </c>
      <c r="P68" s="104">
        <v>198440</v>
      </c>
      <c r="Q68" s="104">
        <v>793760</v>
      </c>
    </row>
    <row r="69" spans="2:17" hidden="1" x14ac:dyDescent="0.2">
      <c r="B69" s="101"/>
      <c r="C69" s="100"/>
      <c r="D69" s="101"/>
      <c r="E69" s="101"/>
      <c r="F69" s="101"/>
      <c r="G69" s="105"/>
      <c r="H69" s="104"/>
      <c r="I69" s="102"/>
      <c r="J69" s="101" t="str">
        <f t="shared" si="0"/>
        <v/>
      </c>
      <c r="K69" s="103" t="str">
        <f t="shared" si="1"/>
        <v/>
      </c>
      <c r="L69" s="92"/>
      <c r="M69" s="101" t="s">
        <v>467</v>
      </c>
      <c r="N69" s="104">
        <v>2456</v>
      </c>
      <c r="O69" s="104">
        <v>26200</v>
      </c>
      <c r="P69" s="104">
        <v>52400</v>
      </c>
      <c r="Q69" s="104">
        <v>209600</v>
      </c>
    </row>
    <row r="70" spans="2:17" hidden="1" x14ac:dyDescent="0.2">
      <c r="B70" s="101"/>
      <c r="C70" s="100"/>
      <c r="D70" s="101"/>
      <c r="E70" s="101"/>
      <c r="F70" s="101"/>
      <c r="G70" s="102"/>
      <c r="H70" s="104"/>
      <c r="I70" s="102"/>
      <c r="J70" s="101" t="str">
        <f t="shared" si="0"/>
        <v/>
      </c>
      <c r="K70" s="103" t="str">
        <f t="shared" si="1"/>
        <v/>
      </c>
      <c r="L70" s="92"/>
      <c r="M70" s="101" t="s">
        <v>468</v>
      </c>
      <c r="N70" s="104">
        <v>10404</v>
      </c>
      <c r="O70" s="104">
        <v>111000</v>
      </c>
      <c r="P70" s="104">
        <v>222000</v>
      </c>
      <c r="Q70" s="104">
        <v>888000</v>
      </c>
    </row>
    <row r="71" spans="2:17" hidden="1" x14ac:dyDescent="0.2">
      <c r="B71" s="101"/>
      <c r="C71" s="100"/>
      <c r="D71" s="101"/>
      <c r="E71" s="101"/>
      <c r="F71" s="101"/>
      <c r="G71" s="102"/>
      <c r="H71" s="104"/>
      <c r="I71" s="102"/>
      <c r="J71" s="101" t="str">
        <f t="shared" si="0"/>
        <v/>
      </c>
      <c r="K71" s="103" t="str">
        <f t="shared" si="1"/>
        <v/>
      </c>
      <c r="L71" s="92"/>
      <c r="M71" s="101" t="s">
        <v>469</v>
      </c>
      <c r="N71" s="104">
        <v>50146</v>
      </c>
      <c r="O71" s="104">
        <v>535000</v>
      </c>
      <c r="P71" s="104">
        <v>1070000</v>
      </c>
      <c r="Q71" s="104">
        <v>4280000</v>
      </c>
    </row>
    <row r="72" spans="2:17" hidden="1" x14ac:dyDescent="0.2">
      <c r="B72" s="101"/>
      <c r="C72" s="100"/>
      <c r="D72" s="101"/>
      <c r="E72" s="101"/>
      <c r="F72" s="101"/>
      <c r="G72" s="102"/>
      <c r="H72" s="104"/>
      <c r="I72" s="102"/>
      <c r="J72" s="101" t="str">
        <f t="shared" si="0"/>
        <v/>
      </c>
      <c r="K72" s="103" t="str">
        <f t="shared" si="1"/>
        <v/>
      </c>
      <c r="L72" s="92"/>
      <c r="M72" s="101" t="s">
        <v>470</v>
      </c>
      <c r="N72" s="104">
        <v>508954</v>
      </c>
      <c r="O72" s="104">
        <v>5430000</v>
      </c>
      <c r="P72" s="104">
        <v>10860000</v>
      </c>
      <c r="Q72" s="104">
        <v>43440000</v>
      </c>
    </row>
    <row r="73" spans="2:17" hidden="1" x14ac:dyDescent="0.2">
      <c r="B73" s="101"/>
      <c r="C73" s="100"/>
      <c r="D73" s="101"/>
      <c r="E73" s="101"/>
      <c r="F73" s="101"/>
      <c r="G73" s="102"/>
      <c r="H73" s="104"/>
      <c r="I73" s="102"/>
      <c r="J73" s="101" t="str">
        <f t="shared" si="0"/>
        <v/>
      </c>
      <c r="K73" s="103" t="str">
        <f t="shared" si="1"/>
        <v/>
      </c>
      <c r="L73" s="92"/>
      <c r="M73" s="101" t="s">
        <v>471</v>
      </c>
      <c r="N73" s="104">
        <v>199645</v>
      </c>
      <c r="O73" s="104">
        <v>2130000</v>
      </c>
      <c r="P73" s="104">
        <v>4260000</v>
      </c>
      <c r="Q73" s="104">
        <v>8520000</v>
      </c>
    </row>
    <row r="74" spans="2:17" hidden="1" x14ac:dyDescent="0.2">
      <c r="B74" s="101"/>
      <c r="C74" s="100"/>
      <c r="D74" s="101"/>
      <c r="E74" s="101"/>
      <c r="F74" s="101"/>
      <c r="G74" s="102"/>
      <c r="H74" s="104"/>
      <c r="I74" s="102"/>
      <c r="J74" s="101" t="str">
        <f t="shared" si="0"/>
        <v/>
      </c>
      <c r="K74" s="103" t="str">
        <f t="shared" si="1"/>
        <v/>
      </c>
      <c r="L74" s="92"/>
      <c r="M74" s="91"/>
      <c r="N74" s="91"/>
      <c r="O74" s="91"/>
      <c r="P74" s="91"/>
      <c r="Q74" s="91"/>
    </row>
    <row r="75" spans="2:17" hidden="1" x14ac:dyDescent="0.2">
      <c r="B75" s="101"/>
      <c r="C75" s="100"/>
      <c r="D75" s="101"/>
      <c r="E75" s="101"/>
      <c r="F75" s="101"/>
      <c r="G75" s="102"/>
      <c r="H75" s="104"/>
      <c r="I75" s="102"/>
      <c r="J75" s="101" t="str">
        <f t="shared" si="0"/>
        <v/>
      </c>
      <c r="K75" s="103" t="str">
        <f t="shared" si="1"/>
        <v/>
      </c>
      <c r="L75" s="92"/>
      <c r="M75" s="90" t="s">
        <v>472</v>
      </c>
      <c r="N75" s="91"/>
      <c r="O75" s="91"/>
      <c r="P75" s="91"/>
      <c r="Q75" s="91"/>
    </row>
    <row r="76" spans="2:17" hidden="1" x14ac:dyDescent="0.2">
      <c r="B76" s="101"/>
      <c r="C76" s="100"/>
      <c r="D76" s="101"/>
      <c r="E76" s="101"/>
      <c r="F76" s="101"/>
      <c r="G76" s="102"/>
      <c r="H76" s="104"/>
      <c r="I76" s="102"/>
      <c r="J76" s="101" t="str">
        <f t="shared" ref="J76:J101" si="2">IF(E76="","",VLOOKUP(E76,$M$11:$Q$73,VLOOKUP(B76,$S$11:$T$14,2,FALSE),FALSE))</f>
        <v/>
      </c>
      <c r="K76" s="103" t="str">
        <f t="shared" ref="K76:K101" si="3">IF(H76="","",H76/((J76/F76)/100))</f>
        <v/>
      </c>
      <c r="L76" s="92"/>
      <c r="M76" s="106" t="s">
        <v>473</v>
      </c>
      <c r="N76" s="91"/>
      <c r="O76" s="91"/>
      <c r="P76" s="91"/>
      <c r="Q76" s="91"/>
    </row>
    <row r="77" spans="2:17" hidden="1" x14ac:dyDescent="0.2">
      <c r="B77" s="101"/>
      <c r="C77" s="100"/>
      <c r="D77" s="101"/>
      <c r="E77" s="101"/>
      <c r="F77" s="101"/>
      <c r="G77" s="102"/>
      <c r="H77" s="104"/>
      <c r="I77" s="102"/>
      <c r="J77" s="101" t="str">
        <f t="shared" si="2"/>
        <v/>
      </c>
      <c r="K77" s="103" t="str">
        <f t="shared" si="3"/>
        <v/>
      </c>
      <c r="L77" s="92"/>
      <c r="M77" t="s">
        <v>474</v>
      </c>
      <c r="N77" s="91"/>
      <c r="O77" s="91"/>
      <c r="P77" s="91"/>
      <c r="Q77" s="91"/>
    </row>
    <row r="78" spans="2:17" hidden="1" x14ac:dyDescent="0.2">
      <c r="B78" s="101"/>
      <c r="C78" s="100"/>
      <c r="D78" s="101"/>
      <c r="E78" s="101"/>
      <c r="F78" s="101"/>
      <c r="G78" s="102"/>
      <c r="H78" s="104"/>
      <c r="I78" s="102"/>
      <c r="J78" s="101" t="str">
        <f t="shared" si="2"/>
        <v/>
      </c>
      <c r="K78" s="103" t="str">
        <f t="shared" si="3"/>
        <v/>
      </c>
      <c r="L78" s="92"/>
      <c r="N78" s="91"/>
      <c r="O78" s="91"/>
      <c r="P78" s="91"/>
      <c r="Q78" s="91"/>
    </row>
    <row r="79" spans="2:17" hidden="1" x14ac:dyDescent="0.2">
      <c r="B79" s="101"/>
      <c r="C79" s="100"/>
      <c r="D79" s="101"/>
      <c r="E79" s="101"/>
      <c r="F79" s="101"/>
      <c r="G79" s="102"/>
      <c r="H79" s="104"/>
      <c r="I79" s="102"/>
      <c r="J79" s="101" t="str">
        <f t="shared" si="2"/>
        <v/>
      </c>
      <c r="K79" s="103" t="str">
        <f t="shared" si="3"/>
        <v/>
      </c>
      <c r="L79" s="92"/>
      <c r="M79" s="91"/>
      <c r="N79" s="91"/>
      <c r="O79" s="91"/>
      <c r="P79" s="91"/>
      <c r="Q79" s="91"/>
    </row>
    <row r="80" spans="2:17" hidden="1" x14ac:dyDescent="0.2">
      <c r="B80" s="101"/>
      <c r="C80" s="100"/>
      <c r="D80" s="101"/>
      <c r="E80" s="101"/>
      <c r="F80" s="101"/>
      <c r="G80" s="102"/>
      <c r="H80" s="104"/>
      <c r="I80" s="102"/>
      <c r="J80" s="101" t="str">
        <f t="shared" si="2"/>
        <v/>
      </c>
      <c r="K80" s="103" t="str">
        <f t="shared" si="3"/>
        <v/>
      </c>
      <c r="L80" s="92"/>
      <c r="M80" s="91"/>
      <c r="N80" s="91"/>
      <c r="O80" s="91"/>
      <c r="P80" s="91"/>
      <c r="Q80" s="91"/>
    </row>
    <row r="81" spans="2:17" hidden="1" x14ac:dyDescent="0.2">
      <c r="B81" s="101"/>
      <c r="C81" s="100"/>
      <c r="D81" s="101"/>
      <c r="E81" s="101"/>
      <c r="F81" s="101"/>
      <c r="G81" s="102"/>
      <c r="H81" s="104"/>
      <c r="I81" s="102"/>
      <c r="J81" s="101" t="str">
        <f t="shared" si="2"/>
        <v/>
      </c>
      <c r="K81" s="103" t="str">
        <f t="shared" si="3"/>
        <v/>
      </c>
      <c r="L81" s="92"/>
      <c r="M81" s="91"/>
      <c r="N81" s="91"/>
      <c r="O81" s="91"/>
      <c r="P81" s="91"/>
      <c r="Q81" s="91"/>
    </row>
    <row r="82" spans="2:17" hidden="1" x14ac:dyDescent="0.2">
      <c r="B82" s="101"/>
      <c r="C82" s="100"/>
      <c r="D82" s="101"/>
      <c r="E82" s="101"/>
      <c r="F82" s="101"/>
      <c r="G82" s="102"/>
      <c r="H82" s="104"/>
      <c r="I82" s="102"/>
      <c r="J82" s="101" t="str">
        <f t="shared" si="2"/>
        <v/>
      </c>
      <c r="K82" s="103" t="str">
        <f t="shared" si="3"/>
        <v/>
      </c>
      <c r="L82" s="92"/>
      <c r="M82" s="91"/>
      <c r="N82" s="91"/>
      <c r="O82" s="91"/>
      <c r="P82" s="91"/>
      <c r="Q82" s="91"/>
    </row>
    <row r="83" spans="2:17" hidden="1" x14ac:dyDescent="0.2">
      <c r="B83" s="101"/>
      <c r="C83" s="100"/>
      <c r="D83" s="101"/>
      <c r="E83" s="101"/>
      <c r="F83" s="101"/>
      <c r="G83" s="102"/>
      <c r="H83" s="104"/>
      <c r="I83" s="102"/>
      <c r="J83" s="101" t="str">
        <f t="shared" si="2"/>
        <v/>
      </c>
      <c r="K83" s="103" t="str">
        <f t="shared" si="3"/>
        <v/>
      </c>
      <c r="L83" s="92"/>
      <c r="M83" s="91"/>
      <c r="N83" s="91"/>
      <c r="O83" s="91"/>
      <c r="P83" s="91"/>
      <c r="Q83" s="91"/>
    </row>
    <row r="84" spans="2:17" hidden="1" x14ac:dyDescent="0.2">
      <c r="B84" s="101"/>
      <c r="C84" s="100"/>
      <c r="D84" s="101"/>
      <c r="E84" s="101"/>
      <c r="F84" s="101"/>
      <c r="G84" s="102"/>
      <c r="H84" s="104"/>
      <c r="I84" s="102"/>
      <c r="J84" s="101" t="str">
        <f t="shared" si="2"/>
        <v/>
      </c>
      <c r="K84" s="103" t="str">
        <f t="shared" si="3"/>
        <v/>
      </c>
      <c r="L84" s="92"/>
      <c r="M84" s="91"/>
      <c r="N84" s="91"/>
      <c r="O84" s="91"/>
      <c r="P84" s="91"/>
      <c r="Q84" s="91"/>
    </row>
    <row r="85" spans="2:17" hidden="1" x14ac:dyDescent="0.2">
      <c r="B85" s="101"/>
      <c r="C85" s="100"/>
      <c r="D85" s="101"/>
      <c r="E85" s="101"/>
      <c r="F85" s="101"/>
      <c r="G85" s="102"/>
      <c r="H85" s="104"/>
      <c r="I85" s="102"/>
      <c r="J85" s="101" t="str">
        <f t="shared" si="2"/>
        <v/>
      </c>
      <c r="K85" s="103" t="str">
        <f t="shared" si="3"/>
        <v/>
      </c>
      <c r="L85" s="92"/>
      <c r="M85" s="91"/>
      <c r="N85" s="91"/>
      <c r="O85" s="91"/>
      <c r="P85" s="91"/>
      <c r="Q85" s="91"/>
    </row>
    <row r="86" spans="2:17" hidden="1" x14ac:dyDescent="0.2">
      <c r="B86" s="101"/>
      <c r="C86" s="100"/>
      <c r="D86" s="101"/>
      <c r="E86" s="101"/>
      <c r="F86" s="101"/>
      <c r="G86" s="102"/>
      <c r="H86" s="104"/>
      <c r="I86" s="102"/>
      <c r="J86" s="101" t="str">
        <f t="shared" si="2"/>
        <v/>
      </c>
      <c r="K86" s="103" t="str">
        <f t="shared" si="3"/>
        <v/>
      </c>
      <c r="L86" s="92"/>
      <c r="M86" s="91"/>
      <c r="N86" s="91"/>
      <c r="O86" s="91"/>
      <c r="P86" s="91"/>
      <c r="Q86" s="91"/>
    </row>
    <row r="87" spans="2:17" hidden="1" x14ac:dyDescent="0.2">
      <c r="B87" s="101"/>
      <c r="C87" s="100"/>
      <c r="D87" s="101"/>
      <c r="E87" s="101"/>
      <c r="F87" s="101"/>
      <c r="G87" s="102"/>
      <c r="H87" s="104"/>
      <c r="I87" s="102"/>
      <c r="J87" s="101" t="str">
        <f t="shared" si="2"/>
        <v/>
      </c>
      <c r="K87" s="103" t="str">
        <f t="shared" si="3"/>
        <v/>
      </c>
      <c r="L87" s="92"/>
      <c r="M87" s="91"/>
      <c r="N87" s="91"/>
      <c r="O87" s="91"/>
      <c r="P87" s="91"/>
      <c r="Q87" s="91"/>
    </row>
    <row r="88" spans="2:17" hidden="1" x14ac:dyDescent="0.2">
      <c r="B88" s="101"/>
      <c r="C88" s="100"/>
      <c r="D88" s="101"/>
      <c r="E88" s="101"/>
      <c r="F88" s="101"/>
      <c r="G88" s="102"/>
      <c r="H88" s="104"/>
      <c r="I88" s="102"/>
      <c r="J88" s="101" t="str">
        <f t="shared" si="2"/>
        <v/>
      </c>
      <c r="K88" s="103" t="str">
        <f t="shared" si="3"/>
        <v/>
      </c>
      <c r="L88" s="92"/>
      <c r="M88" s="91"/>
      <c r="N88" s="91"/>
      <c r="O88" s="91"/>
      <c r="P88" s="91"/>
      <c r="Q88" s="91"/>
    </row>
    <row r="89" spans="2:17" hidden="1" x14ac:dyDescent="0.2">
      <c r="B89" s="101"/>
      <c r="C89" s="100"/>
      <c r="D89" s="101"/>
      <c r="E89" s="101"/>
      <c r="F89" s="101"/>
      <c r="G89" s="102"/>
      <c r="H89" s="104"/>
      <c r="I89" s="102"/>
      <c r="J89" s="101" t="str">
        <f t="shared" si="2"/>
        <v/>
      </c>
      <c r="K89" s="103" t="str">
        <f t="shared" si="3"/>
        <v/>
      </c>
      <c r="L89" s="92"/>
      <c r="M89" s="91"/>
      <c r="N89" s="91"/>
      <c r="O89" s="91"/>
      <c r="P89" s="91"/>
      <c r="Q89" s="91"/>
    </row>
    <row r="90" spans="2:17" hidden="1" x14ac:dyDescent="0.2">
      <c r="B90" s="101"/>
      <c r="C90" s="100"/>
      <c r="D90" s="101"/>
      <c r="E90" s="101"/>
      <c r="F90" s="101"/>
      <c r="G90" s="102"/>
      <c r="H90" s="104"/>
      <c r="I90" s="102"/>
      <c r="J90" s="101" t="str">
        <f t="shared" si="2"/>
        <v/>
      </c>
      <c r="K90" s="103" t="str">
        <f t="shared" si="3"/>
        <v/>
      </c>
      <c r="L90" s="92"/>
      <c r="M90" s="91"/>
      <c r="N90" s="91"/>
      <c r="O90" s="91"/>
      <c r="P90" s="91"/>
      <c r="Q90" s="91"/>
    </row>
    <row r="91" spans="2:17" hidden="1" x14ac:dyDescent="0.2">
      <c r="B91" s="101"/>
      <c r="C91" s="100"/>
      <c r="D91" s="101"/>
      <c r="E91" s="101"/>
      <c r="F91" s="101"/>
      <c r="G91" s="102"/>
      <c r="H91" s="104"/>
      <c r="I91" s="102"/>
      <c r="J91" s="101" t="str">
        <f t="shared" si="2"/>
        <v/>
      </c>
      <c r="K91" s="103" t="str">
        <f t="shared" si="3"/>
        <v/>
      </c>
      <c r="L91" s="92"/>
      <c r="M91" s="107"/>
      <c r="N91" s="91"/>
      <c r="O91" s="91"/>
      <c r="P91" s="91"/>
      <c r="Q91" s="91"/>
    </row>
    <row r="92" spans="2:17" hidden="1" x14ac:dyDescent="0.2">
      <c r="B92" s="101"/>
      <c r="C92" s="100"/>
      <c r="D92" s="101"/>
      <c r="E92" s="101"/>
      <c r="F92" s="101"/>
      <c r="G92" s="102"/>
      <c r="H92" s="104"/>
      <c r="I92" s="102"/>
      <c r="J92" s="101" t="str">
        <f t="shared" si="2"/>
        <v/>
      </c>
      <c r="K92" s="103" t="str">
        <f t="shared" si="3"/>
        <v/>
      </c>
      <c r="L92" s="92"/>
      <c r="M92" s="107"/>
      <c r="N92" s="91"/>
      <c r="O92" s="91"/>
      <c r="P92" s="91"/>
      <c r="Q92" s="91"/>
    </row>
    <row r="93" spans="2:17" hidden="1" x14ac:dyDescent="0.2">
      <c r="B93" s="101"/>
      <c r="C93" s="100"/>
      <c r="D93" s="101"/>
      <c r="E93" s="101"/>
      <c r="F93" s="101"/>
      <c r="G93" s="102"/>
      <c r="H93" s="104"/>
      <c r="I93" s="102"/>
      <c r="J93" s="101" t="str">
        <f t="shared" si="2"/>
        <v/>
      </c>
      <c r="K93" s="103" t="str">
        <f t="shared" si="3"/>
        <v/>
      </c>
      <c r="L93" s="92"/>
      <c r="M93" s="107"/>
      <c r="N93" s="91"/>
      <c r="O93" s="91"/>
      <c r="P93" s="91"/>
      <c r="Q93" s="91"/>
    </row>
    <row r="94" spans="2:17" hidden="1" x14ac:dyDescent="0.2">
      <c r="B94" s="101"/>
      <c r="C94" s="100"/>
      <c r="D94" s="101"/>
      <c r="E94" s="101"/>
      <c r="F94" s="101"/>
      <c r="G94" s="102"/>
      <c r="H94" s="104"/>
      <c r="I94" s="102"/>
      <c r="J94" s="101" t="str">
        <f t="shared" si="2"/>
        <v/>
      </c>
      <c r="K94" s="103" t="str">
        <f t="shared" si="3"/>
        <v/>
      </c>
      <c r="L94" s="92"/>
      <c r="M94" s="107"/>
      <c r="N94" s="91"/>
      <c r="O94" s="91"/>
      <c r="P94" s="91"/>
      <c r="Q94" s="91"/>
    </row>
    <row r="95" spans="2:17" hidden="1" x14ac:dyDescent="0.2">
      <c r="B95" s="101"/>
      <c r="C95" s="100"/>
      <c r="D95" s="101"/>
      <c r="E95" s="101"/>
      <c r="F95" s="101"/>
      <c r="G95" s="102"/>
      <c r="H95" s="104"/>
      <c r="I95" s="102"/>
      <c r="J95" s="101" t="str">
        <f t="shared" si="2"/>
        <v/>
      </c>
      <c r="K95" s="103" t="str">
        <f t="shared" si="3"/>
        <v/>
      </c>
      <c r="L95" s="92"/>
      <c r="M95" s="107"/>
      <c r="N95" s="91"/>
      <c r="O95" s="91"/>
      <c r="P95" s="91"/>
      <c r="Q95" s="91"/>
    </row>
    <row r="96" spans="2:17" hidden="1" x14ac:dyDescent="0.2">
      <c r="B96" s="101"/>
      <c r="C96" s="100"/>
      <c r="D96" s="101"/>
      <c r="E96" s="101"/>
      <c r="F96" s="101"/>
      <c r="G96" s="102"/>
      <c r="H96" s="104"/>
      <c r="I96" s="102"/>
      <c r="J96" s="101" t="str">
        <f t="shared" si="2"/>
        <v/>
      </c>
      <c r="K96" s="103" t="str">
        <f t="shared" si="3"/>
        <v/>
      </c>
      <c r="L96" s="92"/>
      <c r="M96" s="107"/>
      <c r="N96" s="91"/>
      <c r="O96" s="91"/>
      <c r="P96" s="91"/>
      <c r="Q96" s="91"/>
    </row>
    <row r="97" spans="2:17" hidden="1" x14ac:dyDescent="0.2">
      <c r="B97" s="101"/>
      <c r="C97" s="100"/>
      <c r="D97" s="101"/>
      <c r="E97" s="101"/>
      <c r="F97" s="101"/>
      <c r="G97" s="102"/>
      <c r="H97" s="104"/>
      <c r="I97" s="102"/>
      <c r="J97" s="101" t="str">
        <f t="shared" si="2"/>
        <v/>
      </c>
      <c r="K97" s="103" t="str">
        <f t="shared" si="3"/>
        <v/>
      </c>
      <c r="L97" s="92"/>
      <c r="M97" s="107"/>
      <c r="N97" s="91"/>
      <c r="O97" s="91"/>
      <c r="P97" s="91"/>
      <c r="Q97" s="91"/>
    </row>
    <row r="98" spans="2:17" hidden="1" x14ac:dyDescent="0.2">
      <c r="B98" s="101"/>
      <c r="C98" s="100"/>
      <c r="D98" s="101"/>
      <c r="E98" s="101"/>
      <c r="F98" s="101"/>
      <c r="G98" s="102"/>
      <c r="H98" s="104"/>
      <c r="I98" s="102"/>
      <c r="J98" s="101" t="str">
        <f t="shared" si="2"/>
        <v/>
      </c>
      <c r="K98" s="103" t="str">
        <f t="shared" si="3"/>
        <v/>
      </c>
      <c r="L98" s="92"/>
      <c r="M98" s="107"/>
      <c r="N98" s="91"/>
      <c r="O98" s="91"/>
      <c r="P98" s="91"/>
      <c r="Q98" s="91"/>
    </row>
    <row r="99" spans="2:17" hidden="1" x14ac:dyDescent="0.2">
      <c r="B99" s="101"/>
      <c r="C99" s="100"/>
      <c r="D99" s="101"/>
      <c r="E99" s="101"/>
      <c r="F99" s="101"/>
      <c r="G99" s="102"/>
      <c r="H99" s="104"/>
      <c r="I99" s="102"/>
      <c r="J99" s="101" t="str">
        <f t="shared" si="2"/>
        <v/>
      </c>
      <c r="K99" s="103" t="str">
        <f t="shared" si="3"/>
        <v/>
      </c>
      <c r="L99" s="92"/>
      <c r="M99" s="107"/>
      <c r="N99" s="91"/>
      <c r="O99" s="91"/>
      <c r="P99" s="91"/>
      <c r="Q99" s="91"/>
    </row>
    <row r="100" spans="2:17" hidden="1" x14ac:dyDescent="0.2">
      <c r="B100" s="101"/>
      <c r="C100" s="100"/>
      <c r="D100" s="101"/>
      <c r="E100" s="101"/>
      <c r="F100" s="101"/>
      <c r="G100" s="102"/>
      <c r="H100" s="104"/>
      <c r="I100" s="102"/>
      <c r="J100" s="101" t="str">
        <f t="shared" si="2"/>
        <v/>
      </c>
      <c r="K100" s="103" t="str">
        <f t="shared" si="3"/>
        <v/>
      </c>
      <c r="L100" s="92"/>
      <c r="M100" s="107"/>
      <c r="N100" s="91"/>
      <c r="O100" s="91"/>
      <c r="P100" s="91"/>
      <c r="Q100" s="91"/>
    </row>
    <row r="101" spans="2:17" hidden="1" x14ac:dyDescent="0.2">
      <c r="B101" s="101"/>
      <c r="C101" s="100"/>
      <c r="D101" s="101"/>
      <c r="E101" s="101"/>
      <c r="F101" s="101"/>
      <c r="G101" s="102"/>
      <c r="H101" s="104"/>
      <c r="I101" s="102"/>
      <c r="J101" s="101" t="str">
        <f t="shared" si="2"/>
        <v/>
      </c>
      <c r="K101" s="103" t="str">
        <f t="shared" si="3"/>
        <v/>
      </c>
      <c r="L101" s="92"/>
      <c r="M101" s="107"/>
      <c r="N101" s="91"/>
      <c r="O101" s="91"/>
      <c r="P101" s="91"/>
      <c r="Q101" s="91"/>
    </row>
    <row r="102" spans="2:17" x14ac:dyDescent="0.2">
      <c r="B102" s="90"/>
      <c r="C102" s="91"/>
      <c r="D102" s="91"/>
      <c r="E102" s="91"/>
      <c r="F102" s="91"/>
      <c r="G102" s="92"/>
      <c r="H102" s="91"/>
      <c r="I102" s="92"/>
      <c r="J102" s="92"/>
      <c r="K102" s="92"/>
      <c r="L102" s="92"/>
      <c r="M102" s="91"/>
      <c r="N102" s="91"/>
      <c r="O102" s="91"/>
      <c r="P102" s="91"/>
      <c r="Q102" s="91"/>
    </row>
  </sheetData>
  <dataValidations count="4">
    <dataValidation type="list" allowBlank="1" showInputMessage="1" showErrorMessage="1" sqref="D11:D101">
      <formula1>"on,off"</formula1>
    </dataValidation>
    <dataValidation type="list" allowBlank="1" showInputMessage="1" showErrorMessage="1" sqref="B11:B101">
      <formula1>"LV,RV,HA,HB"</formula1>
    </dataValidation>
    <dataValidation type="list" showInputMessage="1" sqref="E11:E101">
      <formula1>$M$11:$M$73</formula1>
    </dataValidation>
    <dataValidation type="decimal" allowBlank="1" showInputMessage="1" showErrorMessage="1" sqref="F11:F101">
      <formula1>0.1</formula1>
      <formula2>200</formula2>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Attachments"/>
  <dimension ref="A1"/>
  <sheetViews>
    <sheetView workbookViewId="0">
      <selection activeCell="B4" sqref="B4"/>
    </sheetView>
  </sheetViews>
  <sheetFormatPr defaultRowHeight="12.75" x14ac:dyDescent="0.2"/>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Sheet"/>
  <dimension ref="B2:B5"/>
  <sheetViews>
    <sheetView showGridLines="0" workbookViewId="0">
      <selection activeCell="D20" sqref="D20"/>
    </sheetView>
  </sheetViews>
  <sheetFormatPr defaultColWidth="9.140625" defaultRowHeight="12.75" x14ac:dyDescent="0.2"/>
  <cols>
    <col min="1" max="1" width="3.7109375" style="12" customWidth="1"/>
    <col min="2" max="16384" width="9.140625" style="12"/>
  </cols>
  <sheetData>
    <row r="2" spans="2:2" ht="23.25" x14ac:dyDescent="0.2">
      <c r="B2" s="35" t="s">
        <v>67</v>
      </c>
    </row>
    <row r="4" spans="2:2" ht="13.5" thickBot="1" x14ac:dyDescent="0.25">
      <c r="B4" s="56" t="s">
        <v>114</v>
      </c>
    </row>
    <row r="5" spans="2:2" ht="13.5" thickTop="1" x14ac:dyDescent="0.2"/>
  </sheetData>
  <phoneticPr fontId="1" type="noConversion"/>
  <pageMargins left="0.75" right="0.75" top="1" bottom="1" header="0.5" footer="0.5"/>
  <pageSetup orientation="portrait" horizontalDpi="1200" verticalDpi="1200" r:id="rId1"/>
  <headerFooter alignWithMargins="0">
    <oddHeader>&amp;L&amp;A&amp;C&amp;F&amp;R&amp;D
&amp;T
EE Print
&amp;T
EE</oddHeader>
    <oddFooter>&amp;L&amp;A&amp;C&amp;F&amp;RPage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LCMethod"/>
  <dimension ref="B2:J27"/>
  <sheetViews>
    <sheetView showGridLines="0" workbookViewId="0"/>
  </sheetViews>
  <sheetFormatPr defaultColWidth="9.140625" defaultRowHeight="12.75" x14ac:dyDescent="0.2"/>
  <cols>
    <col min="1" max="1" width="3.7109375" style="2" customWidth="1"/>
    <col min="2" max="2" width="23.85546875" style="2" customWidth="1"/>
    <col min="3" max="3" width="28.140625" style="2" customWidth="1"/>
    <col min="4" max="5" width="8.85546875" style="2" customWidth="1"/>
    <col min="6" max="6" width="11.7109375" style="2" customWidth="1"/>
    <col min="7" max="10" width="7.7109375" style="2" customWidth="1"/>
    <col min="11" max="11" width="10" style="2" customWidth="1"/>
    <col min="12" max="12" width="10.28515625" style="2" bestFit="1" customWidth="1"/>
    <col min="13" max="16384" width="9.140625" style="2"/>
  </cols>
  <sheetData>
    <row r="2" spans="2:10" ht="23.25" x14ac:dyDescent="0.2">
      <c r="B2" s="35" t="s">
        <v>488</v>
      </c>
      <c r="C2" s="13"/>
      <c r="D2" s="12"/>
      <c r="E2" s="12"/>
      <c r="F2" s="12"/>
      <c r="G2" s="12"/>
      <c r="H2" s="12"/>
      <c r="I2" s="12"/>
      <c r="J2" s="5"/>
    </row>
    <row r="3" spans="2:10" x14ac:dyDescent="0.2">
      <c r="B3" s="12"/>
      <c r="C3" s="12"/>
      <c r="D3" s="12"/>
      <c r="E3" s="12"/>
      <c r="F3" s="12"/>
      <c r="G3" s="12"/>
      <c r="H3" s="12"/>
      <c r="I3" s="12"/>
      <c r="J3" s="5"/>
    </row>
    <row r="4" spans="2:10" ht="13.5" thickBot="1" x14ac:dyDescent="0.25">
      <c r="B4" s="56" t="s">
        <v>114</v>
      </c>
    </row>
    <row r="5" spans="2:10" ht="13.5" thickTop="1" x14ac:dyDescent="0.2">
      <c r="C5" s="12"/>
    </row>
    <row r="6" spans="2:10" ht="15.75" x14ac:dyDescent="0.25">
      <c r="B6" s="42" t="s">
        <v>80</v>
      </c>
      <c r="F6" s="42" t="s">
        <v>81</v>
      </c>
    </row>
    <row r="7" spans="2:10" x14ac:dyDescent="0.2">
      <c r="B7" s="45" t="s">
        <v>58</v>
      </c>
      <c r="C7" s="44"/>
      <c r="D7" s="22"/>
      <c r="F7" s="27" t="s">
        <v>82</v>
      </c>
      <c r="G7" s="27" t="s">
        <v>45</v>
      </c>
      <c r="H7" s="27" t="s">
        <v>46</v>
      </c>
      <c r="I7" s="27" t="s">
        <v>86</v>
      </c>
      <c r="J7" s="27" t="s">
        <v>87</v>
      </c>
    </row>
    <row r="8" spans="2:10" x14ac:dyDescent="0.2">
      <c r="B8" s="45" t="s">
        <v>21</v>
      </c>
      <c r="C8" s="44"/>
      <c r="D8" s="22"/>
      <c r="F8" s="25"/>
      <c r="G8" s="26"/>
      <c r="H8" s="26"/>
      <c r="I8" s="26"/>
      <c r="J8" s="43" t="str">
        <f>IF(AND(ISNUMBER(G8),ISNUMBER(H8),G8+H8&lt;&gt;100),100-SUM(G8:I8),"")</f>
        <v/>
      </c>
    </row>
    <row r="9" spans="2:10" x14ac:dyDescent="0.2">
      <c r="B9" s="45" t="s">
        <v>57</v>
      </c>
      <c r="C9" s="44"/>
      <c r="D9" s="22"/>
      <c r="F9" s="25"/>
      <c r="G9" s="26"/>
      <c r="H9" s="26"/>
      <c r="I9" s="26"/>
      <c r="J9" s="43" t="str">
        <f t="shared" ref="J9:J17" si="0">IF(AND(ISNUMBER(G9),ISNUMBER(H9),G9+H9&lt;&gt;100),100-SUM(G9:I9),"")</f>
        <v/>
      </c>
    </row>
    <row r="10" spans="2:10" x14ac:dyDescent="0.2">
      <c r="B10" s="45" t="s">
        <v>118</v>
      </c>
      <c r="C10" s="44"/>
      <c r="F10" s="25"/>
      <c r="G10" s="26"/>
      <c r="H10" s="26"/>
      <c r="I10" s="26"/>
      <c r="J10" s="43" t="str">
        <f t="shared" si="0"/>
        <v/>
      </c>
    </row>
    <row r="11" spans="2:10" x14ac:dyDescent="0.2">
      <c r="B11" s="45" t="s">
        <v>18</v>
      </c>
      <c r="C11" s="44"/>
      <c r="F11" s="25"/>
      <c r="G11" s="26"/>
      <c r="H11" s="26"/>
      <c r="I11" s="26"/>
      <c r="J11" s="43" t="str">
        <f t="shared" si="0"/>
        <v/>
      </c>
    </row>
    <row r="12" spans="2:10" x14ac:dyDescent="0.2">
      <c r="B12" s="45" t="s">
        <v>19</v>
      </c>
      <c r="C12" s="44"/>
      <c r="D12" s="22"/>
      <c r="F12" s="25"/>
      <c r="G12" s="26"/>
      <c r="H12" s="26"/>
      <c r="I12" s="26"/>
      <c r="J12" s="43" t="str">
        <f t="shared" si="0"/>
        <v/>
      </c>
    </row>
    <row r="13" spans="2:10" x14ac:dyDescent="0.2">
      <c r="B13" s="45" t="s">
        <v>490</v>
      </c>
      <c r="C13" s="44"/>
      <c r="D13" s="22"/>
      <c r="F13" s="25"/>
      <c r="G13" s="26"/>
      <c r="H13" s="26"/>
      <c r="I13" s="26"/>
      <c r="J13" s="43" t="str">
        <f t="shared" si="0"/>
        <v/>
      </c>
    </row>
    <row r="14" spans="2:10" x14ac:dyDescent="0.2">
      <c r="B14" s="45" t="s">
        <v>491</v>
      </c>
      <c r="C14" s="44"/>
      <c r="D14" s="22"/>
      <c r="F14" s="25"/>
      <c r="G14" s="26"/>
      <c r="H14" s="26"/>
      <c r="I14" s="26"/>
      <c r="J14" s="43" t="str">
        <f t="shared" si="0"/>
        <v/>
      </c>
    </row>
    <row r="15" spans="2:10" x14ac:dyDescent="0.2">
      <c r="B15" s="45" t="s">
        <v>61</v>
      </c>
      <c r="C15" s="44"/>
      <c r="D15" s="22"/>
      <c r="F15" s="25"/>
      <c r="G15" s="26"/>
      <c r="H15" s="26"/>
      <c r="I15" s="26"/>
      <c r="J15" s="43" t="str">
        <f t="shared" si="0"/>
        <v/>
      </c>
    </row>
    <row r="16" spans="2:10" x14ac:dyDescent="0.2">
      <c r="B16" s="45" t="s">
        <v>63</v>
      </c>
      <c r="C16" s="44"/>
      <c r="D16" s="22"/>
      <c r="F16" s="25"/>
      <c r="G16" s="26"/>
      <c r="H16" s="26"/>
      <c r="I16" s="26"/>
      <c r="J16" s="43" t="str">
        <f t="shared" si="0"/>
        <v/>
      </c>
    </row>
    <row r="17" spans="2:10" x14ac:dyDescent="0.2">
      <c r="B17" s="45" t="s">
        <v>62</v>
      </c>
      <c r="C17" s="44"/>
      <c r="D17" s="22"/>
      <c r="F17" s="25"/>
      <c r="G17" s="26"/>
      <c r="H17" s="26"/>
      <c r="I17" s="26"/>
      <c r="J17" s="43" t="str">
        <f t="shared" si="0"/>
        <v/>
      </c>
    </row>
    <row r="18" spans="2:10" x14ac:dyDescent="0.2">
      <c r="B18" s="45" t="s">
        <v>43</v>
      </c>
      <c r="C18" s="44"/>
    </row>
    <row r="19" spans="2:10" x14ac:dyDescent="0.2">
      <c r="D19" s="22"/>
    </row>
    <row r="20" spans="2:10" ht="42" customHeight="1" x14ac:dyDescent="0.25">
      <c r="B20" s="42" t="s">
        <v>117</v>
      </c>
      <c r="C20" s="42"/>
    </row>
    <row r="21" spans="2:10" ht="40.15" customHeight="1" x14ac:dyDescent="0.2">
      <c r="B21" s="131"/>
      <c r="C21" s="131"/>
      <c r="D21" s="131"/>
      <c r="E21" s="131"/>
      <c r="F21" s="131"/>
      <c r="G21" s="131"/>
      <c r="H21" s="131"/>
      <c r="I21" s="131"/>
      <c r="J21" s="131"/>
    </row>
    <row r="22" spans="2:10" x14ac:dyDescent="0.2">
      <c r="B22" s="36"/>
    </row>
    <row r="23" spans="2:10" ht="15.75" x14ac:dyDescent="0.25">
      <c r="B23" s="42" t="s">
        <v>116</v>
      </c>
      <c r="F23" s="34"/>
      <c r="G23" s="34"/>
      <c r="H23" s="34"/>
      <c r="I23" s="34"/>
      <c r="J23" s="34"/>
    </row>
    <row r="24" spans="2:10" ht="40.15" customHeight="1" x14ac:dyDescent="0.2">
      <c r="B24" s="131"/>
      <c r="C24" s="131"/>
      <c r="D24" s="131"/>
      <c r="E24" s="131"/>
      <c r="F24" s="131"/>
      <c r="G24" s="131"/>
      <c r="H24" s="131"/>
      <c r="I24" s="131"/>
      <c r="J24" s="131"/>
    </row>
    <row r="26" spans="2:10" ht="15.75" x14ac:dyDescent="0.25">
      <c r="B26" s="42" t="s">
        <v>487</v>
      </c>
    </row>
    <row r="27" spans="2:10" ht="40.15" customHeight="1" x14ac:dyDescent="0.2">
      <c r="B27" s="132"/>
      <c r="C27" s="133"/>
      <c r="D27" s="133"/>
      <c r="E27" s="133"/>
      <c r="F27" s="133"/>
      <c r="G27" s="133"/>
      <c r="H27" s="133"/>
      <c r="I27" s="133"/>
      <c r="J27" s="134"/>
    </row>
  </sheetData>
  <mergeCells count="3">
    <mergeCell ref="B21:J21"/>
    <mergeCell ref="B24:J24"/>
    <mergeCell ref="B27:J27"/>
  </mergeCells>
  <phoneticPr fontId="1" type="noConversion"/>
  <dataValidations count="4">
    <dataValidation type="list" showInputMessage="1" sqref="C7">
      <formula1>hidden_LCStationary</formula1>
    </dataValidation>
    <dataValidation type="list" showInputMessage="1" sqref="C8">
      <formula1>hidden_LCDimension</formula1>
    </dataValidation>
    <dataValidation type="list" showInputMessage="1" sqref="C9">
      <formula1>hidden_LCManufacturer</formula1>
    </dataValidation>
    <dataValidation type="list" showInputMessage="1" sqref="C18">
      <formula1>"isocratic,gradient"</formula1>
    </dataValidation>
  </dataValidations>
  <pageMargins left="0.75" right="0.75" top="1" bottom="1" header="0.5" footer="0.5"/>
  <pageSetup orientation="portrait" horizontalDpi="1200" verticalDpi="1200" r:id="rId1"/>
  <headerFooter alignWithMargins="0">
    <oddHeader>&amp;L&amp;A&amp;C&amp;F&amp;R&amp;D
&amp;T
EE Print
&amp;T
EE</oddHeader>
    <oddFooter>&amp;L&amp;A&amp;C&amp;F&amp;RPage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GCMethod"/>
  <dimension ref="B2:L38"/>
  <sheetViews>
    <sheetView showGridLines="0" workbookViewId="0">
      <selection activeCell="A2" sqref="A2"/>
    </sheetView>
  </sheetViews>
  <sheetFormatPr defaultColWidth="9.140625" defaultRowHeight="12.75" x14ac:dyDescent="0.2"/>
  <cols>
    <col min="1" max="1" width="3.7109375" style="2" customWidth="1"/>
    <col min="2" max="2" width="22.7109375" style="2" customWidth="1"/>
    <col min="3" max="3" width="9.140625" style="2" customWidth="1"/>
    <col min="4" max="5" width="8.85546875" style="2" customWidth="1"/>
    <col min="6" max="6" width="7.5703125" style="2" bestFit="1" customWidth="1"/>
    <col min="7" max="7" width="8.5703125" style="2" customWidth="1"/>
    <col min="8" max="8" width="8.85546875" style="2" bestFit="1" customWidth="1"/>
    <col min="9" max="9" width="9" style="2" bestFit="1" customWidth="1"/>
    <col min="10" max="10" width="9.5703125" style="2" bestFit="1" customWidth="1"/>
    <col min="11" max="16384" width="9.140625" style="2"/>
  </cols>
  <sheetData>
    <row r="2" spans="2:10" ht="23.25" x14ac:dyDescent="0.2">
      <c r="B2" s="35" t="s">
        <v>489</v>
      </c>
      <c r="C2" s="13"/>
      <c r="F2" s="12"/>
      <c r="G2" s="12"/>
      <c r="H2" s="12"/>
      <c r="I2" s="12"/>
      <c r="J2" s="5"/>
    </row>
    <row r="3" spans="2:10" x14ac:dyDescent="0.2">
      <c r="B3" s="12"/>
      <c r="C3" s="12"/>
      <c r="F3" s="12"/>
      <c r="G3" s="12"/>
      <c r="H3" s="12"/>
      <c r="I3" s="12"/>
      <c r="J3" s="5"/>
    </row>
    <row r="4" spans="2:10" ht="13.5" thickBot="1" x14ac:dyDescent="0.25">
      <c r="B4" s="56" t="s">
        <v>114</v>
      </c>
      <c r="C4" s="12"/>
    </row>
    <row r="5" spans="2:10" ht="13.5" thickTop="1" x14ac:dyDescent="0.2">
      <c r="C5" s="12"/>
    </row>
    <row r="6" spans="2:10" ht="15.75" x14ac:dyDescent="0.25">
      <c r="B6" s="110" t="s">
        <v>80</v>
      </c>
      <c r="C6"/>
      <c r="D6"/>
      <c r="E6"/>
      <c r="F6"/>
      <c r="G6"/>
    </row>
    <row r="7" spans="2:10" x14ac:dyDescent="0.2">
      <c r="B7" s="111" t="s">
        <v>58</v>
      </c>
      <c r="C7" s="135"/>
      <c r="D7" s="135"/>
      <c r="E7" s="135"/>
      <c r="F7" s="135"/>
      <c r="G7" s="135"/>
    </row>
    <row r="8" spans="2:10" x14ac:dyDescent="0.2">
      <c r="B8" s="111" t="s">
        <v>21</v>
      </c>
      <c r="C8" s="135"/>
      <c r="D8" s="135"/>
      <c r="E8" s="135"/>
      <c r="F8" s="135"/>
      <c r="G8" s="135"/>
    </row>
    <row r="9" spans="2:10" x14ac:dyDescent="0.2">
      <c r="B9" s="111" t="s">
        <v>57</v>
      </c>
      <c r="C9" s="136"/>
      <c r="D9" s="137"/>
      <c r="E9" s="137"/>
      <c r="F9" s="137"/>
      <c r="G9" s="138"/>
    </row>
    <row r="10" spans="2:10" x14ac:dyDescent="0.2">
      <c r="B10"/>
      <c r="C10"/>
      <c r="D10"/>
      <c r="E10"/>
      <c r="F10"/>
      <c r="G10"/>
    </row>
    <row r="11" spans="2:10" x14ac:dyDescent="0.2">
      <c r="B11" s="111" t="s">
        <v>56</v>
      </c>
      <c r="C11" s="112"/>
      <c r="D11"/>
      <c r="E11"/>
      <c r="F11" s="111" t="s">
        <v>85</v>
      </c>
      <c r="G11" s="112"/>
    </row>
    <row r="12" spans="2:10" x14ac:dyDescent="0.2">
      <c r="B12" s="111" t="s">
        <v>480</v>
      </c>
      <c r="C12" s="113"/>
      <c r="D12"/>
      <c r="E12"/>
      <c r="F12" s="111" t="s">
        <v>84</v>
      </c>
      <c r="G12" s="112"/>
    </row>
    <row r="13" spans="2:10" x14ac:dyDescent="0.2">
      <c r="B13" s="111" t="s">
        <v>61</v>
      </c>
      <c r="C13" s="113"/>
      <c r="D13"/>
      <c r="E13"/>
      <c r="F13" s="111" t="s">
        <v>481</v>
      </c>
      <c r="G13" s="112"/>
    </row>
    <row r="14" spans="2:10" x14ac:dyDescent="0.2">
      <c r="B14" s="111" t="s">
        <v>83</v>
      </c>
      <c r="C14" s="112"/>
      <c r="D14"/>
      <c r="E14"/>
      <c r="F14" s="111" t="s">
        <v>482</v>
      </c>
      <c r="G14" s="112"/>
    </row>
    <row r="15" spans="2:10" x14ac:dyDescent="0.2">
      <c r="B15" s="111" t="s">
        <v>88</v>
      </c>
      <c r="C15" s="114"/>
      <c r="D15"/>
      <c r="E15"/>
      <c r="F15" s="111" t="s">
        <v>483</v>
      </c>
      <c r="G15" s="112"/>
    </row>
    <row r="16" spans="2:10" x14ac:dyDescent="0.2">
      <c r="B16" s="111" t="s">
        <v>484</v>
      </c>
      <c r="C16" s="112"/>
      <c r="D16"/>
      <c r="E16"/>
      <c r="F16"/>
      <c r="G16"/>
    </row>
    <row r="17" spans="2:12" x14ac:dyDescent="0.2">
      <c r="B17" s="111" t="s">
        <v>59</v>
      </c>
      <c r="C17" s="115"/>
      <c r="D17"/>
      <c r="E17"/>
      <c r="F17" s="111" t="s">
        <v>77</v>
      </c>
      <c r="G17" s="112"/>
    </row>
    <row r="18" spans="2:12" x14ac:dyDescent="0.2">
      <c r="B18" s="111" t="s">
        <v>60</v>
      </c>
      <c r="C18" s="112"/>
      <c r="D18"/>
      <c r="E18"/>
      <c r="F18"/>
      <c r="G18"/>
    </row>
    <row r="19" spans="2:12" x14ac:dyDescent="0.2">
      <c r="B19" s="111" t="s">
        <v>485</v>
      </c>
      <c r="C19" s="139"/>
      <c r="D19" s="139"/>
      <c r="E19"/>
      <c r="F19"/>
      <c r="G19"/>
    </row>
    <row r="20" spans="2:12" x14ac:dyDescent="0.2">
      <c r="B20"/>
      <c r="C20"/>
      <c r="G20"/>
    </row>
    <row r="21" spans="2:12" ht="15.75" x14ac:dyDescent="0.25">
      <c r="B21" s="116" t="s">
        <v>81</v>
      </c>
      <c r="G21"/>
      <c r="K21" s="24"/>
      <c r="L21" s="24"/>
    </row>
    <row r="22" spans="2:12" ht="22.5" x14ac:dyDescent="0.2">
      <c r="B22" s="117"/>
      <c r="C22" s="23" t="s">
        <v>486</v>
      </c>
      <c r="D22" s="23" t="s">
        <v>47</v>
      </c>
      <c r="E22" s="23" t="s">
        <v>48</v>
      </c>
      <c r="F22" s="23" t="s">
        <v>44</v>
      </c>
      <c r="G22"/>
    </row>
    <row r="23" spans="2:12" ht="12.75" customHeight="1" x14ac:dyDescent="0.2">
      <c r="B23" s="118" t="s">
        <v>49</v>
      </c>
      <c r="C23" s="119"/>
      <c r="D23" s="120"/>
      <c r="E23" s="120"/>
      <c r="F23" s="121" t="str">
        <f>IF(ISNUMBER(E23),E23,"")</f>
        <v/>
      </c>
      <c r="G23"/>
    </row>
    <row r="24" spans="2:12" x14ac:dyDescent="0.2">
      <c r="B24" s="118" t="s">
        <v>50</v>
      </c>
      <c r="C24" s="120"/>
      <c r="D24" s="120"/>
      <c r="E24" s="120"/>
      <c r="F24" s="121" t="str">
        <f>IF(AND(ISNUMBER(F23),ISNUMBER(D24),ISNUMBER(D23),ISNUMBER(C24),ISNUMBER(E24)),F23+(((D24-D23)/C24)+E24),"")</f>
        <v/>
      </c>
      <c r="G24"/>
    </row>
    <row r="25" spans="2:12" hidden="1" x14ac:dyDescent="0.2">
      <c r="B25" s="118" t="s">
        <v>51</v>
      </c>
      <c r="C25" s="120"/>
      <c r="D25" s="120"/>
      <c r="E25" s="120"/>
      <c r="F25" s="121" t="str">
        <f t="shared" ref="F25:F29" si="0">IF(AND(ISNUMBER(F24),ISNUMBER(D25),ISNUMBER(D24),ISNUMBER(C25),ISNUMBER(E25)),F24+(((D25-D24)/C25)+E25),"")</f>
        <v/>
      </c>
      <c r="G25"/>
    </row>
    <row r="26" spans="2:12" hidden="1" x14ac:dyDescent="0.2">
      <c r="B26" s="118" t="s">
        <v>52</v>
      </c>
      <c r="C26" s="120"/>
      <c r="D26" s="120"/>
      <c r="E26" s="120"/>
      <c r="F26" s="121" t="str">
        <f t="shared" si="0"/>
        <v/>
      </c>
      <c r="G26"/>
    </row>
    <row r="27" spans="2:12" hidden="1" x14ac:dyDescent="0.2">
      <c r="B27" s="118" t="s">
        <v>53</v>
      </c>
      <c r="C27" s="120"/>
      <c r="D27" s="120"/>
      <c r="E27" s="120"/>
      <c r="F27" s="121" t="str">
        <f t="shared" si="0"/>
        <v/>
      </c>
      <c r="G27"/>
    </row>
    <row r="28" spans="2:12" hidden="1" x14ac:dyDescent="0.2">
      <c r="B28" s="118" t="s">
        <v>54</v>
      </c>
      <c r="C28" s="120"/>
      <c r="D28" s="120"/>
      <c r="E28" s="120"/>
      <c r="F28" s="121" t="str">
        <f t="shared" si="0"/>
        <v/>
      </c>
      <c r="G28"/>
    </row>
    <row r="29" spans="2:12" hidden="1" x14ac:dyDescent="0.2">
      <c r="B29" s="118" t="s">
        <v>55</v>
      </c>
      <c r="C29" s="120"/>
      <c r="D29" s="120"/>
      <c r="E29" s="120"/>
      <c r="F29" s="121" t="str">
        <f t="shared" si="0"/>
        <v/>
      </c>
      <c r="G29"/>
    </row>
    <row r="30" spans="2:12" x14ac:dyDescent="0.2">
      <c r="B30"/>
      <c r="C30"/>
      <c r="D30"/>
      <c r="E30" s="118" t="s">
        <v>115</v>
      </c>
      <c r="F30" s="121" t="str">
        <f>IF(MAX(F23:F25)=0,"",MAX(F23:F25))</f>
        <v/>
      </c>
      <c r="G30"/>
    </row>
    <row r="31" spans="2:12" ht="15.75" x14ac:dyDescent="0.25">
      <c r="B31" s="42" t="s">
        <v>117</v>
      </c>
    </row>
    <row r="32" spans="2:12" ht="40.15" customHeight="1" x14ac:dyDescent="0.2">
      <c r="B32" s="132"/>
      <c r="C32" s="133"/>
      <c r="D32" s="133"/>
      <c r="E32" s="133"/>
      <c r="F32" s="133"/>
      <c r="G32" s="133"/>
      <c r="H32" s="133"/>
      <c r="I32" s="133"/>
      <c r="J32" s="134"/>
    </row>
    <row r="34" spans="2:10" ht="15.75" x14ac:dyDescent="0.25">
      <c r="B34" s="42" t="s">
        <v>116</v>
      </c>
    </row>
    <row r="35" spans="2:10" ht="40.15" customHeight="1" x14ac:dyDescent="0.2">
      <c r="B35" s="132"/>
      <c r="C35" s="133"/>
      <c r="D35" s="133"/>
      <c r="E35" s="133"/>
      <c r="F35" s="133"/>
      <c r="G35" s="133"/>
      <c r="H35" s="133"/>
      <c r="I35" s="133"/>
      <c r="J35" s="134"/>
    </row>
    <row r="37" spans="2:10" ht="15.75" x14ac:dyDescent="0.25">
      <c r="B37" s="42" t="s">
        <v>487</v>
      </c>
    </row>
    <row r="38" spans="2:10" ht="40.15" customHeight="1" x14ac:dyDescent="0.2">
      <c r="B38" s="132"/>
      <c r="C38" s="133"/>
      <c r="D38" s="133"/>
      <c r="E38" s="133"/>
      <c r="F38" s="133"/>
      <c r="G38" s="133"/>
      <c r="H38" s="133"/>
      <c r="I38" s="133"/>
      <c r="J38" s="134"/>
    </row>
  </sheetData>
  <mergeCells count="7">
    <mergeCell ref="B38:J38"/>
    <mergeCell ref="B32:J32"/>
    <mergeCell ref="B35:J35"/>
    <mergeCell ref="C7:G7"/>
    <mergeCell ref="C8:G8"/>
    <mergeCell ref="C9:G9"/>
    <mergeCell ref="C19:D19"/>
  </mergeCells>
  <phoneticPr fontId="1" type="noConversion"/>
  <dataValidations count="6">
    <dataValidation type="list" allowBlank="1" showInputMessage="1" showErrorMessage="1" sqref="G17">
      <formula1>"Gradient,Isothermal"</formula1>
    </dataValidation>
    <dataValidation type="list" showInputMessage="1" sqref="C14">
      <formula1>"Split,Splitless,Headspace"</formula1>
    </dataValidation>
    <dataValidation type="list" allowBlank="1" showInputMessage="1" showErrorMessage="1" sqref="C11">
      <formula1>"Helium, Hydrogen, Nitrogen"</formula1>
    </dataValidation>
    <dataValidation type="list" showInputMessage="1" sqref="C7:G7">
      <formula1>hidden_GCStationary</formula1>
    </dataValidation>
    <dataValidation showInputMessage="1" showErrorMessage="1" sqref="C8:G8"/>
    <dataValidation type="list" showInputMessage="1" sqref="C9:G9">
      <formula1>hidden_GCManufacturer</formula1>
    </dataValidation>
  </dataValidations>
  <pageMargins left="0.75" right="0.75" top="1" bottom="1" header="0.5" footer="0.5"/>
  <pageSetup orientation="portrait" horizontalDpi="1200" verticalDpi="1200" r:id="rId1"/>
  <headerFooter alignWithMargins="0">
    <oddHeader>&amp;L&amp;A&amp;C&amp;F&amp;R&amp;D
&amp;T
EE Print
&amp;T
EE</oddHeader>
    <oddFooter>&amp;L&amp;A&amp;C&amp;F&amp;RPage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HiddenSheet"/>
  <dimension ref="B2:AJ84"/>
  <sheetViews>
    <sheetView showGridLines="0" workbookViewId="0"/>
  </sheetViews>
  <sheetFormatPr defaultColWidth="9.140625" defaultRowHeight="12.75" x14ac:dyDescent="0.2"/>
  <cols>
    <col min="1" max="1" width="3.7109375" style="2" customWidth="1"/>
    <col min="2" max="2" width="9.140625" style="2"/>
    <col min="3" max="3" width="18.42578125" style="2" customWidth="1"/>
    <col min="4" max="4" width="23.140625" style="48" customWidth="1"/>
    <col min="5" max="5" width="18.140625" style="48" customWidth="1"/>
    <col min="6" max="6" width="45.7109375" style="48" bestFit="1" customWidth="1"/>
    <col min="7" max="7" width="74.28515625" style="48" bestFit="1" customWidth="1"/>
    <col min="8" max="8" width="16.5703125" style="48" customWidth="1"/>
    <col min="9" max="9" width="27.5703125" style="48" bestFit="1" customWidth="1"/>
    <col min="10" max="10" width="20.7109375" style="2" customWidth="1"/>
    <col min="11" max="11" width="14.7109375" style="2" bestFit="1" customWidth="1"/>
    <col min="12" max="12" width="11.28515625" style="2" customWidth="1"/>
    <col min="13" max="13" width="4.28515625" style="2" customWidth="1"/>
    <col min="14" max="14" width="28.28515625" style="2" customWidth="1"/>
    <col min="15" max="16" width="18.7109375" style="2" customWidth="1"/>
    <col min="17" max="17" width="19.5703125" style="2" customWidth="1"/>
    <col min="18" max="18" width="20.140625" style="2" bestFit="1" customWidth="1"/>
    <col min="19" max="19" width="20.140625" style="2" customWidth="1"/>
    <col min="20" max="20" width="9.140625" style="2"/>
    <col min="21" max="21" width="24.42578125" style="2" bestFit="1" customWidth="1"/>
    <col min="22" max="22" width="28" style="2" bestFit="1" customWidth="1"/>
    <col min="23" max="23" width="38.140625" style="2" customWidth="1"/>
    <col min="24" max="24" width="24.42578125" style="2" customWidth="1"/>
    <col min="25" max="25" width="31.5703125" style="2" bestFit="1" customWidth="1"/>
    <col min="26" max="26" width="33.85546875" style="2" bestFit="1" customWidth="1"/>
    <col min="27" max="27" width="9.140625" style="2"/>
    <col min="28" max="30" width="19.7109375" style="2" customWidth="1"/>
    <col min="31" max="31" width="43.28515625" style="2" bestFit="1" customWidth="1"/>
    <col min="32" max="32" width="19.7109375" style="2" customWidth="1"/>
    <col min="33" max="34" width="9.140625" style="2"/>
    <col min="35" max="35" width="23.85546875" style="2" bestFit="1" customWidth="1"/>
    <col min="36" max="36" width="9.140625" style="108"/>
    <col min="37" max="16384" width="9.140625" style="2"/>
  </cols>
  <sheetData>
    <row r="2" spans="2:36" ht="23.25" x14ac:dyDescent="0.2">
      <c r="B2" s="4" t="s">
        <v>20</v>
      </c>
      <c r="C2" s="5"/>
      <c r="D2" s="47"/>
      <c r="E2" s="47"/>
      <c r="F2" s="47"/>
      <c r="G2" s="47"/>
    </row>
    <row r="4" spans="2:36" ht="22.5" x14ac:dyDescent="0.2">
      <c r="B4" s="6" t="s">
        <v>4</v>
      </c>
      <c r="C4" s="7" t="s">
        <v>6</v>
      </c>
      <c r="D4" s="49" t="s">
        <v>7</v>
      </c>
      <c r="E4" s="49" t="s">
        <v>75</v>
      </c>
      <c r="F4" s="49" t="s">
        <v>41</v>
      </c>
      <c r="G4" s="49" t="s">
        <v>31</v>
      </c>
      <c r="H4" s="69" t="s">
        <v>241</v>
      </c>
      <c r="I4" s="69" t="s">
        <v>141</v>
      </c>
      <c r="J4" s="70" t="s">
        <v>150</v>
      </c>
      <c r="K4" s="70" t="s">
        <v>152</v>
      </c>
      <c r="L4" s="70" t="s">
        <v>157</v>
      </c>
      <c r="N4" s="70" t="s">
        <v>171</v>
      </c>
      <c r="O4" s="70" t="s">
        <v>189</v>
      </c>
      <c r="P4" s="70" t="s">
        <v>161</v>
      </c>
      <c r="Q4" s="70" t="s">
        <v>197</v>
      </c>
      <c r="R4" s="70" t="s">
        <v>198</v>
      </c>
      <c r="S4" s="70" t="s">
        <v>161</v>
      </c>
      <c r="U4" s="69" t="s">
        <v>219</v>
      </c>
      <c r="V4" s="69" t="s">
        <v>220</v>
      </c>
      <c r="W4" s="69" t="s">
        <v>221</v>
      </c>
      <c r="X4" s="69" t="s">
        <v>101</v>
      </c>
      <c r="Y4" s="69" t="s">
        <v>493</v>
      </c>
      <c r="Z4" s="69" t="s">
        <v>119</v>
      </c>
      <c r="AB4" s="75" t="s">
        <v>254</v>
      </c>
      <c r="AC4" s="75" t="s">
        <v>256</v>
      </c>
      <c r="AD4" s="75" t="s">
        <v>255</v>
      </c>
      <c r="AE4" s="75" t="s">
        <v>257</v>
      </c>
      <c r="AF4" s="75" t="s">
        <v>258</v>
      </c>
      <c r="AJ4" s="108" t="s">
        <v>475</v>
      </c>
    </row>
    <row r="5" spans="2:36" x14ac:dyDescent="0.2">
      <c r="B5" s="8" t="s">
        <v>5</v>
      </c>
      <c r="C5" s="9" t="s">
        <v>8</v>
      </c>
      <c r="D5" s="50" t="s">
        <v>11</v>
      </c>
      <c r="E5" s="52" t="s">
        <v>71</v>
      </c>
      <c r="F5" s="51" t="s">
        <v>22</v>
      </c>
      <c r="G5" s="52" t="s">
        <v>32</v>
      </c>
      <c r="H5" s="59" t="s">
        <v>122</v>
      </c>
      <c r="I5" s="57" t="s">
        <v>127</v>
      </c>
      <c r="J5" s="57" t="s">
        <v>122</v>
      </c>
      <c r="K5" s="61" t="s">
        <v>153</v>
      </c>
      <c r="L5" s="61" t="s">
        <v>158</v>
      </c>
      <c r="N5" s="61" t="s">
        <v>174</v>
      </c>
      <c r="O5" s="62" t="s">
        <v>191</v>
      </c>
      <c r="P5" s="61" t="s">
        <v>163</v>
      </c>
      <c r="Q5" s="62" t="s">
        <v>204</v>
      </c>
      <c r="R5" s="61" t="s">
        <v>199</v>
      </c>
      <c r="S5" s="61" t="s">
        <v>163</v>
      </c>
      <c r="U5" s="72" t="s">
        <v>227</v>
      </c>
      <c r="V5" s="71" t="s">
        <v>249</v>
      </c>
      <c r="W5" s="71" t="s">
        <v>248</v>
      </c>
      <c r="X5" s="72" t="s">
        <v>108</v>
      </c>
      <c r="Y5" s="72" t="s">
        <v>108</v>
      </c>
      <c r="Z5" s="89" t="str">
        <f>IF(intro_Technique=$U$4,U5,IF(intro_Technique=$V$4,V5,IF(intro_Technique=$W$4,W5,IF(intro_Technique=$X$4,X5,Y5))))</f>
        <v>Generic Method</v>
      </c>
      <c r="AB5" s="67" t="str">
        <f>IF(intro_Chirality="achiral",HiddenSheet!N5,HiddenSheet!Q5)</f>
        <v>Chiralpak AD</v>
      </c>
      <c r="AC5" s="67" t="str">
        <f>IF(intro_Chirality="achiral",HiddenSheet!O5,HiddenSheet!R5)</f>
        <v>Chiral Tech</v>
      </c>
      <c r="AD5" s="67" t="str">
        <f>IF(intro_Chirality="achiral",HiddenSheet!P5,HiddenSheet!S5)</f>
        <v>50 x 2.0mm - 3um</v>
      </c>
      <c r="AE5" s="67" t="str">
        <f t="shared" ref="AE5:AE26" si="0">IF(intro_Chirality="achiral",F5,I5)</f>
        <v>Chiraldex A-TA (trifluoroacetyl)</v>
      </c>
      <c r="AF5" s="67" t="str">
        <f t="shared" ref="AF5:AF26" si="1">IF(intro_Chirality="achiral",J5,H5)</f>
        <v>Agilent</v>
      </c>
      <c r="AH5" s="84" t="s">
        <v>268</v>
      </c>
      <c r="AI5" s="10"/>
      <c r="AJ5" s="109">
        <v>9</v>
      </c>
    </row>
    <row r="6" spans="2:36" x14ac:dyDescent="0.2">
      <c r="B6" s="8" t="s">
        <v>5</v>
      </c>
      <c r="C6" s="9" t="s">
        <v>9</v>
      </c>
      <c r="D6" s="50" t="s">
        <v>12</v>
      </c>
      <c r="E6" s="52" t="s">
        <v>73</v>
      </c>
      <c r="F6" s="52" t="s">
        <v>23</v>
      </c>
      <c r="G6" s="52" t="s">
        <v>33</v>
      </c>
      <c r="H6" s="60" t="s">
        <v>121</v>
      </c>
      <c r="I6" s="57" t="s">
        <v>128</v>
      </c>
      <c r="J6" s="52" t="s">
        <v>121</v>
      </c>
      <c r="K6" s="61" t="s">
        <v>154</v>
      </c>
      <c r="L6" s="61" t="s">
        <v>159</v>
      </c>
      <c r="N6" s="61" t="s">
        <v>175</v>
      </c>
      <c r="O6" s="62" t="s">
        <v>192</v>
      </c>
      <c r="P6" s="61" t="s">
        <v>164</v>
      </c>
      <c r="Q6" s="62" t="s">
        <v>205</v>
      </c>
      <c r="R6" s="61" t="s">
        <v>121</v>
      </c>
      <c r="S6" s="61" t="s">
        <v>164</v>
      </c>
      <c r="U6" s="72" t="s">
        <v>228</v>
      </c>
      <c r="V6" s="72" t="s">
        <v>287</v>
      </c>
      <c r="W6" s="72" t="s">
        <v>260</v>
      </c>
      <c r="X6" s="72" t="s">
        <v>109</v>
      </c>
      <c r="Y6" s="72" t="s">
        <v>109</v>
      </c>
      <c r="Z6" s="89" t="str">
        <f>IF(intro_Technique=$U$4,U6,IF(intro_Technique=$V$4,V6,IF(intro_Technique=$W$4,W6,IF(intro_Technique=$X$4,X6,Y6))))</f>
        <v>Column Screen</v>
      </c>
      <c r="AB6" s="67" t="str">
        <f>IF(intro_Chirality="achiral",HiddenSheet!N6,HiddenSheet!Q6)</f>
        <v>Chiralpak AS"</v>
      </c>
      <c r="AC6" s="67" t="str">
        <f>IF(intro_Chirality="achiral",HiddenSheet!O6,HiddenSheet!R6)</f>
        <v>Astec</v>
      </c>
      <c r="AD6" s="67" t="str">
        <f>IF(intro_Chirality="achiral",HiddenSheet!P6,HiddenSheet!S6)</f>
        <v>50 x 2.0mm - 3.5um</v>
      </c>
      <c r="AE6" s="67" t="str">
        <f t="shared" si="0"/>
        <v>Chiraldex B-TA (trifluoroacetyl)</v>
      </c>
      <c r="AF6" s="67" t="str">
        <f t="shared" si="1"/>
        <v>Astec</v>
      </c>
      <c r="AH6" s="84" t="s">
        <v>269</v>
      </c>
      <c r="AI6" s="10" t="s">
        <v>76</v>
      </c>
      <c r="AJ6" s="109">
        <v>9</v>
      </c>
    </row>
    <row r="7" spans="2:36" ht="13.15" customHeight="1" x14ac:dyDescent="0.2">
      <c r="B7" s="8" t="s">
        <v>5</v>
      </c>
      <c r="C7" s="9" t="s">
        <v>10</v>
      </c>
      <c r="D7" s="50" t="s">
        <v>11</v>
      </c>
      <c r="E7" s="52" t="s">
        <v>72</v>
      </c>
      <c r="F7" s="52" t="s">
        <v>24</v>
      </c>
      <c r="G7" s="52" t="s">
        <v>34</v>
      </c>
      <c r="H7" s="60" t="s">
        <v>123</v>
      </c>
      <c r="I7" s="57" t="s">
        <v>129</v>
      </c>
      <c r="J7" s="52" t="s">
        <v>123</v>
      </c>
      <c r="K7" s="61" t="s">
        <v>155</v>
      </c>
      <c r="L7" s="61" t="s">
        <v>160</v>
      </c>
      <c r="N7" s="61" t="s">
        <v>176</v>
      </c>
      <c r="O7" s="62" t="s">
        <v>193</v>
      </c>
      <c r="P7" s="61" t="s">
        <v>165</v>
      </c>
      <c r="Q7" s="63" t="s">
        <v>202</v>
      </c>
      <c r="R7" s="61" t="s">
        <v>125</v>
      </c>
      <c r="S7" s="61" t="s">
        <v>165</v>
      </c>
      <c r="U7" s="72" t="s">
        <v>229</v>
      </c>
      <c r="V7" s="72" t="s">
        <v>225</v>
      </c>
      <c r="W7" s="72" t="s">
        <v>299</v>
      </c>
      <c r="X7" s="72" t="s">
        <v>497</v>
      </c>
      <c r="Y7" s="72" t="s">
        <v>110</v>
      </c>
      <c r="Z7" s="89" t="str">
        <f>IF(intro_Technique=$U$4,U7,IF(intro_Technique=$V$4,V7,IF(intro_Technique=$W$4,W7,IF(intro_Technique=$X$4,X7,Y7))))</f>
        <v>Mobile Phase Screen</v>
      </c>
      <c r="AB7" s="67" t="str">
        <f>IF(intro_Chirality="achiral",HiddenSheet!N7,HiddenSheet!Q7)</f>
        <v>Chiralcel OD</v>
      </c>
      <c r="AC7" s="67" t="str">
        <f>IF(intro_Chirality="achiral",HiddenSheet!O7,HiddenSheet!R7)</f>
        <v>Regis</v>
      </c>
      <c r="AD7" s="67" t="str">
        <f>IF(intro_Chirality="achiral",HiddenSheet!P7,HiddenSheet!S7)</f>
        <v>50 x 2.1mm - 3.5um</v>
      </c>
      <c r="AE7" s="67" t="str">
        <f t="shared" si="0"/>
        <v>Chiraldex G-TA (trifluoroacetyl)</v>
      </c>
      <c r="AF7" s="67" t="str">
        <f t="shared" si="1"/>
        <v>Chrompack</v>
      </c>
      <c r="AH7" s="84" t="s">
        <v>270</v>
      </c>
      <c r="AI7" s="10" t="s">
        <v>276</v>
      </c>
      <c r="AJ7" s="109">
        <v>9</v>
      </c>
    </row>
    <row r="8" spans="2:36" x14ac:dyDescent="0.2">
      <c r="B8" s="8" t="s">
        <v>13</v>
      </c>
      <c r="C8" s="9" t="s">
        <v>10</v>
      </c>
      <c r="D8" s="50" t="s">
        <v>70</v>
      </c>
      <c r="E8" s="57" t="s">
        <v>221</v>
      </c>
      <c r="F8" s="52" t="s">
        <v>25</v>
      </c>
      <c r="G8" s="52" t="s">
        <v>35</v>
      </c>
      <c r="H8" s="60" t="s">
        <v>124</v>
      </c>
      <c r="I8" s="57" t="s">
        <v>130</v>
      </c>
      <c r="J8" s="57" t="s">
        <v>151</v>
      </c>
      <c r="K8" s="61" t="s">
        <v>156</v>
      </c>
      <c r="N8" s="61" t="s">
        <v>177</v>
      </c>
      <c r="O8" s="62" t="s">
        <v>194</v>
      </c>
      <c r="P8" s="61" t="s">
        <v>166</v>
      </c>
      <c r="Q8" s="62" t="s">
        <v>206</v>
      </c>
      <c r="R8" s="10" t="s">
        <v>218</v>
      </c>
      <c r="S8" s="61" t="s">
        <v>166</v>
      </c>
      <c r="U8" s="72" t="s">
        <v>230</v>
      </c>
      <c r="V8" s="72" t="s">
        <v>226</v>
      </c>
      <c r="W8" s="72" t="s">
        <v>223</v>
      </c>
      <c r="X8" s="72" t="s">
        <v>498</v>
      </c>
      <c r="Y8" s="72" t="s">
        <v>120</v>
      </c>
      <c r="Z8" s="89" t="str">
        <f>IF(intro_Technique=$U$4,U8,IF(intro_Technique=$V$4,V8,IF(intro_Technique=$W$4,W8,IF(intro_Technique=$X$4,X8,Y8))))</f>
        <v>Chiral Screen</v>
      </c>
      <c r="AB8" s="67" t="str">
        <f>IF(intro_Chirality="achiral",HiddenSheet!N8,HiddenSheet!Q8)</f>
        <v>Chiralcel OJ</v>
      </c>
      <c r="AC8" s="67" t="str">
        <f>IF(intro_Chirality="achiral",HiddenSheet!O8,HiddenSheet!R8)</f>
        <v xml:space="preserve"> </v>
      </c>
      <c r="AD8" s="67" t="str">
        <f>IF(intro_Chirality="achiral",HiddenSheet!P8,HiddenSheet!S8)</f>
        <v>150 x 4.6mm - 3um</v>
      </c>
      <c r="AE8" s="67" t="str">
        <f t="shared" si="0"/>
        <v>Chiraldex B-DP (dipropionyl)</v>
      </c>
      <c r="AF8" s="67" t="str">
        <f t="shared" si="1"/>
        <v>Phenomenex</v>
      </c>
      <c r="AH8" s="84" t="s">
        <v>272</v>
      </c>
      <c r="AI8" s="10" t="s">
        <v>277</v>
      </c>
      <c r="AJ8" s="109">
        <v>9</v>
      </c>
    </row>
    <row r="9" spans="2:36" ht="12.75" customHeight="1" x14ac:dyDescent="0.2">
      <c r="B9" s="8" t="s">
        <v>15</v>
      </c>
      <c r="C9" s="9" t="s">
        <v>10</v>
      </c>
      <c r="D9" s="50" t="s">
        <v>14</v>
      </c>
      <c r="E9" s="50"/>
      <c r="F9" s="52" t="s">
        <v>26</v>
      </c>
      <c r="G9" s="52" t="s">
        <v>36</v>
      </c>
      <c r="H9" s="60" t="s">
        <v>125</v>
      </c>
      <c r="I9" s="57" t="s">
        <v>131</v>
      </c>
      <c r="J9" s="57" t="s">
        <v>125</v>
      </c>
      <c r="N9" s="61" t="s">
        <v>178</v>
      </c>
      <c r="O9" s="62" t="s">
        <v>195</v>
      </c>
      <c r="P9" s="61" t="s">
        <v>167</v>
      </c>
      <c r="Q9" s="62" t="s">
        <v>207</v>
      </c>
      <c r="R9" s="10" t="s">
        <v>218</v>
      </c>
      <c r="S9" s="61" t="s">
        <v>167</v>
      </c>
      <c r="U9" s="72" t="s">
        <v>218</v>
      </c>
      <c r="V9" s="72" t="s">
        <v>218</v>
      </c>
      <c r="W9" s="72" t="s">
        <v>295</v>
      </c>
      <c r="X9" s="72" t="s">
        <v>499</v>
      </c>
      <c r="Y9" s="72" t="s">
        <v>266</v>
      </c>
      <c r="Z9" s="89" t="str">
        <f>IF(intro_Technique=$U$4,U9,IF(intro_Technique=$V$4,V9,IF(intro_Technique=$W$4,W9,IF(intro_Technique=$X$4,X9,Y9))))</f>
        <v>Chiral Derivatization</v>
      </c>
      <c r="AB9" s="67" t="str">
        <f>IF(intro_Chirality="achiral",HiddenSheet!N9,HiddenSheet!Q9)</f>
        <v>Chiralpak ADRH</v>
      </c>
      <c r="AC9" s="67" t="str">
        <f>IF(intro_Chirality="achiral",HiddenSheet!O9,HiddenSheet!R9)</f>
        <v xml:space="preserve"> </v>
      </c>
      <c r="AD9" s="67" t="str">
        <f>IF(intro_Chirality="achiral",HiddenSheet!P9,HiddenSheet!S9)</f>
        <v>150 x 4.6mm - 3.5um</v>
      </c>
      <c r="AE9" s="67" t="str">
        <f t="shared" si="0"/>
        <v>Chiraldex G-DP (dipropionyl)</v>
      </c>
      <c r="AF9" s="67" t="str">
        <f t="shared" si="1"/>
        <v>Regis</v>
      </c>
      <c r="AH9" s="84" t="s">
        <v>271</v>
      </c>
      <c r="AI9" s="10" t="s">
        <v>232</v>
      </c>
      <c r="AJ9" s="109">
        <v>9</v>
      </c>
    </row>
    <row r="10" spans="2:36" x14ac:dyDescent="0.2">
      <c r="B10" s="8" t="s">
        <v>17</v>
      </c>
      <c r="C10" s="9" t="s">
        <v>10</v>
      </c>
      <c r="D10" s="50" t="s">
        <v>16</v>
      </c>
      <c r="E10" s="47"/>
      <c r="F10" s="52" t="s">
        <v>27</v>
      </c>
      <c r="G10" s="52" t="s">
        <v>37</v>
      </c>
      <c r="H10" s="60" t="s">
        <v>126</v>
      </c>
      <c r="I10" s="57" t="s">
        <v>132</v>
      </c>
      <c r="J10" s="52" t="s">
        <v>126</v>
      </c>
      <c r="N10" s="61" t="s">
        <v>179</v>
      </c>
      <c r="O10" s="62" t="s">
        <v>196</v>
      </c>
      <c r="P10" s="61" t="s">
        <v>168</v>
      </c>
      <c r="Q10" s="62" t="s">
        <v>208</v>
      </c>
      <c r="R10" s="10" t="s">
        <v>218</v>
      </c>
      <c r="S10" s="61" t="s">
        <v>168</v>
      </c>
      <c r="U10" s="72" t="s">
        <v>218</v>
      </c>
      <c r="V10" s="72" t="s">
        <v>218</v>
      </c>
      <c r="W10" s="72" t="s">
        <v>261</v>
      </c>
      <c r="X10" s="2" t="s">
        <v>503</v>
      </c>
      <c r="Y10" s="72" t="s">
        <v>111</v>
      </c>
      <c r="Z10" s="89" t="str">
        <f>IF(intro_Technique=$U$4,U10,IF(intro_Technique=$V$4,V10,IF(intro_Technique=$W$4,W10,IF(intro_Technique=$X$4,X10,Y10))))</f>
        <v>DryLab</v>
      </c>
      <c r="AB10" s="67" t="str">
        <f>IF(intro_Chirality="achiral",HiddenSheet!N10,HiddenSheet!Q10)</f>
        <v>Chiralpak ASRH</v>
      </c>
      <c r="AC10" s="67" t="str">
        <f>IF(intro_Chirality="achiral",HiddenSheet!O10,HiddenSheet!R10)</f>
        <v xml:space="preserve"> </v>
      </c>
      <c r="AD10" s="67" t="str">
        <f>IF(intro_Chirality="achiral",HiddenSheet!P10,HiddenSheet!S10)</f>
        <v>150 x 4.6mm - 5um</v>
      </c>
      <c r="AE10" s="67" t="str">
        <f t="shared" si="0"/>
        <v>Chiraldex G-PN (propionyl)</v>
      </c>
      <c r="AF10" s="67" t="str">
        <f t="shared" si="1"/>
        <v>Restek</v>
      </c>
      <c r="AH10" s="84" t="s">
        <v>273</v>
      </c>
      <c r="AI10" s="10" t="s">
        <v>278</v>
      </c>
      <c r="AJ10" s="109">
        <v>9</v>
      </c>
    </row>
    <row r="11" spans="2:36" x14ac:dyDescent="0.2">
      <c r="B11" s="11"/>
      <c r="C11" s="5"/>
      <c r="D11" s="47"/>
      <c r="E11" s="47"/>
      <c r="F11" s="52" t="s">
        <v>28</v>
      </c>
      <c r="G11" s="52" t="s">
        <v>38</v>
      </c>
      <c r="H11" s="52" t="s">
        <v>218</v>
      </c>
      <c r="I11" s="57" t="s">
        <v>133</v>
      </c>
      <c r="J11" s="10" t="s">
        <v>218</v>
      </c>
      <c r="N11" s="61" t="s">
        <v>180</v>
      </c>
      <c r="O11" s="61" t="s">
        <v>190</v>
      </c>
      <c r="P11" s="61" t="s">
        <v>169</v>
      </c>
      <c r="Q11" s="62" t="s">
        <v>209</v>
      </c>
      <c r="R11" s="10" t="s">
        <v>218</v>
      </c>
      <c r="S11" s="61" t="s">
        <v>169</v>
      </c>
      <c r="U11" s="72" t="s">
        <v>218</v>
      </c>
      <c r="V11" s="72" t="s">
        <v>218</v>
      </c>
      <c r="W11" s="71" t="s">
        <v>218</v>
      </c>
      <c r="X11" s="72" t="s">
        <v>494</v>
      </c>
      <c r="Y11" s="72" t="s">
        <v>112</v>
      </c>
      <c r="Z11" s="89" t="str">
        <f>IF(intro_Technique=$U$4,U11,IF(intro_Technique=$V$4,V11,IF(intro_Technique=$W$4,W11,IF(intro_Technique=$X$4,X11,Y11))))</f>
        <v>pH Screen</v>
      </c>
      <c r="AB11" s="67" t="str">
        <f>IF(intro_Chirality="achiral",HiddenSheet!N11,HiddenSheet!Q11)</f>
        <v>Chiralcel ODRH</v>
      </c>
      <c r="AC11" s="67" t="str">
        <f>IF(intro_Chirality="achiral",HiddenSheet!O11,HiddenSheet!R11)</f>
        <v xml:space="preserve"> </v>
      </c>
      <c r="AD11" s="67" t="str">
        <f>IF(intro_Chirality="achiral",HiddenSheet!P11,HiddenSheet!S11)</f>
        <v>250 x 4.6mm - 5um</v>
      </c>
      <c r="AE11" s="67" t="str">
        <f t="shared" si="0"/>
        <v>Chiraldex G-BP (butyryl)</v>
      </c>
      <c r="AF11" s="67" t="str">
        <f t="shared" si="1"/>
        <v xml:space="preserve"> </v>
      </c>
      <c r="AH11" s="84" t="s">
        <v>274</v>
      </c>
      <c r="AI11" s="10" t="s">
        <v>279</v>
      </c>
      <c r="AJ11" s="109">
        <v>9</v>
      </c>
    </row>
    <row r="12" spans="2:36" x14ac:dyDescent="0.2">
      <c r="B12" s="11"/>
      <c r="C12" s="5"/>
      <c r="D12" s="47"/>
      <c r="E12" s="47"/>
      <c r="F12" s="52" t="s">
        <v>29</v>
      </c>
      <c r="G12" s="52" t="s">
        <v>39</v>
      </c>
      <c r="H12" s="52" t="s">
        <v>218</v>
      </c>
      <c r="I12" s="57" t="s">
        <v>134</v>
      </c>
      <c r="J12" s="10" t="s">
        <v>218</v>
      </c>
      <c r="N12" s="61" t="s">
        <v>181</v>
      </c>
      <c r="O12" s="10" t="s">
        <v>218</v>
      </c>
      <c r="P12" s="76" t="s">
        <v>168</v>
      </c>
      <c r="Q12" s="62" t="s">
        <v>210</v>
      </c>
      <c r="R12" s="10" t="s">
        <v>218</v>
      </c>
      <c r="S12" s="61" t="s">
        <v>168</v>
      </c>
      <c r="U12" s="72" t="s">
        <v>218</v>
      </c>
      <c r="V12" s="72" t="s">
        <v>218</v>
      </c>
      <c r="W12" s="71" t="s">
        <v>218</v>
      </c>
      <c r="X12" s="71" t="s">
        <v>218</v>
      </c>
      <c r="Y12" s="72" t="s">
        <v>113</v>
      </c>
      <c r="Z12" s="89" t="str">
        <f>IF(intro_Technique=$U$4,U12,IF(intro_Technique=$V$4,V12,IF(intro_Technique=$W$4,W12,IF(intro_Technique=$X$4,X12,Y12))))</f>
        <v>Temperature Screen</v>
      </c>
      <c r="AB12" s="67" t="str">
        <f>IF(intro_Chirality="achiral",HiddenSheet!N12,HiddenSheet!Q12)</f>
        <v>Chiralcel OJRH</v>
      </c>
      <c r="AC12" s="67" t="str">
        <f>IF(intro_Chirality="achiral",HiddenSheet!O12,HiddenSheet!R12)</f>
        <v xml:space="preserve"> </v>
      </c>
      <c r="AD12" s="67" t="str">
        <f>IF(intro_Chirality="achiral",HiddenSheet!P12,HiddenSheet!S12)</f>
        <v>150 x 4.6mm - 5um</v>
      </c>
      <c r="AE12" s="67" t="str">
        <f t="shared" si="0"/>
        <v>Chiraldex B-DM (dimethyl)</v>
      </c>
      <c r="AF12" s="67" t="str">
        <f t="shared" si="1"/>
        <v xml:space="preserve"> </v>
      </c>
      <c r="AH12" s="84" t="s">
        <v>275</v>
      </c>
      <c r="AI12" s="10" t="s">
        <v>280</v>
      </c>
      <c r="AJ12" s="109">
        <v>9</v>
      </c>
    </row>
    <row r="13" spans="2:36" x14ac:dyDescent="0.2">
      <c r="C13" s="5"/>
      <c r="D13" s="47"/>
      <c r="F13" s="77" t="s">
        <v>30</v>
      </c>
      <c r="G13" s="77" t="s">
        <v>40</v>
      </c>
      <c r="H13" s="52" t="s">
        <v>218</v>
      </c>
      <c r="I13" s="57" t="s">
        <v>135</v>
      </c>
      <c r="J13" s="10" t="s">
        <v>218</v>
      </c>
      <c r="N13" s="61" t="s">
        <v>182</v>
      </c>
      <c r="O13" s="10" t="s">
        <v>218</v>
      </c>
      <c r="P13" s="76" t="s">
        <v>170</v>
      </c>
      <c r="Q13" s="62" t="s">
        <v>211</v>
      </c>
      <c r="R13" s="10" t="s">
        <v>218</v>
      </c>
      <c r="S13" s="61" t="s">
        <v>170</v>
      </c>
      <c r="U13" s="72"/>
      <c r="V13" s="72"/>
      <c r="W13" s="72"/>
      <c r="X13" s="72" t="s">
        <v>218</v>
      </c>
      <c r="Y13" s="72" t="s">
        <v>298</v>
      </c>
      <c r="Z13" s="89" t="str">
        <f>IF(intro_Technique=$U$4,U13,IF(intro_Technique=$V$4,V13,IF(intro_Technique=$W$4,W13,IF(intro_Technique=$X$4,X13,Y13))))</f>
        <v>Unconventional Techniques</v>
      </c>
      <c r="AB13" s="67" t="str">
        <f>IF(intro_Chirality="achiral",HiddenSheet!N13,HiddenSheet!Q13)</f>
        <v>Chiralpak IA</v>
      </c>
      <c r="AC13" s="67" t="str">
        <f>IF(intro_Chirality="achiral",HiddenSheet!O13,HiddenSheet!R13)</f>
        <v xml:space="preserve"> </v>
      </c>
      <c r="AD13" s="67" t="str">
        <f>IF(intro_Chirality="achiral",HiddenSheet!P13,HiddenSheet!S13)</f>
        <v>150 x 4.6mm - 10um</v>
      </c>
      <c r="AE13" s="67" t="str">
        <f t="shared" si="0"/>
        <v>Chiraldex G-DM (dimethyl)</v>
      </c>
      <c r="AF13" s="67" t="str">
        <f t="shared" si="1"/>
        <v xml:space="preserve"> </v>
      </c>
    </row>
    <row r="14" spans="2:36" ht="12.75" customHeight="1" x14ac:dyDescent="0.2">
      <c r="D14" s="47"/>
      <c r="E14" s="47"/>
      <c r="F14" s="50" t="s">
        <v>218</v>
      </c>
      <c r="G14" s="74" t="s">
        <v>259</v>
      </c>
      <c r="H14" s="52" t="s">
        <v>218</v>
      </c>
      <c r="I14" s="57" t="s">
        <v>136</v>
      </c>
      <c r="J14" s="10" t="s">
        <v>218</v>
      </c>
      <c r="N14" s="61" t="s">
        <v>183</v>
      </c>
      <c r="O14" s="10" t="s">
        <v>218</v>
      </c>
      <c r="P14" s="76" t="s">
        <v>169</v>
      </c>
      <c r="Q14" s="62" t="s">
        <v>212</v>
      </c>
      <c r="R14" s="10" t="s">
        <v>218</v>
      </c>
      <c r="S14" s="61" t="s">
        <v>169</v>
      </c>
      <c r="U14" s="72" t="s">
        <v>218</v>
      </c>
      <c r="V14" s="72" t="s">
        <v>218</v>
      </c>
      <c r="W14" s="72" t="s">
        <v>218</v>
      </c>
      <c r="X14" s="72" t="s">
        <v>218</v>
      </c>
      <c r="Y14" s="68" t="s">
        <v>240</v>
      </c>
      <c r="Z14" s="89" t="str">
        <f>IF(intro_Technique=$U$4,U14,IF(intro_Technique=$V$4,V14,IF(intro_Technique=$W$4,W14,IF(intro_Technique=$X$4,X14,Y14))))</f>
        <v>Force Degradation - Heat</v>
      </c>
      <c r="AB14" s="67" t="str">
        <f>IF(intro_Chirality="achiral",HiddenSheet!N14,HiddenSheet!Q14)</f>
        <v>Chiralpak IB</v>
      </c>
      <c r="AC14" s="67" t="str">
        <f>IF(intro_Chirality="achiral",HiddenSheet!O14,HiddenSheet!R14)</f>
        <v xml:space="preserve"> </v>
      </c>
      <c r="AD14" s="67" t="str">
        <f>IF(intro_Chirality="achiral",HiddenSheet!P14,HiddenSheet!S14)</f>
        <v>250 x 4.6mm - 5um</v>
      </c>
      <c r="AE14" s="67" t="str">
        <f t="shared" si="0"/>
        <v>Chiraldex B-PM (permethyl)</v>
      </c>
      <c r="AF14" s="67" t="str">
        <f t="shared" si="1"/>
        <v xml:space="preserve"> </v>
      </c>
    </row>
    <row r="15" spans="2:36" ht="25.5" x14ac:dyDescent="0.2">
      <c r="F15" s="50" t="s">
        <v>218</v>
      </c>
      <c r="G15" s="74" t="s">
        <v>259</v>
      </c>
      <c r="H15" s="52" t="s">
        <v>218</v>
      </c>
      <c r="I15" s="57" t="s">
        <v>137</v>
      </c>
      <c r="J15" s="10" t="s">
        <v>218</v>
      </c>
      <c r="N15" s="61" t="s">
        <v>184</v>
      </c>
      <c r="O15" s="10" t="s">
        <v>218</v>
      </c>
      <c r="P15" s="76" t="s">
        <v>162</v>
      </c>
      <c r="Q15" s="62" t="s">
        <v>213</v>
      </c>
      <c r="R15" s="10" t="s">
        <v>218</v>
      </c>
      <c r="S15" s="61" t="s">
        <v>162</v>
      </c>
      <c r="U15" s="72" t="s">
        <v>218</v>
      </c>
      <c r="V15" s="72" t="s">
        <v>218</v>
      </c>
      <c r="W15" s="72" t="s">
        <v>218</v>
      </c>
      <c r="X15" s="72" t="s">
        <v>218</v>
      </c>
      <c r="Y15" s="68" t="s">
        <v>239</v>
      </c>
      <c r="Z15" s="89" t="str">
        <f>IF(intro_Technique=$U$4,U15,IF(intro_Technique=$V$4,V15,IF(intro_Technique=$W$4,W15,IF(intro_Technique=$X$4,X15,Y15))))</f>
        <v>Force Degradation - Heat and Humidity</v>
      </c>
      <c r="AB15" s="67" t="str">
        <f>IF(intro_Chirality="achiral",HiddenSheet!N15,HiddenSheet!Q15)</f>
        <v>Chiralpak IC</v>
      </c>
      <c r="AC15" s="67" t="str">
        <f>IF(intro_Chirality="achiral",HiddenSheet!O15,HiddenSheet!R15)</f>
        <v xml:space="preserve"> </v>
      </c>
      <c r="AD15" s="67" t="str">
        <f>IF(intro_Chirality="achiral",HiddenSheet!P15,HiddenSheet!S15)</f>
        <v>250 x 4.6mm - 10um</v>
      </c>
      <c r="AE15" s="67" t="str">
        <f t="shared" si="0"/>
        <v>Chiraldex A-DA (diallyl)</v>
      </c>
      <c r="AF15" s="67" t="str">
        <f t="shared" si="1"/>
        <v xml:space="preserve"> </v>
      </c>
    </row>
    <row r="16" spans="2:36" x14ac:dyDescent="0.2">
      <c r="F16" s="50" t="s">
        <v>218</v>
      </c>
      <c r="G16" s="74" t="s">
        <v>259</v>
      </c>
      <c r="H16" s="52" t="s">
        <v>218</v>
      </c>
      <c r="I16" s="57" t="s">
        <v>138</v>
      </c>
      <c r="J16" s="10" t="s">
        <v>218</v>
      </c>
      <c r="N16" s="61" t="s">
        <v>185</v>
      </c>
      <c r="O16" s="10" t="s">
        <v>218</v>
      </c>
      <c r="P16" s="10" t="s">
        <v>218</v>
      </c>
      <c r="Q16" s="62" t="s">
        <v>214</v>
      </c>
      <c r="R16" s="10" t="s">
        <v>218</v>
      </c>
      <c r="S16" s="10" t="s">
        <v>218</v>
      </c>
      <c r="U16" s="72" t="s">
        <v>218</v>
      </c>
      <c r="V16" s="72" t="s">
        <v>218</v>
      </c>
      <c r="W16" s="72" t="s">
        <v>218</v>
      </c>
      <c r="X16" s="72" t="s">
        <v>218</v>
      </c>
      <c r="Y16" s="68" t="s">
        <v>238</v>
      </c>
      <c r="Z16" s="89" t="str">
        <f>IF(intro_Technique=$U$4,U16,IF(intro_Technique=$V$4,V16,IF(intro_Technique=$W$4,W16,IF(intro_Technique=$X$4,X16,Y16))))</f>
        <v>Force Degradation - Acid</v>
      </c>
      <c r="AB16" s="67" t="str">
        <f>IF(intro_Chirality="achiral",HiddenSheet!N16,HiddenSheet!Q16)</f>
        <v>Whelk-O</v>
      </c>
      <c r="AC16" s="67" t="str">
        <f>IF(intro_Chirality="achiral",HiddenSheet!O16,HiddenSheet!R16)</f>
        <v xml:space="preserve"> </v>
      </c>
      <c r="AD16" s="67" t="str">
        <f>IF(intro_Chirality="achiral",HiddenSheet!P16,HiddenSheet!S16)</f>
        <v xml:space="preserve"> </v>
      </c>
      <c r="AE16" s="67" t="str">
        <f t="shared" si="0"/>
        <v>Chiraldex A-PH (hydroxypropyl)</v>
      </c>
      <c r="AF16" s="67" t="str">
        <f t="shared" si="1"/>
        <v xml:space="preserve"> </v>
      </c>
    </row>
    <row r="17" spans="3:32" x14ac:dyDescent="0.2">
      <c r="F17" s="50" t="s">
        <v>218</v>
      </c>
      <c r="G17" s="74" t="s">
        <v>259</v>
      </c>
      <c r="H17" s="52" t="s">
        <v>218</v>
      </c>
      <c r="I17" s="57" t="s">
        <v>139</v>
      </c>
      <c r="J17" s="10" t="s">
        <v>218</v>
      </c>
      <c r="N17" s="61" t="s">
        <v>186</v>
      </c>
      <c r="O17" s="10" t="s">
        <v>218</v>
      </c>
      <c r="P17" s="10" t="s">
        <v>218</v>
      </c>
      <c r="Q17" s="63" t="s">
        <v>203</v>
      </c>
      <c r="R17" s="10" t="s">
        <v>218</v>
      </c>
      <c r="S17" s="10" t="s">
        <v>218</v>
      </c>
      <c r="U17" s="72" t="s">
        <v>218</v>
      </c>
      <c r="V17" s="72" t="s">
        <v>218</v>
      </c>
      <c r="W17" s="72" t="s">
        <v>218</v>
      </c>
      <c r="X17" s="72" t="s">
        <v>218</v>
      </c>
      <c r="Y17" s="68" t="s">
        <v>237</v>
      </c>
      <c r="Z17" s="89" t="str">
        <f>IF(intro_Technique=$U$4,U17,IF(intro_Technique=$V$4,V17,IF(intro_Technique=$W$4,W17,IF(intro_Technique=$X$4,X17,Y17))))</f>
        <v>Force Degradation - Base</v>
      </c>
      <c r="AB17" s="67" t="str">
        <f>IF(intro_Chirality="achiral",HiddenSheet!N17,HiddenSheet!Q17)</f>
        <v>Chirobiotic T</v>
      </c>
      <c r="AC17" s="67" t="str">
        <f>IF(intro_Chirality="achiral",HiddenSheet!O17,HiddenSheet!R17)</f>
        <v xml:space="preserve"> </v>
      </c>
      <c r="AD17" s="67" t="str">
        <f>IF(intro_Chirality="achiral",HiddenSheet!P17,HiddenSheet!S17)</f>
        <v xml:space="preserve"> </v>
      </c>
      <c r="AE17" s="67" t="str">
        <f t="shared" si="0"/>
        <v>Chiraldex B-PH (hydroxypropyl)</v>
      </c>
      <c r="AF17" s="67" t="str">
        <f t="shared" si="1"/>
        <v xml:space="preserve"> </v>
      </c>
    </row>
    <row r="18" spans="3:32" ht="25.5" x14ac:dyDescent="0.2">
      <c r="F18" s="50" t="s">
        <v>218</v>
      </c>
      <c r="G18" s="74" t="s">
        <v>259</v>
      </c>
      <c r="H18" s="52" t="s">
        <v>218</v>
      </c>
      <c r="I18" s="57" t="s">
        <v>140</v>
      </c>
      <c r="J18" s="10" t="s">
        <v>218</v>
      </c>
      <c r="N18" s="61" t="s">
        <v>187</v>
      </c>
      <c r="O18" s="10" t="s">
        <v>218</v>
      </c>
      <c r="P18" s="10" t="s">
        <v>218</v>
      </c>
      <c r="Q18" s="62" t="s">
        <v>215</v>
      </c>
      <c r="R18" s="10" t="s">
        <v>218</v>
      </c>
      <c r="S18" s="10" t="s">
        <v>218</v>
      </c>
      <c r="U18" s="72" t="s">
        <v>218</v>
      </c>
      <c r="V18" s="72" t="s">
        <v>218</v>
      </c>
      <c r="W18" s="72" t="s">
        <v>218</v>
      </c>
      <c r="X18" s="72" t="s">
        <v>218</v>
      </c>
      <c r="Y18" s="68" t="s">
        <v>236</v>
      </c>
      <c r="Z18" s="89" t="str">
        <f>IF(intro_Technique=$U$4,U18,IF(intro_Technique=$V$4,V18,IF(intro_Technique=$W$4,W18,IF(intro_Technique=$X$4,X18,Y18))))</f>
        <v>Force Degradation - Transition Metal</v>
      </c>
      <c r="AB18" s="67" t="str">
        <f>IF(intro_Chirality="achiral",HiddenSheet!N18,HiddenSheet!Q18)</f>
        <v>Chirobiotic R</v>
      </c>
      <c r="AC18" s="67" t="str">
        <f>IF(intro_Chirality="achiral",HiddenSheet!O18,HiddenSheet!R18)</f>
        <v xml:space="preserve"> </v>
      </c>
      <c r="AD18" s="67" t="str">
        <f>IF(intro_Chirality="achiral",HiddenSheet!P18,HiddenSheet!S18)</f>
        <v xml:space="preserve"> </v>
      </c>
      <c r="AE18" s="67" t="str">
        <f t="shared" si="0"/>
        <v>Rt-BDEXcst</v>
      </c>
      <c r="AF18" s="67" t="str">
        <f t="shared" si="1"/>
        <v xml:space="preserve"> </v>
      </c>
    </row>
    <row r="19" spans="3:32" x14ac:dyDescent="0.2">
      <c r="F19" s="50" t="s">
        <v>218</v>
      </c>
      <c r="G19" s="74" t="s">
        <v>259</v>
      </c>
      <c r="H19" s="52" t="s">
        <v>218</v>
      </c>
      <c r="I19" s="57" t="s">
        <v>142</v>
      </c>
      <c r="J19" s="10" t="s">
        <v>218</v>
      </c>
      <c r="N19" s="61" t="s">
        <v>173</v>
      </c>
      <c r="O19" s="10" t="s">
        <v>218</v>
      </c>
      <c r="P19" s="10" t="s">
        <v>218</v>
      </c>
      <c r="Q19" s="62" t="s">
        <v>216</v>
      </c>
      <c r="R19" s="10" t="s">
        <v>218</v>
      </c>
      <c r="S19" s="10" t="s">
        <v>218</v>
      </c>
      <c r="U19" s="72" t="s">
        <v>218</v>
      </c>
      <c r="V19" s="72" t="s">
        <v>218</v>
      </c>
      <c r="W19" s="72" t="s">
        <v>218</v>
      </c>
      <c r="X19" s="72" t="s">
        <v>218</v>
      </c>
      <c r="Y19" s="68" t="s">
        <v>235</v>
      </c>
      <c r="Z19" s="89" t="str">
        <f>IF(intro_Technique=$U$4,U19,IF(intro_Technique=$V$4,V19,IF(intro_Technique=$W$4,W19,IF(intro_Technique=$X$4,X19,Y19))))</f>
        <v>Force Degradation - Oxidation</v>
      </c>
      <c r="AB19" s="67" t="str">
        <f>IF(intro_Chirality="achiral",HiddenSheet!N19,HiddenSheet!Q19)</f>
        <v>Chirobiotic V</v>
      </c>
      <c r="AC19" s="67" t="str">
        <f>IF(intro_Chirality="achiral",HiddenSheet!O19,HiddenSheet!R19)</f>
        <v xml:space="preserve"> </v>
      </c>
      <c r="AD19" s="67" t="str">
        <f>IF(intro_Chirality="achiral",HiddenSheet!P19,HiddenSheet!S19)</f>
        <v xml:space="preserve"> </v>
      </c>
      <c r="AE19" s="67" t="str">
        <f t="shared" si="0"/>
        <v>Rt-BDEXm</v>
      </c>
      <c r="AF19" s="67" t="str">
        <f t="shared" si="1"/>
        <v xml:space="preserve"> </v>
      </c>
    </row>
    <row r="20" spans="3:32" x14ac:dyDescent="0.2">
      <c r="F20" s="50" t="s">
        <v>218</v>
      </c>
      <c r="G20" s="74" t="s">
        <v>259</v>
      </c>
      <c r="H20" s="52" t="s">
        <v>218</v>
      </c>
      <c r="I20" s="57" t="s">
        <v>143</v>
      </c>
      <c r="J20" s="10" t="s">
        <v>218</v>
      </c>
      <c r="N20" s="61" t="s">
        <v>188</v>
      </c>
      <c r="O20" s="10" t="s">
        <v>218</v>
      </c>
      <c r="P20" s="10" t="s">
        <v>218</v>
      </c>
      <c r="Q20" s="62" t="s">
        <v>217</v>
      </c>
      <c r="R20" s="10" t="s">
        <v>218</v>
      </c>
      <c r="S20" s="10" t="s">
        <v>218</v>
      </c>
      <c r="U20" s="72" t="s">
        <v>218</v>
      </c>
      <c r="V20" s="72" t="s">
        <v>218</v>
      </c>
      <c r="W20" s="72"/>
      <c r="X20" s="72" t="s">
        <v>218</v>
      </c>
      <c r="Y20" s="68" t="s">
        <v>234</v>
      </c>
      <c r="Z20" s="89" t="str">
        <f>IF(intro_Technique=$U$4,U20,IF(intro_Technique=$V$4,V20,IF(intro_Technique=$W$4,W20,IF(intro_Technique=$X$4,X20,Y20))))</f>
        <v>Force Degradation - Photostability</v>
      </c>
      <c r="AB20" s="67" t="str">
        <f>IF(intro_Chirality="achiral",HiddenSheet!N20,HiddenSheet!Q20)</f>
        <v>Cyclobond I</v>
      </c>
      <c r="AC20" s="67" t="str">
        <f>IF(intro_Chirality="achiral",HiddenSheet!O20,HiddenSheet!R20)</f>
        <v xml:space="preserve"> </v>
      </c>
      <c r="AD20" s="67" t="str">
        <f>IF(intro_Chirality="achiral",HiddenSheet!P20,HiddenSheet!S20)</f>
        <v xml:space="preserve"> </v>
      </c>
      <c r="AE20" s="67" t="str">
        <f t="shared" si="0"/>
        <v>Rt-BDEXsa</v>
      </c>
      <c r="AF20" s="67" t="str">
        <f t="shared" si="1"/>
        <v xml:space="preserve"> </v>
      </c>
    </row>
    <row r="21" spans="3:32" x14ac:dyDescent="0.2">
      <c r="F21" s="50" t="s">
        <v>218</v>
      </c>
      <c r="G21" s="74" t="s">
        <v>259</v>
      </c>
      <c r="H21" s="52" t="s">
        <v>218</v>
      </c>
      <c r="I21" s="57" t="s">
        <v>144</v>
      </c>
      <c r="J21" s="10" t="s">
        <v>218</v>
      </c>
      <c r="N21" s="61" t="s">
        <v>172</v>
      </c>
      <c r="O21" s="10" t="s">
        <v>218</v>
      </c>
      <c r="P21" s="10" t="s">
        <v>218</v>
      </c>
      <c r="Q21" s="63" t="s">
        <v>201</v>
      </c>
      <c r="R21" s="10" t="s">
        <v>218</v>
      </c>
      <c r="S21" s="10" t="s">
        <v>218</v>
      </c>
      <c r="U21" s="72" t="s">
        <v>218</v>
      </c>
      <c r="V21" s="72" t="s">
        <v>218</v>
      </c>
      <c r="W21" s="72"/>
      <c r="X21" s="72" t="s">
        <v>218</v>
      </c>
      <c r="Y21" s="71" t="s">
        <v>224</v>
      </c>
      <c r="Z21" s="89" t="str">
        <f>IF(intro_Technique=$U$4,U21,IF(intro_Technique=$V$4,V21,IF(intro_Technique=$W$4,W21,IF(intro_Technique=$X$4,X21,Y21))))</f>
        <v>Record Method</v>
      </c>
      <c r="AB21" s="67" t="str">
        <f>IF(intro_Chirality="achiral",HiddenSheet!N21,HiddenSheet!Q21)</f>
        <v>Cyclobond II</v>
      </c>
      <c r="AC21" s="67" t="str">
        <f>IF(intro_Chirality="achiral",HiddenSheet!O21,HiddenSheet!R21)</f>
        <v xml:space="preserve"> </v>
      </c>
      <c r="AD21" s="67" t="str">
        <f>IF(intro_Chirality="achiral",HiddenSheet!P21,HiddenSheet!S21)</f>
        <v xml:space="preserve"> </v>
      </c>
      <c r="AE21" s="67" t="str">
        <f t="shared" si="0"/>
        <v>Rt-BDEXse</v>
      </c>
      <c r="AF21" s="67" t="str">
        <f t="shared" si="1"/>
        <v xml:space="preserve"> </v>
      </c>
    </row>
    <row r="22" spans="3:32" x14ac:dyDescent="0.2">
      <c r="C22" s="53" t="s">
        <v>107</v>
      </c>
      <c r="F22" s="50" t="s">
        <v>218</v>
      </c>
      <c r="G22" s="74" t="s">
        <v>259</v>
      </c>
      <c r="H22" s="52" t="s">
        <v>218</v>
      </c>
      <c r="I22" s="57" t="s">
        <v>145</v>
      </c>
      <c r="J22" s="10" t="s">
        <v>218</v>
      </c>
      <c r="N22" s="10" t="s">
        <v>218</v>
      </c>
      <c r="O22" s="10" t="s">
        <v>218</v>
      </c>
      <c r="P22" s="10" t="s">
        <v>218</v>
      </c>
      <c r="Q22" s="63" t="s">
        <v>200</v>
      </c>
      <c r="R22" s="10" t="s">
        <v>218</v>
      </c>
      <c r="S22" s="10" t="s">
        <v>218</v>
      </c>
      <c r="AB22" s="67" t="str">
        <f>IF(intro_Chirality="achiral",HiddenSheet!N22,HiddenSheet!Q22)</f>
        <v>Cyclobond III</v>
      </c>
      <c r="AC22" s="67" t="str">
        <f>IF(intro_Chirality="achiral",HiddenSheet!O22,HiddenSheet!R22)</f>
        <v xml:space="preserve"> </v>
      </c>
      <c r="AD22" s="67" t="str">
        <f>IF(intro_Chirality="achiral",HiddenSheet!P22,HiddenSheet!S22)</f>
        <v xml:space="preserve"> </v>
      </c>
      <c r="AE22" s="67" t="str">
        <f t="shared" si="0"/>
        <v>Rt-BDEXsm</v>
      </c>
      <c r="AF22" s="67" t="str">
        <f t="shared" si="1"/>
        <v xml:space="preserve"> </v>
      </c>
    </row>
    <row r="23" spans="3:32" x14ac:dyDescent="0.2">
      <c r="C23" s="10" t="s">
        <v>94</v>
      </c>
      <c r="F23" s="50" t="s">
        <v>218</v>
      </c>
      <c r="G23" s="74" t="s">
        <v>259</v>
      </c>
      <c r="H23" s="52" t="s">
        <v>218</v>
      </c>
      <c r="I23" s="57" t="s">
        <v>146</v>
      </c>
      <c r="J23" s="10" t="s">
        <v>218</v>
      </c>
      <c r="AE23" s="67" t="str">
        <f t="shared" si="0"/>
        <v>Rt-BDEXsp</v>
      </c>
      <c r="AF23" s="67" t="str">
        <f t="shared" si="1"/>
        <v xml:space="preserve"> </v>
      </c>
    </row>
    <row r="24" spans="3:32" x14ac:dyDescent="0.2">
      <c r="F24" s="50" t="s">
        <v>218</v>
      </c>
      <c r="G24" s="74" t="s">
        <v>259</v>
      </c>
      <c r="H24" s="52" t="s">
        <v>218</v>
      </c>
      <c r="I24" s="57" t="s">
        <v>147</v>
      </c>
      <c r="J24" s="10" t="s">
        <v>218</v>
      </c>
      <c r="AE24" s="67" t="str">
        <f t="shared" si="0"/>
        <v>Rt-GDEXsa</v>
      </c>
      <c r="AF24" s="67" t="str">
        <f t="shared" si="1"/>
        <v xml:space="preserve"> </v>
      </c>
    </row>
    <row r="25" spans="3:32" x14ac:dyDescent="0.2">
      <c r="F25" s="50" t="s">
        <v>218</v>
      </c>
      <c r="G25" s="74" t="s">
        <v>259</v>
      </c>
      <c r="H25" s="52" t="s">
        <v>218</v>
      </c>
      <c r="I25" s="57" t="s">
        <v>148</v>
      </c>
      <c r="J25" s="10" t="s">
        <v>218</v>
      </c>
      <c r="AE25" s="67" t="str">
        <f t="shared" si="0"/>
        <v>CycloSil-B</v>
      </c>
      <c r="AF25" s="67" t="str">
        <f t="shared" si="1"/>
        <v xml:space="preserve"> </v>
      </c>
    </row>
    <row r="26" spans="3:32" x14ac:dyDescent="0.2">
      <c r="C26" s="53" t="s">
        <v>3</v>
      </c>
      <c r="D26" s="53" t="s">
        <v>69</v>
      </c>
      <c r="F26" s="50" t="s">
        <v>218</v>
      </c>
      <c r="G26" s="74" t="s">
        <v>259</v>
      </c>
      <c r="H26" s="52" t="s">
        <v>218</v>
      </c>
      <c r="I26" s="57" t="s">
        <v>149</v>
      </c>
      <c r="J26" s="10" t="s">
        <v>218</v>
      </c>
      <c r="AE26" s="67" t="str">
        <f t="shared" si="0"/>
        <v>Cyclodex-B</v>
      </c>
      <c r="AF26" s="67" t="str">
        <f t="shared" si="1"/>
        <v xml:space="preserve"> </v>
      </c>
    </row>
    <row r="27" spans="3:32" x14ac:dyDescent="0.2">
      <c r="C27" s="52" t="s">
        <v>95</v>
      </c>
      <c r="D27" s="52" t="s">
        <v>97</v>
      </c>
      <c r="I27" s="58"/>
    </row>
    <row r="28" spans="3:32" x14ac:dyDescent="0.2">
      <c r="C28" s="52" t="s">
        <v>91</v>
      </c>
      <c r="D28" s="52" t="s">
        <v>98</v>
      </c>
      <c r="G28" s="3" t="str">
        <f ca="1">CELL("filename",B4)</f>
        <v>C:\Users\teche\Desktop\Current Templates\[Method Development.xlsm]HiddenSheet</v>
      </c>
    </row>
    <row r="29" spans="3:32" x14ac:dyDescent="0.2">
      <c r="C29" s="52" t="s">
        <v>96</v>
      </c>
      <c r="D29" s="52" t="s">
        <v>99</v>
      </c>
      <c r="G29" s="21">
        <f ca="1">FIND("[",G28)</f>
        <v>42</v>
      </c>
    </row>
    <row r="30" spans="3:32" x14ac:dyDescent="0.2">
      <c r="G30" s="21">
        <f ca="1">FIND(".xls",CELL("filename",G28))</f>
        <v>61</v>
      </c>
    </row>
    <row r="31" spans="3:32" x14ac:dyDescent="0.2">
      <c r="G31" s="3" t="str">
        <f ca="1">MID(G28,G29+1,G30-(G29+1))</f>
        <v>Method Development</v>
      </c>
    </row>
    <row r="32" spans="3:32" x14ac:dyDescent="0.2">
      <c r="C32" s="53" t="s">
        <v>68</v>
      </c>
      <c r="D32" s="53" t="s">
        <v>1</v>
      </c>
    </row>
    <row r="33" spans="3:4" x14ac:dyDescent="0.2">
      <c r="C33" s="52" t="s">
        <v>103</v>
      </c>
      <c r="D33" s="52" t="s">
        <v>100</v>
      </c>
    </row>
    <row r="34" spans="3:4" x14ac:dyDescent="0.2">
      <c r="C34" s="52" t="s">
        <v>104</v>
      </c>
      <c r="D34" s="52" t="s">
        <v>101</v>
      </c>
    </row>
    <row r="35" spans="3:4" x14ac:dyDescent="0.2">
      <c r="C35" s="52" t="s">
        <v>105</v>
      </c>
      <c r="D35" s="10" t="s">
        <v>102</v>
      </c>
    </row>
    <row r="36" spans="3:4" x14ac:dyDescent="0.2">
      <c r="C36" s="48"/>
      <c r="D36" s="10" t="s">
        <v>219</v>
      </c>
    </row>
    <row r="37" spans="3:4" x14ac:dyDescent="0.2">
      <c r="C37" s="48"/>
      <c r="D37" s="10" t="s">
        <v>220</v>
      </c>
    </row>
    <row r="38" spans="3:4" x14ac:dyDescent="0.2">
      <c r="C38" s="48"/>
      <c r="D38" s="52" t="s">
        <v>221</v>
      </c>
    </row>
    <row r="41" spans="3:4" x14ac:dyDescent="0.2">
      <c r="C41" s="53" t="s">
        <v>42</v>
      </c>
      <c r="D41" s="54" t="s">
        <v>2</v>
      </c>
    </row>
    <row r="42" spans="3:4" x14ac:dyDescent="0.2">
      <c r="C42" s="52" t="s">
        <v>106</v>
      </c>
      <c r="D42" s="52" t="s">
        <v>93</v>
      </c>
    </row>
    <row r="43" spans="3:4" x14ac:dyDescent="0.2">
      <c r="C43" s="10" t="s">
        <v>92</v>
      </c>
    </row>
    <row r="44" spans="3:4" x14ac:dyDescent="0.2">
      <c r="C44" s="52" t="s">
        <v>479</v>
      </c>
    </row>
    <row r="49" spans="3:8" ht="25.5" x14ac:dyDescent="0.2">
      <c r="E49" s="72" t="s">
        <v>292</v>
      </c>
      <c r="F49" s="72" t="s">
        <v>108</v>
      </c>
      <c r="G49" s="73" t="s">
        <v>282</v>
      </c>
      <c r="H49" s="87">
        <f>LEN(G49)</f>
        <v>161</v>
      </c>
    </row>
    <row r="50" spans="3:8" x14ac:dyDescent="0.2">
      <c r="D50" s="2"/>
      <c r="E50" s="72" t="s">
        <v>292</v>
      </c>
      <c r="F50" s="72" t="s">
        <v>109</v>
      </c>
      <c r="G50" s="73" t="s">
        <v>245</v>
      </c>
      <c r="H50" s="87">
        <f t="shared" ref="H50:H81" si="2">LEN(G50)</f>
        <v>16</v>
      </c>
    </row>
    <row r="51" spans="3:8" x14ac:dyDescent="0.2">
      <c r="D51" s="2"/>
      <c r="E51" s="72" t="s">
        <v>292</v>
      </c>
      <c r="F51" s="72" t="s">
        <v>110</v>
      </c>
      <c r="G51" s="73" t="s">
        <v>245</v>
      </c>
      <c r="H51" s="87">
        <f t="shared" si="2"/>
        <v>16</v>
      </c>
    </row>
    <row r="52" spans="3:8" ht="63.75" x14ac:dyDescent="0.2">
      <c r="D52" s="2"/>
      <c r="E52" s="72" t="s">
        <v>292</v>
      </c>
      <c r="F52" s="72" t="s">
        <v>120</v>
      </c>
      <c r="G52" s="73" t="s">
        <v>283</v>
      </c>
      <c r="H52" s="87">
        <f t="shared" si="2"/>
        <v>411</v>
      </c>
    </row>
    <row r="53" spans="3:8" ht="51" x14ac:dyDescent="0.2">
      <c r="D53" s="2"/>
      <c r="E53" s="72" t="s">
        <v>292</v>
      </c>
      <c r="F53" s="72" t="s">
        <v>266</v>
      </c>
      <c r="G53" s="73" t="s">
        <v>284</v>
      </c>
      <c r="H53" s="87">
        <f t="shared" si="2"/>
        <v>329</v>
      </c>
    </row>
    <row r="54" spans="3:8" x14ac:dyDescent="0.2">
      <c r="D54" s="2"/>
      <c r="E54" s="72" t="s">
        <v>292</v>
      </c>
      <c r="F54" s="72" t="s">
        <v>111</v>
      </c>
      <c r="G54" s="83" t="s">
        <v>246</v>
      </c>
      <c r="H54" s="87">
        <f t="shared" si="2"/>
        <v>34</v>
      </c>
    </row>
    <row r="55" spans="3:8" ht="25.5" x14ac:dyDescent="0.2">
      <c r="E55" s="72" t="s">
        <v>292</v>
      </c>
      <c r="F55" s="72" t="s">
        <v>112</v>
      </c>
      <c r="G55" s="73" t="s">
        <v>285</v>
      </c>
      <c r="H55" s="87">
        <f t="shared" si="2"/>
        <v>139</v>
      </c>
    </row>
    <row r="56" spans="3:8" x14ac:dyDescent="0.2">
      <c r="D56" s="2"/>
      <c r="E56" s="72" t="s">
        <v>292</v>
      </c>
      <c r="F56" s="72" t="s">
        <v>113</v>
      </c>
      <c r="G56" s="73" t="s">
        <v>245</v>
      </c>
      <c r="H56" s="87">
        <f t="shared" si="2"/>
        <v>16</v>
      </c>
    </row>
    <row r="57" spans="3:8" ht="76.5" x14ac:dyDescent="0.2">
      <c r="D57" s="2"/>
      <c r="E57" s="72" t="s">
        <v>292</v>
      </c>
      <c r="F57" s="72" t="s">
        <v>298</v>
      </c>
      <c r="G57" s="88" t="s">
        <v>297</v>
      </c>
      <c r="H57" s="87">
        <f t="shared" si="2"/>
        <v>428</v>
      </c>
    </row>
    <row r="58" spans="3:8" ht="51" x14ac:dyDescent="0.2">
      <c r="D58" s="2"/>
      <c r="E58" s="72" t="s">
        <v>292</v>
      </c>
      <c r="F58" s="68" t="s">
        <v>240</v>
      </c>
      <c r="G58" s="68" t="s">
        <v>242</v>
      </c>
      <c r="H58" s="87">
        <f t="shared" si="2"/>
        <v>210</v>
      </c>
    </row>
    <row r="59" spans="3:8" ht="51" x14ac:dyDescent="0.2">
      <c r="D59" s="2"/>
      <c r="E59" s="72" t="s">
        <v>292</v>
      </c>
      <c r="F59" s="68" t="s">
        <v>239</v>
      </c>
      <c r="G59" s="68" t="s">
        <v>243</v>
      </c>
      <c r="H59" s="87">
        <f t="shared" si="2"/>
        <v>227</v>
      </c>
    </row>
    <row r="60" spans="3:8" ht="66.75" x14ac:dyDescent="0.2">
      <c r="C60" s="12"/>
      <c r="D60" s="2"/>
      <c r="E60" s="72" t="s">
        <v>292</v>
      </c>
      <c r="F60" s="68" t="s">
        <v>238</v>
      </c>
      <c r="G60" s="68" t="s">
        <v>288</v>
      </c>
      <c r="H60" s="87">
        <f t="shared" si="2"/>
        <v>326</v>
      </c>
    </row>
    <row r="61" spans="3:8" ht="63.75" x14ac:dyDescent="0.2">
      <c r="D61" s="2"/>
      <c r="E61" s="72" t="s">
        <v>292</v>
      </c>
      <c r="F61" s="68" t="s">
        <v>237</v>
      </c>
      <c r="G61" s="68" t="s">
        <v>289</v>
      </c>
      <c r="H61" s="87">
        <f t="shared" si="2"/>
        <v>323</v>
      </c>
    </row>
    <row r="62" spans="3:8" ht="66.75" x14ac:dyDescent="0.2">
      <c r="D62" s="2"/>
      <c r="E62" s="72" t="s">
        <v>292</v>
      </c>
      <c r="F62" s="68" t="s">
        <v>236</v>
      </c>
      <c r="G62" s="68" t="s">
        <v>290</v>
      </c>
      <c r="H62" s="87">
        <f t="shared" si="2"/>
        <v>317</v>
      </c>
    </row>
    <row r="63" spans="3:8" ht="66.75" x14ac:dyDescent="0.2">
      <c r="D63" s="2"/>
      <c r="E63" s="72" t="s">
        <v>292</v>
      </c>
      <c r="F63" s="68" t="s">
        <v>235</v>
      </c>
      <c r="G63" s="68" t="s">
        <v>291</v>
      </c>
      <c r="H63" s="87">
        <f t="shared" si="2"/>
        <v>314</v>
      </c>
    </row>
    <row r="64" spans="3:8" ht="51" customHeight="1" x14ac:dyDescent="0.2">
      <c r="D64" s="2"/>
      <c r="E64" s="72" t="s">
        <v>292</v>
      </c>
      <c r="F64" s="68" t="s">
        <v>234</v>
      </c>
      <c r="G64" s="68" t="s">
        <v>233</v>
      </c>
      <c r="H64" s="87">
        <f t="shared" si="2"/>
        <v>247</v>
      </c>
    </row>
    <row r="65" spans="4:8" ht="51" customHeight="1" x14ac:dyDescent="0.2">
      <c r="D65" s="2"/>
      <c r="E65" s="72" t="s">
        <v>292</v>
      </c>
      <c r="F65" s="71" t="s">
        <v>224</v>
      </c>
      <c r="G65" s="68" t="s">
        <v>244</v>
      </c>
      <c r="H65" s="87">
        <f t="shared" si="2"/>
        <v>129</v>
      </c>
    </row>
    <row r="66" spans="4:8" ht="25.5" x14ac:dyDescent="0.2">
      <c r="D66" s="2"/>
      <c r="E66" s="72" t="s">
        <v>219</v>
      </c>
      <c r="F66" s="72" t="s">
        <v>227</v>
      </c>
      <c r="G66" s="68" t="s">
        <v>263</v>
      </c>
      <c r="H66" s="87">
        <f t="shared" si="2"/>
        <v>103</v>
      </c>
    </row>
    <row r="67" spans="4:8" ht="38.25" x14ac:dyDescent="0.2">
      <c r="E67" s="72" t="s">
        <v>219</v>
      </c>
      <c r="F67" s="72" t="s">
        <v>228</v>
      </c>
      <c r="G67" s="68" t="s">
        <v>247</v>
      </c>
      <c r="H67" s="87">
        <f t="shared" si="2"/>
        <v>168</v>
      </c>
    </row>
    <row r="68" spans="4:8" ht="25.5" x14ac:dyDescent="0.2">
      <c r="E68" s="72" t="s">
        <v>219</v>
      </c>
      <c r="F68" s="72" t="s">
        <v>229</v>
      </c>
      <c r="G68" s="68" t="s">
        <v>264</v>
      </c>
      <c r="H68" s="87">
        <f t="shared" si="2"/>
        <v>127</v>
      </c>
    </row>
    <row r="69" spans="4:8" ht="38.25" x14ac:dyDescent="0.2">
      <c r="E69" s="72" t="s">
        <v>219</v>
      </c>
      <c r="F69" s="72" t="s">
        <v>230</v>
      </c>
      <c r="G69" s="68" t="s">
        <v>265</v>
      </c>
      <c r="H69" s="87">
        <f t="shared" si="2"/>
        <v>208</v>
      </c>
    </row>
    <row r="70" spans="4:8" x14ac:dyDescent="0.2">
      <c r="E70" s="72" t="s">
        <v>220</v>
      </c>
      <c r="F70" s="71" t="s">
        <v>249</v>
      </c>
      <c r="G70" s="68" t="s">
        <v>250</v>
      </c>
      <c r="H70" s="87">
        <f t="shared" si="2"/>
        <v>61</v>
      </c>
    </row>
    <row r="71" spans="4:8" ht="51" x14ac:dyDescent="0.2">
      <c r="E71" s="72" t="s">
        <v>220</v>
      </c>
      <c r="F71" s="72" t="s">
        <v>287</v>
      </c>
      <c r="G71" s="68" t="s">
        <v>496</v>
      </c>
      <c r="H71" s="87">
        <f t="shared" si="2"/>
        <v>307</v>
      </c>
    </row>
    <row r="72" spans="4:8" ht="25.5" x14ac:dyDescent="0.2">
      <c r="E72" s="72" t="s">
        <v>220</v>
      </c>
      <c r="F72" s="72" t="s">
        <v>225</v>
      </c>
      <c r="G72" s="68" t="s">
        <v>251</v>
      </c>
      <c r="H72" s="87">
        <f t="shared" si="2"/>
        <v>149</v>
      </c>
    </row>
    <row r="73" spans="4:8" ht="102" x14ac:dyDescent="0.2">
      <c r="E73" s="72" t="s">
        <v>220</v>
      </c>
      <c r="F73" s="72" t="s">
        <v>226</v>
      </c>
      <c r="G73" s="68" t="s">
        <v>286</v>
      </c>
      <c r="H73" s="87">
        <f t="shared" si="2"/>
        <v>678</v>
      </c>
    </row>
    <row r="74" spans="4:8" ht="25.5" x14ac:dyDescent="0.2">
      <c r="E74" s="72" t="s">
        <v>101</v>
      </c>
      <c r="F74" s="72" t="s">
        <v>497</v>
      </c>
      <c r="G74" s="68" t="s">
        <v>500</v>
      </c>
      <c r="H74" s="87">
        <f t="shared" si="2"/>
        <v>101</v>
      </c>
    </row>
    <row r="75" spans="4:8" ht="25.5" x14ac:dyDescent="0.2">
      <c r="E75" s="72" t="s">
        <v>101</v>
      </c>
      <c r="F75" s="72" t="s">
        <v>498</v>
      </c>
      <c r="G75" s="68" t="s">
        <v>501</v>
      </c>
      <c r="H75" s="87">
        <f t="shared" si="2"/>
        <v>112</v>
      </c>
    </row>
    <row r="76" spans="4:8" ht="38.25" x14ac:dyDescent="0.2">
      <c r="E76" s="72" t="s">
        <v>101</v>
      </c>
      <c r="F76" s="72" t="s">
        <v>499</v>
      </c>
      <c r="G76" s="68" t="s">
        <v>502</v>
      </c>
      <c r="H76" s="87">
        <f t="shared" si="2"/>
        <v>221</v>
      </c>
    </row>
    <row r="77" spans="4:8" ht="25.5" x14ac:dyDescent="0.2">
      <c r="E77" s="72" t="s">
        <v>101</v>
      </c>
      <c r="F77" s="72" t="s">
        <v>503</v>
      </c>
      <c r="G77" s="68" t="s">
        <v>504</v>
      </c>
      <c r="H77" s="87">
        <f t="shared" si="2"/>
        <v>93</v>
      </c>
    </row>
    <row r="78" spans="4:8" ht="76.5" x14ac:dyDescent="0.2">
      <c r="E78" s="72" t="s">
        <v>101</v>
      </c>
      <c r="F78" s="72" t="s">
        <v>494</v>
      </c>
      <c r="G78" s="68" t="s">
        <v>495</v>
      </c>
      <c r="H78" s="87">
        <f t="shared" si="2"/>
        <v>515</v>
      </c>
    </row>
    <row r="79" spans="4:8" x14ac:dyDescent="0.2">
      <c r="E79" s="72" t="s">
        <v>293</v>
      </c>
      <c r="F79" s="72" t="s">
        <v>248</v>
      </c>
      <c r="G79" s="68" t="s">
        <v>252</v>
      </c>
      <c r="H79" s="87">
        <f t="shared" si="2"/>
        <v>21</v>
      </c>
    </row>
    <row r="80" spans="4:8" x14ac:dyDescent="0.2">
      <c r="E80" s="72" t="s">
        <v>293</v>
      </c>
      <c r="F80" s="72" t="s">
        <v>260</v>
      </c>
      <c r="G80" s="68" t="s">
        <v>253</v>
      </c>
      <c r="H80" s="87">
        <f t="shared" si="2"/>
        <v>46</v>
      </c>
    </row>
    <row r="81" spans="5:8" ht="25.5" x14ac:dyDescent="0.2">
      <c r="E81" s="72" t="s">
        <v>293</v>
      </c>
      <c r="F81" s="72" t="s">
        <v>299</v>
      </c>
      <c r="G81" s="68" t="s">
        <v>300</v>
      </c>
      <c r="H81" s="87">
        <f t="shared" si="2"/>
        <v>166</v>
      </c>
    </row>
    <row r="82" spans="5:8" ht="76.5" x14ac:dyDescent="0.2">
      <c r="E82" s="72" t="s">
        <v>293</v>
      </c>
      <c r="F82" s="72" t="s">
        <v>223</v>
      </c>
      <c r="G82" s="68" t="s">
        <v>294</v>
      </c>
      <c r="H82" s="87">
        <f>LEN(G82)</f>
        <v>437</v>
      </c>
    </row>
    <row r="83" spans="5:8" ht="51" x14ac:dyDescent="0.2">
      <c r="E83" s="72" t="s">
        <v>293</v>
      </c>
      <c r="F83" s="72" t="s">
        <v>295</v>
      </c>
      <c r="G83" s="68" t="s">
        <v>296</v>
      </c>
      <c r="H83" s="87">
        <f>LEN(G83)</f>
        <v>287</v>
      </c>
    </row>
    <row r="84" spans="5:8" ht="51" x14ac:dyDescent="0.2">
      <c r="E84" s="72" t="s">
        <v>293</v>
      </c>
      <c r="F84" s="71" t="s">
        <v>261</v>
      </c>
      <c r="G84" s="68" t="s">
        <v>281</v>
      </c>
      <c r="H84" s="87">
        <f>LEN(G84)</f>
        <v>247</v>
      </c>
    </row>
  </sheetData>
  <phoneticPr fontId="1" type="noConversion"/>
  <hyperlinks>
    <hyperlink ref="G54" r:id="rId1"/>
  </hyperlinks>
  <pageMargins left="0.75" right="0.75" top="1" bottom="1" header="0.5" footer="0.5"/>
  <pageSetup orientation="portrait" horizontalDpi="1200" verticalDpi="1200" r:id="rId2"/>
  <headerFooter alignWithMargins="0">
    <oddHeader>&amp;L&amp;A&amp;C&amp;F&amp;R&amp;D
&amp;T
EE Print
&amp;T
EE</oddHeader>
    <oddFooter>&amp;L&amp;A&amp;C&amp;F&amp;RPage &amp;P of &amp;N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B84C255B8E8984DB69C871192B82DD1" ma:contentTypeVersion="13" ma:contentTypeDescription="Create a new document." ma:contentTypeScope="" ma:versionID="c4c4d70afb99e9fdaa640f16874f0fb9">
  <xsd:schema xmlns:xsd="http://www.w3.org/2001/XMLSchema" xmlns:xs="http://www.w3.org/2001/XMLSchema" xmlns:p="http://schemas.microsoft.com/office/2006/metadata/properties" xmlns:ns3="f54140eb-bb2e-4653-b579-80a2b145bc38" xmlns:ns4="7a55d364-e408-47fc-ac1e-197bc6b627e6" targetNamespace="http://schemas.microsoft.com/office/2006/metadata/properties" ma:root="true" ma:fieldsID="082442abd2476fa0d06458c9ca872dd7" ns3:_="" ns4:_="">
    <xsd:import namespace="f54140eb-bb2e-4653-b579-80a2b145bc38"/>
    <xsd:import namespace="7a55d364-e408-47fc-ac1e-197bc6b627e6"/>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DateTaken" minOccurs="0"/>
                <xsd:element ref="ns3:MediaServiceOCR" minOccurs="0"/>
                <xsd:element ref="ns3:MediaServiceLocation" minOccurs="0"/>
                <xsd:element ref="ns3:MediaServiceGenerationTime" minOccurs="0"/>
                <xsd:element ref="ns3:MediaServiceEventHashCode" minOccurs="0"/>
                <xsd:element ref="ns3:MediaServiceAutoKeyPoints" minOccurs="0"/>
                <xsd:element ref="ns3:MediaServiceKeyPoint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54140eb-bb2e-4653-b579-80a2b145bc3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DateTaken" ma:index="11" nillable="true" ma:displayName="MediaServiceDateTaken" ma:hidden="true" ma:internalName="MediaServiceDateTaken"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a55d364-e408-47fc-ac1e-197bc6b627e6"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8423D52-8014-4969-A374-488D36B71FA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54140eb-bb2e-4653-b579-80a2b145bc38"/>
    <ds:schemaRef ds:uri="7a55d364-e408-47fc-ac1e-197bc6b627e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DAB5201-5CA1-4246-9334-5973A6CF5148}">
  <ds:schemaRefs>
    <ds:schemaRef ds:uri="7a55d364-e408-47fc-ac1e-197bc6b627e6"/>
    <ds:schemaRef ds:uri="f54140eb-bb2e-4653-b579-80a2b145bc38"/>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C0ABA4A9-3C4C-4704-A5FB-14BFA6063B9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vt:i4>
      </vt:variant>
    </vt:vector>
  </HeadingPairs>
  <TitlesOfParts>
    <vt:vector size="47" baseType="lpstr">
      <vt:lpstr>Intro</vt:lpstr>
      <vt:lpstr>Development Process</vt:lpstr>
      <vt:lpstr>Viscosity0</vt:lpstr>
      <vt:lpstr>Attachments</vt:lpstr>
      <vt:lpstr>Sheet0</vt:lpstr>
      <vt:lpstr>HPLC Method</vt:lpstr>
      <vt:lpstr>GC Method</vt:lpstr>
      <vt:lpstr>HiddenSheet</vt:lpstr>
      <vt:lpstr>chromData_Action</vt:lpstr>
      <vt:lpstr>chromData_AddRow</vt:lpstr>
      <vt:lpstr>chromData_AttachmentIDs</vt:lpstr>
      <vt:lpstr>chromData_Buttons</vt:lpstr>
      <vt:lpstr>chromData_Note</vt:lpstr>
      <vt:lpstr>chromData_NoteButton</vt:lpstr>
      <vt:lpstr>chromData_NoteHeader</vt:lpstr>
      <vt:lpstr>chromData_SequenceID</vt:lpstr>
      <vt:lpstr>chromData_SequenceTypes</vt:lpstr>
      <vt:lpstr>chromData_Worksheets</vt:lpstr>
      <vt:lpstr>hidden_Analytes</vt:lpstr>
      <vt:lpstr>hidden_ButtonText</vt:lpstr>
      <vt:lpstr>hidden_Chirality</vt:lpstr>
      <vt:lpstr>hidden_ColumnEquivalencyTable</vt:lpstr>
      <vt:lpstr>hidden_Conclusion</vt:lpstr>
      <vt:lpstr>hidden_EENum</vt:lpstr>
      <vt:lpstr>hidden_ForcedDeg</vt:lpstr>
      <vt:lpstr>hidden_GCManufacturer</vt:lpstr>
      <vt:lpstr>hidden_GCStationary</vt:lpstr>
      <vt:lpstr>hidden_LCDimension</vt:lpstr>
      <vt:lpstr>hidden_LCManufacturer</vt:lpstr>
      <vt:lpstr>hidden_LCStationary</vt:lpstr>
      <vt:lpstr>hidden_MaterialType</vt:lpstr>
      <vt:lpstr>hidden_NoteLookupTable</vt:lpstr>
      <vt:lpstr>hidden_Phase</vt:lpstr>
      <vt:lpstr>hidden_RiskAssessment</vt:lpstr>
      <vt:lpstr>hidden_SheetTypes</vt:lpstr>
      <vt:lpstr>hidden_Short</vt:lpstr>
      <vt:lpstr>hidden_Technique</vt:lpstr>
      <vt:lpstr>hidden_TestType</vt:lpstr>
      <vt:lpstr>intro_Chirality</vt:lpstr>
      <vt:lpstr>intro_Conclusion</vt:lpstr>
      <vt:lpstr>intro_DevPhase</vt:lpstr>
      <vt:lpstr>intro_EndingPoint</vt:lpstr>
      <vt:lpstr>intro_MethodType</vt:lpstr>
      <vt:lpstr>intro_MethodTypeB</vt:lpstr>
      <vt:lpstr>intro_Purpose</vt:lpstr>
      <vt:lpstr>intro_StartingPoint</vt:lpstr>
      <vt:lpstr>intro_Technique</vt:lpstr>
    </vt:vector>
  </TitlesOfParts>
  <Company>GlaxoSmithKline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Analytical Method Development</dc:title>
  <dc:subject>Analytical Method Development</dc:subject>
  <dc:creator>Christopher Henry</dc:creator>
  <cp:lastModifiedBy>User</cp:lastModifiedBy>
  <dcterms:created xsi:type="dcterms:W3CDTF">2007-05-23T18:36:19Z</dcterms:created>
  <dcterms:modified xsi:type="dcterms:W3CDTF">2022-09-29T02:23:43Z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Name">
    <vt:lpwstr>Analytical Method Development</vt:lpwstr>
  </property>
  <property fmtid="{D5CDD505-2E9C-101B-9397-08002B2CF9AE}" pid="3" name="AnalysisType">
    <vt:lpwstr/>
  </property>
  <property fmtid="{D5CDD505-2E9C-101B-9397-08002B2CF9AE}" pid="4" name="CreationDate">
    <vt:filetime>2008-04-03T16:43:16Z</vt:filetime>
  </property>
  <property fmtid="{D5CDD505-2E9C-101B-9397-08002B2CF9AE}" pid="5" name="DATE">
    <vt:lpwstr>03-Apr-2008 12:43:17</vt:lpwstr>
  </property>
  <property fmtid="{D5CDD505-2E9C-101B-9397-08002B2CF9AE}" pid="6" name="CreatedBy">
    <vt:lpwstr>Christopher Henry</vt:lpwstr>
  </property>
  <property fmtid="{D5CDD505-2E9C-101B-9397-08002B2CF9AE}" pid="7" name="AuthorID">
    <vt:lpwstr>5413</vt:lpwstr>
  </property>
  <property fmtid="{D5CDD505-2E9C-101B-9397-08002B2CF9AE}" pid="8" name="LastCellErecID">
    <vt:i4>0</vt:i4>
  </property>
  <property fmtid="{D5CDD505-2E9C-101B-9397-08002B2CF9AE}" pid="9" name="LastEventErecID">
    <vt:i4>0</vt:i4>
  </property>
  <property fmtid="{D5CDD505-2E9C-101B-9397-08002B2CF9AE}" pid="10" name="LastTextboxErecID">
    <vt:i4>0</vt:i4>
  </property>
  <property fmtid="{D5CDD505-2E9C-101B-9397-08002B2CF9AE}" pid="11" name="Confidentiality">
    <vt:lpwstr>2</vt:lpwstr>
  </property>
  <property fmtid="{D5CDD505-2E9C-101B-9397-08002B2CF9AE}" pid="12" name="Series">
    <vt:lpwstr/>
  </property>
  <property fmtid="{D5CDD505-2E9C-101B-9397-08002B2CF9AE}" pid="13" name="Type">
    <vt:lpwstr>Laboratory Notebook</vt:lpwstr>
  </property>
  <property fmtid="{D5CDD505-2E9C-101B-9397-08002B2CF9AE}" pid="14" name="ReviewDate">
    <vt:lpwstr/>
  </property>
  <property fmtid="{D5CDD505-2E9C-101B-9397-08002B2CF9AE}" pid="15" name="LastSaveDate">
    <vt:lpwstr>3/24/2008 1:12:39 PM</vt:lpwstr>
  </property>
  <property fmtid="{D5CDD505-2E9C-101B-9397-08002B2CF9AE}" pid="16" name="ContentTypeId">
    <vt:lpwstr>0x0101003B84C255B8E8984DB69C871192B82DD1</vt:lpwstr>
  </property>
</Properties>
</file>