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che\Desktop\Current Templates\"/>
    </mc:Choice>
  </mc:AlternateContent>
  <bookViews>
    <workbookView xWindow="0" yWindow="0" windowWidth="20490" windowHeight="7755" tabRatio="687"/>
  </bookViews>
  <sheets>
    <sheet name="TOC" sheetId="1" r:id="rId1"/>
    <sheet name="To Do List" sheetId="12" r:id="rId2"/>
    <sheet name="Sheet0" sheetId="6" state="hidden" r:id="rId3"/>
    <sheet name="HiddenSheet" sheetId="5" state="hidden" r:id="rId4"/>
    <sheet name="ContactsTable" sheetId="8" state="hidden" r:id="rId5"/>
  </sheets>
  <functionGroups builtInGroupCount="18"/>
  <definedNames>
    <definedName name="_xlnm._FilterDatabase" localSheetId="4" hidden="1">ContactsTable!$B$6:$H$6</definedName>
    <definedName name="_xlnm._FilterDatabase" localSheetId="2" hidden="1">Sheet0!$D$7:$E$7</definedName>
    <definedName name="_xlnm._FilterDatabase" localSheetId="1" hidden="1">'To Do List'!$B$6:$E$1007</definedName>
    <definedName name="_xlnm._FilterDatabase" localSheetId="0" hidden="1">TOC!$B$4:$I$104</definedName>
    <definedName name="hidden_AddedSheets">HiddenSheet!$J$5:$J$186</definedName>
    <definedName name="hidden_PasswordLower">HiddenSheet!$M$5:$M$30</definedName>
    <definedName name="hidden_PasswordNumbers">HiddenSheet!$O$5:$O$14</definedName>
    <definedName name="hidden_PasswordSymbol">HiddenSheet!$P$5:$P$12</definedName>
    <definedName name="hidden_PasswordUpper">HiddenSheet!$N$5:$N$30</definedName>
    <definedName name="hidden_Roles">HiddenSheet!$G$5:$G$12</definedName>
    <definedName name="hidden_YesNo">HiddenSheet!$F$5:$F$6</definedName>
    <definedName name="rCurrentTime">ContactsTable!$L$5</definedName>
    <definedName name="rDocBases">HiddenSheet!$B$19:$B$24</definedName>
    <definedName name="rDST">ContactsTable!$D$5</definedName>
    <definedName name="rGreenwich">ContactsTable!$M$5</definedName>
    <definedName name="rhidden0">HiddenSheet!$Q$5</definedName>
    <definedName name="rhidden1">HiddenSheet!$Q$6</definedName>
    <definedName name="rhidden2">HiddenSheet!$Q$7</definedName>
    <definedName name="rhidden3">HiddenSheet!$Q$8</definedName>
    <definedName name="rProjectHide">TOC!$I$99</definedName>
    <definedName name="rProjectNew">TOC!$I$5</definedName>
    <definedName name="rProjectTable">TOC!$E$5:$H$104</definedName>
    <definedName name="rProjectToggle">TOC!$B$3</definedName>
    <definedName name="rSite">ContactsTable!$B$8:$B$642</definedName>
    <definedName name="rSites">ContactsTable!$B$8:$B$519</definedName>
    <definedName name="rSortColumn">'To Do List'!$D$7:$D$17</definedName>
    <definedName name="rTimeZoneTable">ContactsTable!$B$8:$K$519</definedName>
    <definedName name="rToday">ContactsTable!$N$5</definedName>
    <definedName name="rToDoTable">'To Do List'!$B$7:$E$1007</definedName>
    <definedName name="rToDoTableWithHeader">'To Do List'!$B$6:$E$1007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2" l="1"/>
  <c r="D28" i="12"/>
  <c r="D29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7" i="12"/>
  <c r="D978" i="12"/>
  <c r="D979" i="12"/>
  <c r="D980" i="12"/>
  <c r="D981" i="12"/>
  <c r="D982" i="12"/>
  <c r="D983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D1001" i="12"/>
  <c r="D1002" i="12"/>
  <c r="D1003" i="12"/>
  <c r="D1004" i="12"/>
  <c r="D1005" i="12"/>
  <c r="D1006" i="12"/>
  <c r="D1007" i="12"/>
  <c r="Q5" i="5"/>
  <c r="Q8" i="5" l="1" a="1"/>
  <c r="Q8" i="5" s="1"/>
  <c r="Q7" i="5" a="1"/>
  <c r="Q7" i="5" s="1"/>
  <c r="Q6" i="5" a="1"/>
  <c r="Q6" i="5" s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C2411" i="6" l="1"/>
  <c r="C2410" i="6"/>
  <c r="C2409" i="6"/>
  <c r="C2408" i="6"/>
  <c r="C2407" i="6"/>
  <c r="C2406" i="6"/>
  <c r="C2405" i="6"/>
  <c r="C2404" i="6"/>
  <c r="C2403" i="6"/>
  <c r="C2402" i="6"/>
  <c r="C2401" i="6"/>
  <c r="C2400" i="6"/>
  <c r="C2399" i="6"/>
  <c r="C2398" i="6"/>
  <c r="C2397" i="6"/>
  <c r="C2396" i="6"/>
  <c r="C2395" i="6"/>
  <c r="C2394" i="6"/>
  <c r="C2393" i="6"/>
  <c r="C2392" i="6"/>
  <c r="C2391" i="6"/>
  <c r="C2390" i="6"/>
  <c r="C2389" i="6"/>
  <c r="C2388" i="6"/>
  <c r="C2387" i="6"/>
  <c r="C2386" i="6"/>
  <c r="C2385" i="6"/>
  <c r="C2384" i="6"/>
  <c r="C2383" i="6"/>
  <c r="C2382" i="6"/>
  <c r="C2381" i="6"/>
  <c r="C2380" i="6"/>
  <c r="C2379" i="6"/>
  <c r="C2378" i="6"/>
  <c r="C2377" i="6"/>
  <c r="C2376" i="6"/>
  <c r="C2375" i="6"/>
  <c r="C2374" i="6"/>
  <c r="C2373" i="6"/>
  <c r="C2372" i="6"/>
  <c r="C2371" i="6"/>
  <c r="C2370" i="6"/>
  <c r="C2369" i="6"/>
  <c r="C2368" i="6"/>
  <c r="C2367" i="6"/>
  <c r="C2366" i="6"/>
  <c r="C2365" i="6"/>
  <c r="C2364" i="6"/>
  <c r="C2363" i="6"/>
  <c r="C2362" i="6"/>
  <c r="C2361" i="6"/>
  <c r="C2360" i="6"/>
  <c r="C2359" i="6"/>
  <c r="C2358" i="6"/>
  <c r="C2357" i="6"/>
  <c r="C2356" i="6"/>
  <c r="C2355" i="6"/>
  <c r="C2354" i="6"/>
  <c r="C2353" i="6"/>
  <c r="C2352" i="6"/>
  <c r="C2351" i="6"/>
  <c r="C2350" i="6"/>
  <c r="C2349" i="6"/>
  <c r="C2348" i="6"/>
  <c r="C2347" i="6"/>
  <c r="C2346" i="6"/>
  <c r="C2345" i="6"/>
  <c r="C2344" i="6"/>
  <c r="C2343" i="6"/>
  <c r="C2342" i="6"/>
  <c r="C2341" i="6"/>
  <c r="C2340" i="6"/>
  <c r="C2339" i="6"/>
  <c r="C2338" i="6"/>
  <c r="C2337" i="6"/>
  <c r="C2336" i="6"/>
  <c r="C2335" i="6"/>
  <c r="C2334" i="6"/>
  <c r="C2333" i="6"/>
  <c r="C2332" i="6"/>
  <c r="C2331" i="6"/>
  <c r="C2330" i="6"/>
  <c r="C2329" i="6"/>
  <c r="C2328" i="6"/>
  <c r="C2327" i="6"/>
  <c r="C2326" i="6"/>
  <c r="C2325" i="6"/>
  <c r="C2324" i="6"/>
  <c r="C2323" i="6"/>
  <c r="C2322" i="6"/>
  <c r="C2321" i="6"/>
  <c r="C2320" i="6"/>
  <c r="C2319" i="6"/>
  <c r="C2318" i="6"/>
  <c r="C2317" i="6"/>
  <c r="C2316" i="6"/>
  <c r="C2315" i="6"/>
  <c r="C2314" i="6"/>
  <c r="C2313" i="6"/>
  <c r="C2312" i="6"/>
  <c r="C2311" i="6"/>
  <c r="C2310" i="6"/>
  <c r="C2309" i="6"/>
  <c r="C2308" i="6"/>
  <c r="C2307" i="6"/>
  <c r="C2306" i="6"/>
  <c r="C2305" i="6"/>
  <c r="C2304" i="6"/>
  <c r="C2303" i="6"/>
  <c r="C2302" i="6"/>
  <c r="C2301" i="6"/>
  <c r="C2300" i="6"/>
  <c r="C2299" i="6"/>
  <c r="C2298" i="6"/>
  <c r="C2297" i="6"/>
  <c r="C2296" i="6"/>
  <c r="C2295" i="6"/>
  <c r="C2294" i="6"/>
  <c r="C2293" i="6"/>
  <c r="C2292" i="6"/>
  <c r="C2291" i="6"/>
  <c r="C2290" i="6"/>
  <c r="C2289" i="6"/>
  <c r="C2288" i="6"/>
  <c r="C2287" i="6"/>
  <c r="C2286" i="6"/>
  <c r="C2285" i="6"/>
  <c r="C2284" i="6"/>
  <c r="C2283" i="6"/>
  <c r="C2282" i="6"/>
  <c r="C2281" i="6"/>
  <c r="C2280" i="6"/>
  <c r="C2279" i="6"/>
  <c r="C2278" i="6"/>
  <c r="C2277" i="6"/>
  <c r="C2276" i="6"/>
  <c r="C2275" i="6"/>
  <c r="C2274" i="6"/>
  <c r="C2273" i="6"/>
  <c r="C2272" i="6"/>
  <c r="C2271" i="6"/>
  <c r="C2270" i="6"/>
  <c r="C2269" i="6"/>
  <c r="C2268" i="6"/>
  <c r="C2267" i="6"/>
  <c r="C2266" i="6"/>
  <c r="C2265" i="6"/>
  <c r="C2264" i="6"/>
  <c r="C2263" i="6"/>
  <c r="C2262" i="6"/>
  <c r="C2261" i="6"/>
  <c r="C2260" i="6"/>
  <c r="C2259" i="6"/>
  <c r="C2258" i="6"/>
  <c r="C2257" i="6"/>
  <c r="C2256" i="6"/>
  <c r="C2255" i="6"/>
  <c r="C2254" i="6"/>
  <c r="C2253" i="6"/>
  <c r="C2252" i="6"/>
  <c r="C2251" i="6"/>
  <c r="C2250" i="6"/>
  <c r="C2249" i="6"/>
  <c r="C2248" i="6"/>
  <c r="C2247" i="6"/>
  <c r="C2246" i="6"/>
  <c r="C2245" i="6"/>
  <c r="C2244" i="6"/>
  <c r="C2243" i="6"/>
  <c r="C2242" i="6"/>
  <c r="C2241" i="6"/>
  <c r="C2240" i="6"/>
  <c r="C2239" i="6"/>
  <c r="C2238" i="6"/>
  <c r="C2237" i="6"/>
  <c r="C2236" i="6"/>
  <c r="C2235" i="6"/>
  <c r="C2234" i="6"/>
  <c r="C2233" i="6"/>
  <c r="C2232" i="6"/>
  <c r="C2231" i="6"/>
  <c r="C2230" i="6"/>
  <c r="C2229" i="6"/>
  <c r="C2228" i="6"/>
  <c r="C2227" i="6"/>
  <c r="C2226" i="6"/>
  <c r="C2225" i="6"/>
  <c r="C2224" i="6"/>
  <c r="C2223" i="6"/>
  <c r="C2222" i="6"/>
  <c r="C2221" i="6"/>
  <c r="C2220" i="6"/>
  <c r="C2219" i="6"/>
  <c r="C2218" i="6"/>
  <c r="C2217" i="6"/>
  <c r="C2216" i="6"/>
  <c r="C2215" i="6"/>
  <c r="C2214" i="6"/>
  <c r="C2213" i="6"/>
  <c r="C2212" i="6"/>
  <c r="C2211" i="6"/>
  <c r="C2210" i="6"/>
  <c r="C2209" i="6"/>
  <c r="C2208" i="6"/>
  <c r="C2207" i="6"/>
  <c r="C2206" i="6"/>
  <c r="C2205" i="6"/>
  <c r="C2204" i="6"/>
  <c r="C2203" i="6"/>
  <c r="C2202" i="6"/>
  <c r="C2201" i="6"/>
  <c r="C2200" i="6"/>
  <c r="C2199" i="6"/>
  <c r="C2198" i="6"/>
  <c r="C2197" i="6"/>
  <c r="C2196" i="6"/>
  <c r="C2195" i="6"/>
  <c r="C2194" i="6"/>
  <c r="C2193" i="6"/>
  <c r="C2192" i="6"/>
  <c r="C2191" i="6"/>
  <c r="C2190" i="6"/>
  <c r="C2189" i="6"/>
  <c r="C2188" i="6"/>
  <c r="C2187" i="6"/>
  <c r="C2186" i="6"/>
  <c r="C2185" i="6"/>
  <c r="C2184" i="6"/>
  <c r="C2183" i="6"/>
  <c r="C2182" i="6"/>
  <c r="C2181" i="6"/>
  <c r="C2180" i="6"/>
  <c r="C2179" i="6"/>
  <c r="C2178" i="6"/>
  <c r="C2177" i="6"/>
  <c r="C2176" i="6"/>
  <c r="C2175" i="6"/>
  <c r="C2174" i="6"/>
  <c r="C2173" i="6"/>
  <c r="C2172" i="6"/>
  <c r="C2171" i="6"/>
  <c r="C2170" i="6"/>
  <c r="C2169" i="6"/>
  <c r="C2168" i="6"/>
  <c r="C2167" i="6"/>
  <c r="C2166" i="6"/>
  <c r="C2165" i="6"/>
  <c r="C2164" i="6"/>
  <c r="C2163" i="6"/>
  <c r="C2162" i="6"/>
  <c r="C2161" i="6"/>
  <c r="C2160" i="6"/>
  <c r="C2159" i="6"/>
  <c r="C2158" i="6"/>
  <c r="C2157" i="6"/>
  <c r="C2156" i="6"/>
  <c r="C2155" i="6"/>
  <c r="C2154" i="6"/>
  <c r="C2153" i="6"/>
  <c r="C2152" i="6"/>
  <c r="C2151" i="6"/>
  <c r="C2150" i="6"/>
  <c r="C2149" i="6"/>
  <c r="C2148" i="6"/>
  <c r="C2147" i="6"/>
  <c r="C2146" i="6"/>
  <c r="C2145" i="6"/>
  <c r="C2144" i="6"/>
  <c r="C2143" i="6"/>
  <c r="C2142" i="6"/>
  <c r="C2141" i="6"/>
  <c r="C2140" i="6"/>
  <c r="C2139" i="6"/>
  <c r="C2138" i="6"/>
  <c r="C2137" i="6"/>
  <c r="C2136" i="6"/>
  <c r="C2135" i="6"/>
  <c r="C2134" i="6"/>
  <c r="C2133" i="6"/>
  <c r="C2132" i="6"/>
  <c r="C2131" i="6"/>
  <c r="C2130" i="6"/>
  <c r="C2129" i="6"/>
  <c r="C2128" i="6"/>
  <c r="C2127" i="6"/>
  <c r="C2126" i="6"/>
  <c r="C2125" i="6"/>
  <c r="C2124" i="6"/>
  <c r="C2123" i="6"/>
  <c r="C2122" i="6"/>
  <c r="C2121" i="6"/>
  <c r="C2120" i="6"/>
  <c r="C2119" i="6"/>
  <c r="C2118" i="6"/>
  <c r="C2117" i="6"/>
  <c r="C2116" i="6"/>
  <c r="C2115" i="6"/>
  <c r="C2114" i="6"/>
  <c r="C2113" i="6"/>
  <c r="C2112" i="6"/>
  <c r="C2111" i="6"/>
  <c r="C2110" i="6"/>
  <c r="C2109" i="6"/>
  <c r="C2108" i="6"/>
  <c r="C2107" i="6"/>
  <c r="C2106" i="6"/>
  <c r="C2105" i="6"/>
  <c r="C2104" i="6"/>
  <c r="C2103" i="6"/>
  <c r="C2102" i="6"/>
  <c r="C2101" i="6"/>
  <c r="C2100" i="6"/>
  <c r="C2099" i="6"/>
  <c r="C2098" i="6"/>
  <c r="C2097" i="6"/>
  <c r="C2096" i="6"/>
  <c r="C2095" i="6"/>
  <c r="C2094" i="6"/>
  <c r="C2093" i="6"/>
  <c r="C2092" i="6"/>
  <c r="C2091" i="6"/>
  <c r="C2090" i="6"/>
  <c r="C2089" i="6"/>
  <c r="C2088" i="6"/>
  <c r="C2087" i="6"/>
  <c r="C2086" i="6"/>
  <c r="C2085" i="6"/>
  <c r="C2084" i="6"/>
  <c r="C2083" i="6"/>
  <c r="C2082" i="6"/>
  <c r="C2081" i="6"/>
  <c r="C2080" i="6"/>
  <c r="C2079" i="6"/>
  <c r="C2078" i="6"/>
  <c r="C2077" i="6"/>
  <c r="C2076" i="6"/>
  <c r="C2075" i="6"/>
  <c r="C2074" i="6"/>
  <c r="C2073" i="6"/>
  <c r="C2072" i="6"/>
  <c r="C2071" i="6"/>
  <c r="C2070" i="6"/>
  <c r="C2069" i="6"/>
  <c r="C2068" i="6"/>
  <c r="C2067" i="6"/>
  <c r="C2066" i="6"/>
  <c r="C2065" i="6"/>
  <c r="C2064" i="6"/>
  <c r="C2063" i="6"/>
  <c r="C2062" i="6"/>
  <c r="C2061" i="6"/>
  <c r="C2060" i="6"/>
  <c r="C2059" i="6"/>
  <c r="C2058" i="6"/>
  <c r="C2057" i="6"/>
  <c r="C2056" i="6"/>
  <c r="C2055" i="6"/>
  <c r="C2054" i="6"/>
  <c r="C2053" i="6"/>
  <c r="C2052" i="6"/>
  <c r="C2051" i="6"/>
  <c r="C2050" i="6"/>
  <c r="C2049" i="6"/>
  <c r="C2048" i="6"/>
  <c r="C2047" i="6"/>
  <c r="C2046" i="6"/>
  <c r="C2045" i="6"/>
  <c r="C2044" i="6"/>
  <c r="C2043" i="6"/>
  <c r="C2042" i="6"/>
  <c r="C2041" i="6"/>
  <c r="C2040" i="6"/>
  <c r="C2039" i="6"/>
  <c r="C2038" i="6"/>
  <c r="C2037" i="6"/>
  <c r="C2036" i="6"/>
  <c r="C2035" i="6"/>
  <c r="C2034" i="6"/>
  <c r="C2033" i="6"/>
  <c r="C2032" i="6"/>
  <c r="C2031" i="6"/>
  <c r="C2030" i="6"/>
  <c r="C2029" i="6"/>
  <c r="C2028" i="6"/>
  <c r="C2027" i="6"/>
  <c r="C2026" i="6"/>
  <c r="C2025" i="6"/>
  <c r="C2024" i="6"/>
  <c r="C2023" i="6"/>
  <c r="C2022" i="6"/>
  <c r="C2021" i="6"/>
  <c r="C2020" i="6"/>
  <c r="C2019" i="6"/>
  <c r="C2018" i="6"/>
  <c r="C2017" i="6"/>
  <c r="C2016" i="6"/>
  <c r="C2015" i="6"/>
  <c r="C2014" i="6"/>
  <c r="C2013" i="6"/>
  <c r="C2012" i="6"/>
  <c r="C2011" i="6"/>
  <c r="C2010" i="6"/>
  <c r="C2009" i="6"/>
  <c r="C2008" i="6"/>
  <c r="C2007" i="6"/>
  <c r="C2006" i="6"/>
  <c r="C2005" i="6"/>
  <c r="C2004" i="6"/>
  <c r="C2003" i="6"/>
  <c r="C2002" i="6"/>
  <c r="C2001" i="6"/>
  <c r="C2000" i="6"/>
  <c r="C1999" i="6"/>
  <c r="C1998" i="6"/>
  <c r="C1997" i="6"/>
  <c r="C1996" i="6"/>
  <c r="C1995" i="6"/>
  <c r="C1994" i="6"/>
  <c r="C1993" i="6"/>
  <c r="C1992" i="6"/>
  <c r="C1991" i="6"/>
  <c r="C1990" i="6"/>
  <c r="C1989" i="6"/>
  <c r="C1988" i="6"/>
  <c r="C1987" i="6"/>
  <c r="C1986" i="6"/>
  <c r="C1985" i="6"/>
  <c r="C1984" i="6"/>
  <c r="C1983" i="6"/>
  <c r="C1982" i="6"/>
  <c r="C1981" i="6"/>
  <c r="C1980" i="6"/>
  <c r="C1979" i="6"/>
  <c r="C1978" i="6"/>
  <c r="C1977" i="6"/>
  <c r="C1976" i="6"/>
  <c r="C1975" i="6"/>
  <c r="C1974" i="6"/>
  <c r="C1973" i="6"/>
  <c r="C1972" i="6"/>
  <c r="C1971" i="6"/>
  <c r="C1970" i="6"/>
  <c r="C1969" i="6"/>
  <c r="C1968" i="6"/>
  <c r="C1967" i="6"/>
  <c r="C1966" i="6"/>
  <c r="C1965" i="6"/>
  <c r="C1964" i="6"/>
  <c r="C1963" i="6"/>
  <c r="C1962" i="6"/>
  <c r="C1961" i="6"/>
  <c r="C1960" i="6"/>
  <c r="C1959" i="6"/>
  <c r="C1958" i="6"/>
  <c r="C1957" i="6"/>
  <c r="C1956" i="6"/>
  <c r="C1955" i="6"/>
  <c r="C1954" i="6"/>
  <c r="C1953" i="6"/>
  <c r="C1952" i="6"/>
  <c r="C1951" i="6"/>
  <c r="C1950" i="6"/>
  <c r="C1949" i="6"/>
  <c r="C1948" i="6"/>
  <c r="C1947" i="6"/>
  <c r="C1946" i="6"/>
  <c r="C1945" i="6"/>
  <c r="C1944" i="6"/>
  <c r="C1943" i="6"/>
  <c r="C1942" i="6"/>
  <c r="C1941" i="6"/>
  <c r="C1940" i="6"/>
  <c r="C1939" i="6"/>
  <c r="C1938" i="6"/>
  <c r="C1937" i="6"/>
  <c r="C1936" i="6"/>
  <c r="C1935" i="6"/>
  <c r="C1934" i="6"/>
  <c r="C1933" i="6"/>
  <c r="C1932" i="6"/>
  <c r="C1931" i="6"/>
  <c r="C1930" i="6"/>
  <c r="C1929" i="6"/>
  <c r="C1928" i="6"/>
  <c r="C1927" i="6"/>
  <c r="C1926" i="6"/>
  <c r="C1925" i="6"/>
  <c r="C1924" i="6"/>
  <c r="C1923" i="6"/>
  <c r="C1922" i="6"/>
  <c r="C1921" i="6"/>
  <c r="C1920" i="6"/>
  <c r="C1919" i="6"/>
  <c r="C1918" i="6"/>
  <c r="C1917" i="6"/>
  <c r="C1916" i="6"/>
  <c r="C1915" i="6"/>
  <c r="C1914" i="6"/>
  <c r="C1913" i="6"/>
  <c r="C1912" i="6"/>
  <c r="C1911" i="6"/>
  <c r="C1910" i="6"/>
  <c r="C1909" i="6"/>
  <c r="C1908" i="6"/>
  <c r="C1907" i="6"/>
  <c r="C1906" i="6"/>
  <c r="C1905" i="6"/>
  <c r="C1904" i="6"/>
  <c r="C1903" i="6"/>
  <c r="C1902" i="6"/>
  <c r="C1901" i="6"/>
  <c r="C1900" i="6"/>
  <c r="C1899" i="6"/>
  <c r="C1898" i="6"/>
  <c r="C1897" i="6"/>
  <c r="C1896" i="6"/>
  <c r="C1895" i="6"/>
  <c r="C1894" i="6"/>
  <c r="C1893" i="6"/>
  <c r="C1892" i="6"/>
  <c r="C1891" i="6"/>
  <c r="C1890" i="6"/>
  <c r="C1889" i="6"/>
  <c r="C1888" i="6"/>
  <c r="C1887" i="6"/>
  <c r="C1886" i="6"/>
  <c r="C1885" i="6"/>
  <c r="C1884" i="6"/>
  <c r="C1883" i="6"/>
  <c r="C1882" i="6"/>
  <c r="C1881" i="6"/>
  <c r="C1880" i="6"/>
  <c r="C1879" i="6"/>
  <c r="C1878" i="6"/>
  <c r="C1877" i="6"/>
  <c r="C1876" i="6"/>
  <c r="C1875" i="6"/>
  <c r="C1874" i="6"/>
  <c r="C1873" i="6"/>
  <c r="C1872" i="6"/>
  <c r="C1871" i="6"/>
  <c r="C1870" i="6"/>
  <c r="C1869" i="6"/>
  <c r="C1868" i="6"/>
  <c r="C1867" i="6"/>
  <c r="C1866" i="6"/>
  <c r="C1865" i="6"/>
  <c r="C1864" i="6"/>
  <c r="C1863" i="6"/>
  <c r="C1862" i="6"/>
  <c r="C1861" i="6"/>
  <c r="C1860" i="6"/>
  <c r="C1859" i="6"/>
  <c r="C1858" i="6"/>
  <c r="C1857" i="6"/>
  <c r="C1856" i="6"/>
  <c r="C1855" i="6"/>
  <c r="C1854" i="6"/>
  <c r="C1853" i="6"/>
  <c r="C1852" i="6"/>
  <c r="C1851" i="6"/>
  <c r="C1850" i="6"/>
  <c r="C1849" i="6"/>
  <c r="C1848" i="6"/>
  <c r="C1847" i="6"/>
  <c r="C1846" i="6"/>
  <c r="C1845" i="6"/>
  <c r="C1844" i="6"/>
  <c r="C1843" i="6"/>
  <c r="C1842" i="6"/>
  <c r="C1841" i="6"/>
  <c r="C1840" i="6"/>
  <c r="C1839" i="6"/>
  <c r="C1838" i="6"/>
  <c r="C1837" i="6"/>
  <c r="C1836" i="6"/>
  <c r="C1835" i="6"/>
  <c r="C1834" i="6"/>
  <c r="C1833" i="6"/>
  <c r="C1832" i="6"/>
  <c r="C1831" i="6"/>
  <c r="C1830" i="6"/>
  <c r="C1829" i="6"/>
  <c r="C1828" i="6"/>
  <c r="C1827" i="6"/>
  <c r="C1826" i="6"/>
  <c r="C1825" i="6"/>
  <c r="C1824" i="6"/>
  <c r="C1823" i="6"/>
  <c r="C1822" i="6"/>
  <c r="C1821" i="6"/>
  <c r="C1820" i="6"/>
  <c r="C1819" i="6"/>
  <c r="C1818" i="6"/>
  <c r="C1817" i="6"/>
  <c r="C1816" i="6"/>
  <c r="C1815" i="6"/>
  <c r="C1814" i="6"/>
  <c r="C1813" i="6"/>
  <c r="C1812" i="6"/>
  <c r="C1811" i="6"/>
  <c r="C1810" i="6"/>
  <c r="C1809" i="6"/>
  <c r="C1808" i="6"/>
  <c r="C1807" i="6"/>
  <c r="C1806" i="6"/>
  <c r="C1805" i="6"/>
  <c r="C1804" i="6"/>
  <c r="C1803" i="6"/>
  <c r="C1802" i="6"/>
  <c r="C1801" i="6"/>
  <c r="C1800" i="6"/>
  <c r="C1799" i="6"/>
  <c r="C1798" i="6"/>
  <c r="C1797" i="6"/>
  <c r="C1796" i="6"/>
  <c r="C1795" i="6"/>
  <c r="C1794" i="6"/>
  <c r="C1793" i="6"/>
  <c r="C1792" i="6"/>
  <c r="C1791" i="6"/>
  <c r="C1790" i="6"/>
  <c r="C1789" i="6"/>
  <c r="C1788" i="6"/>
  <c r="C1787" i="6"/>
  <c r="C1786" i="6"/>
  <c r="C1785" i="6"/>
  <c r="C1784" i="6"/>
  <c r="C1783" i="6"/>
  <c r="C1782" i="6"/>
  <c r="C1781" i="6"/>
  <c r="C1780" i="6"/>
  <c r="C1779" i="6"/>
  <c r="C1778" i="6"/>
  <c r="C1777" i="6"/>
  <c r="C1776" i="6"/>
  <c r="C1775" i="6"/>
  <c r="C1774" i="6"/>
  <c r="C1773" i="6"/>
  <c r="C1772" i="6"/>
  <c r="C1771" i="6"/>
  <c r="C1770" i="6"/>
  <c r="C1769" i="6"/>
  <c r="C1768" i="6"/>
  <c r="C1767" i="6"/>
  <c r="C1766" i="6"/>
  <c r="C1765" i="6"/>
  <c r="C1764" i="6"/>
  <c r="C1763" i="6"/>
  <c r="C1762" i="6"/>
  <c r="C1761" i="6"/>
  <c r="C1760" i="6"/>
  <c r="C1759" i="6"/>
  <c r="C1758" i="6"/>
  <c r="C1757" i="6"/>
  <c r="C1756" i="6"/>
  <c r="C1755" i="6"/>
  <c r="C1754" i="6"/>
  <c r="C1753" i="6"/>
  <c r="C1752" i="6"/>
  <c r="C1751" i="6"/>
  <c r="C1750" i="6"/>
  <c r="C1749" i="6"/>
  <c r="C1748" i="6"/>
  <c r="C1747" i="6"/>
  <c r="C1746" i="6"/>
  <c r="C1745" i="6"/>
  <c r="C1744" i="6"/>
  <c r="C1743" i="6"/>
  <c r="C1742" i="6"/>
  <c r="C1741" i="6"/>
  <c r="C1740" i="6"/>
  <c r="C1739" i="6"/>
  <c r="C1738" i="6"/>
  <c r="C1737" i="6"/>
  <c r="C1736" i="6"/>
  <c r="C1735" i="6"/>
  <c r="C1734" i="6"/>
  <c r="C1733" i="6"/>
  <c r="C1732" i="6"/>
  <c r="C1731" i="6"/>
  <c r="C1730" i="6"/>
  <c r="C1729" i="6"/>
  <c r="C1728" i="6"/>
  <c r="C1727" i="6"/>
  <c r="C1726" i="6"/>
  <c r="C1725" i="6"/>
  <c r="C1724" i="6"/>
  <c r="C1723" i="6"/>
  <c r="C1722" i="6"/>
  <c r="C1721" i="6"/>
  <c r="C1720" i="6"/>
  <c r="C1719" i="6"/>
  <c r="C1718" i="6"/>
  <c r="C1717" i="6"/>
  <c r="C1716" i="6"/>
  <c r="C1715" i="6"/>
  <c r="C1714" i="6"/>
  <c r="C1713" i="6"/>
  <c r="C1712" i="6"/>
  <c r="C1711" i="6"/>
  <c r="C1710" i="6"/>
  <c r="C1709" i="6"/>
  <c r="C1708" i="6"/>
  <c r="C1707" i="6"/>
  <c r="C1706" i="6"/>
  <c r="C1705" i="6"/>
  <c r="C1704" i="6"/>
  <c r="C1703" i="6"/>
  <c r="C1702" i="6"/>
  <c r="C1701" i="6"/>
  <c r="C1700" i="6"/>
  <c r="C1699" i="6"/>
  <c r="C1698" i="6"/>
  <c r="C1697" i="6"/>
  <c r="C1696" i="6"/>
  <c r="C1695" i="6"/>
  <c r="C1694" i="6"/>
  <c r="C1693" i="6"/>
  <c r="C1692" i="6"/>
  <c r="C1691" i="6"/>
  <c r="C1690" i="6"/>
  <c r="C1689" i="6"/>
  <c r="C1688" i="6"/>
  <c r="C1687" i="6"/>
  <c r="C1686" i="6"/>
  <c r="C1685" i="6"/>
  <c r="C1684" i="6"/>
  <c r="C1683" i="6"/>
  <c r="C1682" i="6"/>
  <c r="C1681" i="6"/>
  <c r="C1680" i="6"/>
  <c r="C1679" i="6"/>
  <c r="C1678" i="6"/>
  <c r="C1677" i="6"/>
  <c r="C1676" i="6"/>
  <c r="C1675" i="6"/>
  <c r="C1674" i="6"/>
  <c r="C1673" i="6"/>
  <c r="C1672" i="6"/>
  <c r="C1671" i="6"/>
  <c r="C1670" i="6"/>
  <c r="C1669" i="6"/>
  <c r="C1668" i="6"/>
  <c r="C1667" i="6"/>
  <c r="C1666" i="6"/>
  <c r="C1665" i="6"/>
  <c r="C1664" i="6"/>
  <c r="C1663" i="6"/>
  <c r="C1662" i="6"/>
  <c r="C1661" i="6"/>
  <c r="C1660" i="6"/>
  <c r="C1659" i="6"/>
  <c r="C1658" i="6"/>
  <c r="C1657" i="6"/>
  <c r="C1656" i="6"/>
  <c r="C1655" i="6"/>
  <c r="C1654" i="6"/>
  <c r="C1653" i="6"/>
  <c r="C1652" i="6"/>
  <c r="C1651" i="6"/>
  <c r="C1650" i="6"/>
  <c r="C1649" i="6"/>
  <c r="C1648" i="6"/>
  <c r="C1647" i="6"/>
  <c r="C1646" i="6"/>
  <c r="C1645" i="6"/>
  <c r="C1644" i="6"/>
  <c r="C1643" i="6"/>
  <c r="C1642" i="6"/>
  <c r="C1641" i="6"/>
  <c r="C1640" i="6"/>
  <c r="C1639" i="6"/>
  <c r="C1638" i="6"/>
  <c r="C1637" i="6"/>
  <c r="C1636" i="6"/>
  <c r="C1635" i="6"/>
  <c r="C1634" i="6"/>
  <c r="C1633" i="6"/>
  <c r="C1632" i="6"/>
  <c r="C1631" i="6"/>
  <c r="C1630" i="6"/>
  <c r="C1629" i="6"/>
  <c r="C1628" i="6"/>
  <c r="C1627" i="6"/>
  <c r="C1626" i="6"/>
  <c r="C1625" i="6"/>
  <c r="C1624" i="6"/>
  <c r="C1623" i="6"/>
  <c r="C1622" i="6"/>
  <c r="C1621" i="6"/>
  <c r="C1620" i="6"/>
  <c r="C1619" i="6"/>
  <c r="C1618" i="6"/>
  <c r="C1617" i="6"/>
  <c r="C1616" i="6"/>
  <c r="C1615" i="6"/>
  <c r="C1614" i="6"/>
  <c r="C1613" i="6"/>
  <c r="C1612" i="6"/>
  <c r="C1611" i="6"/>
  <c r="C1610" i="6"/>
  <c r="C1609" i="6"/>
  <c r="C1608" i="6"/>
  <c r="C1607" i="6"/>
  <c r="C1606" i="6"/>
  <c r="C1605" i="6"/>
  <c r="C1604" i="6"/>
  <c r="C1603" i="6"/>
  <c r="C1602" i="6"/>
  <c r="C1601" i="6"/>
  <c r="C1600" i="6"/>
  <c r="C1599" i="6"/>
  <c r="C1598" i="6"/>
  <c r="C1597" i="6"/>
  <c r="C1596" i="6"/>
  <c r="C1595" i="6"/>
  <c r="C1594" i="6"/>
  <c r="C1593" i="6"/>
  <c r="C1592" i="6"/>
  <c r="C1591" i="6"/>
  <c r="C1590" i="6"/>
  <c r="C1589" i="6"/>
  <c r="C1588" i="6"/>
  <c r="C1587" i="6"/>
  <c r="C1586" i="6"/>
  <c r="C1585" i="6"/>
  <c r="C1584" i="6"/>
  <c r="C1583" i="6"/>
  <c r="C1582" i="6"/>
  <c r="C1581" i="6"/>
  <c r="C1580" i="6"/>
  <c r="C1579" i="6"/>
  <c r="C1578" i="6"/>
  <c r="C1577" i="6"/>
  <c r="C1576" i="6"/>
  <c r="C1575" i="6"/>
  <c r="C1574" i="6"/>
  <c r="C1573" i="6"/>
  <c r="C1572" i="6"/>
  <c r="C1571" i="6"/>
  <c r="C1570" i="6"/>
  <c r="C1569" i="6"/>
  <c r="C1568" i="6"/>
  <c r="C1567" i="6"/>
  <c r="C1566" i="6"/>
  <c r="C1565" i="6"/>
  <c r="C1564" i="6"/>
  <c r="C1563" i="6"/>
  <c r="C1562" i="6"/>
  <c r="C1561" i="6"/>
  <c r="C1560" i="6"/>
  <c r="C1559" i="6"/>
  <c r="C1558" i="6"/>
  <c r="C1557" i="6"/>
  <c r="C1556" i="6"/>
  <c r="C1555" i="6"/>
  <c r="C1554" i="6"/>
  <c r="C1553" i="6"/>
  <c r="C1552" i="6"/>
  <c r="C1551" i="6"/>
  <c r="C1550" i="6"/>
  <c r="C1549" i="6"/>
  <c r="C1548" i="6"/>
  <c r="C1547" i="6"/>
  <c r="C1546" i="6"/>
  <c r="C1545" i="6"/>
  <c r="C1544" i="6"/>
  <c r="C1543" i="6"/>
  <c r="C1542" i="6"/>
  <c r="C1541" i="6"/>
  <c r="C1540" i="6"/>
  <c r="C1539" i="6"/>
  <c r="C1538" i="6"/>
  <c r="C1537" i="6"/>
  <c r="C1536" i="6"/>
  <c r="C1535" i="6"/>
  <c r="C1534" i="6"/>
  <c r="C1533" i="6"/>
  <c r="C1532" i="6"/>
  <c r="C1531" i="6"/>
  <c r="C1530" i="6"/>
  <c r="C1529" i="6"/>
  <c r="C1528" i="6"/>
  <c r="C1527" i="6"/>
  <c r="C1526" i="6"/>
  <c r="C1525" i="6"/>
  <c r="C1524" i="6"/>
  <c r="C1523" i="6"/>
  <c r="C1522" i="6"/>
  <c r="C1521" i="6"/>
  <c r="C1520" i="6"/>
  <c r="C1519" i="6"/>
  <c r="C1518" i="6"/>
  <c r="C1517" i="6"/>
  <c r="C1516" i="6"/>
  <c r="C1515" i="6"/>
  <c r="C1514" i="6"/>
  <c r="C1513" i="6"/>
  <c r="C1512" i="6"/>
  <c r="C1511" i="6"/>
  <c r="C1510" i="6"/>
  <c r="C1509" i="6"/>
  <c r="C1508" i="6"/>
  <c r="C1507" i="6"/>
  <c r="C1506" i="6"/>
  <c r="C1505" i="6"/>
  <c r="C1504" i="6"/>
  <c r="C1503" i="6"/>
  <c r="C1502" i="6"/>
  <c r="C1501" i="6"/>
  <c r="C1500" i="6"/>
  <c r="C1499" i="6"/>
  <c r="C1498" i="6"/>
  <c r="C1497" i="6"/>
  <c r="C1496" i="6"/>
  <c r="C1495" i="6"/>
  <c r="C1494" i="6"/>
  <c r="C1493" i="6"/>
  <c r="C1492" i="6"/>
  <c r="C1491" i="6"/>
  <c r="C1490" i="6"/>
  <c r="C1489" i="6"/>
  <c r="C1488" i="6"/>
  <c r="C1487" i="6"/>
  <c r="C1486" i="6"/>
  <c r="C1485" i="6"/>
  <c r="C1484" i="6"/>
  <c r="C1483" i="6"/>
  <c r="C1482" i="6"/>
  <c r="C1481" i="6"/>
  <c r="C1480" i="6"/>
  <c r="C1479" i="6"/>
  <c r="C1478" i="6"/>
  <c r="C1477" i="6"/>
  <c r="C1476" i="6"/>
  <c r="C1475" i="6"/>
  <c r="C1474" i="6"/>
  <c r="C1473" i="6"/>
  <c r="C1472" i="6"/>
  <c r="C1471" i="6"/>
  <c r="C1470" i="6"/>
  <c r="C1469" i="6"/>
  <c r="C1468" i="6"/>
  <c r="C1467" i="6"/>
  <c r="C1466" i="6"/>
  <c r="C1465" i="6"/>
  <c r="C1464" i="6"/>
  <c r="C1463" i="6"/>
  <c r="C1462" i="6"/>
  <c r="C1461" i="6"/>
  <c r="C1460" i="6"/>
  <c r="C1459" i="6"/>
  <c r="C1458" i="6"/>
  <c r="C1457" i="6"/>
  <c r="C1456" i="6"/>
  <c r="C1455" i="6"/>
  <c r="C1454" i="6"/>
  <c r="C1453" i="6"/>
  <c r="C1452" i="6"/>
  <c r="C1451" i="6"/>
  <c r="C1450" i="6"/>
  <c r="C1449" i="6"/>
  <c r="C1448" i="6"/>
  <c r="C1447" i="6"/>
  <c r="C1446" i="6"/>
  <c r="C1445" i="6"/>
  <c r="C1444" i="6"/>
  <c r="C1443" i="6"/>
  <c r="C1442" i="6"/>
  <c r="C1441" i="6"/>
  <c r="C1440" i="6"/>
  <c r="C1439" i="6"/>
  <c r="C1438" i="6"/>
  <c r="C1437" i="6"/>
  <c r="C1436" i="6"/>
  <c r="C1435" i="6"/>
  <c r="C1434" i="6"/>
  <c r="C1433" i="6"/>
  <c r="C1432" i="6"/>
  <c r="C1431" i="6"/>
  <c r="C1430" i="6"/>
  <c r="C1429" i="6"/>
  <c r="C1428" i="6"/>
  <c r="C1427" i="6"/>
  <c r="C1426" i="6"/>
  <c r="C1425" i="6"/>
  <c r="C1424" i="6"/>
  <c r="C1423" i="6"/>
  <c r="C1422" i="6"/>
  <c r="C1421" i="6"/>
  <c r="C1420" i="6"/>
  <c r="C1419" i="6"/>
  <c r="C1418" i="6"/>
  <c r="C1417" i="6"/>
  <c r="C1416" i="6"/>
  <c r="C1415" i="6"/>
  <c r="C1414" i="6"/>
  <c r="C1413" i="6"/>
  <c r="C1412" i="6"/>
  <c r="C4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8" i="8"/>
  <c r="L5" i="8"/>
  <c r="M5" i="8" s="1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8" i="6"/>
  <c r="N5" i="8" l="1"/>
  <c r="D8" i="12" l="1"/>
  <c r="D12" i="12"/>
  <c r="D16" i="12"/>
  <c r="D20" i="12"/>
  <c r="D24" i="12"/>
  <c r="D32" i="12"/>
  <c r="D17" i="12"/>
  <c r="D9" i="12"/>
  <c r="D10" i="12"/>
  <c r="D14" i="12"/>
  <c r="D18" i="12"/>
  <c r="D22" i="12"/>
  <c r="D26" i="12"/>
  <c r="D30" i="12"/>
  <c r="D34" i="12"/>
  <c r="D21" i="12"/>
  <c r="D11" i="12"/>
  <c r="D15" i="12"/>
  <c r="D19" i="12"/>
  <c r="D23" i="12"/>
  <c r="D27" i="12"/>
  <c r="D31" i="12"/>
  <c r="D13" i="12"/>
  <c r="D33" i="12"/>
  <c r="D7" i="12"/>
  <c r="J8" i="5"/>
  <c r="J5" i="5"/>
  <c r="J6" i="5"/>
  <c r="J7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E15" i="1" l="1"/>
  <c r="E14" i="1"/>
  <c r="D15" i="1"/>
  <c r="D23" i="1"/>
  <c r="D31" i="1"/>
  <c r="D39" i="1"/>
  <c r="D47" i="1"/>
  <c r="D55" i="1"/>
  <c r="D63" i="1"/>
  <c r="D71" i="1"/>
  <c r="D79" i="1"/>
  <c r="D87" i="1"/>
  <c r="D95" i="1"/>
  <c r="D103" i="1"/>
  <c r="D88" i="1"/>
  <c r="D16" i="1"/>
  <c r="B16" i="1" s="1"/>
  <c r="D24" i="1"/>
  <c r="D32" i="1"/>
  <c r="D40" i="1"/>
  <c r="D48" i="1"/>
  <c r="D56" i="1"/>
  <c r="D64" i="1"/>
  <c r="D72" i="1"/>
  <c r="D80" i="1"/>
  <c r="D96" i="1"/>
  <c r="B96" i="1" s="1"/>
  <c r="D104" i="1"/>
  <c r="D89" i="1"/>
  <c r="D17" i="1"/>
  <c r="D25" i="1"/>
  <c r="D33" i="1"/>
  <c r="D41" i="1"/>
  <c r="D49" i="1"/>
  <c r="D57" i="1"/>
  <c r="D65" i="1"/>
  <c r="D73" i="1"/>
  <c r="D81" i="1"/>
  <c r="D97" i="1"/>
  <c r="D90" i="1"/>
  <c r="D18" i="1"/>
  <c r="D26" i="1"/>
  <c r="D34" i="1"/>
  <c r="D42" i="1"/>
  <c r="D50" i="1"/>
  <c r="B50" i="1" s="1"/>
  <c r="D58" i="1"/>
  <c r="D66" i="1"/>
  <c r="D74" i="1"/>
  <c r="D82" i="1"/>
  <c r="B82" i="1" s="1"/>
  <c r="D98" i="1"/>
  <c r="B98" i="1" s="1"/>
  <c r="D19" i="1"/>
  <c r="D27" i="1"/>
  <c r="D35" i="1"/>
  <c r="D43" i="1"/>
  <c r="D51" i="1"/>
  <c r="D59" i="1"/>
  <c r="D67" i="1"/>
  <c r="D75" i="1"/>
  <c r="D83" i="1"/>
  <c r="D91" i="1"/>
  <c r="D99" i="1"/>
  <c r="D92" i="1"/>
  <c r="D20" i="1"/>
  <c r="D28" i="1"/>
  <c r="D36" i="1"/>
  <c r="D44" i="1"/>
  <c r="D52" i="1"/>
  <c r="D60" i="1"/>
  <c r="D68" i="1"/>
  <c r="D76" i="1"/>
  <c r="D84" i="1"/>
  <c r="D100" i="1"/>
  <c r="D93" i="1"/>
  <c r="D21" i="1"/>
  <c r="D29" i="1"/>
  <c r="D37" i="1"/>
  <c r="D45" i="1"/>
  <c r="D53" i="1"/>
  <c r="D61" i="1"/>
  <c r="D69" i="1"/>
  <c r="D77" i="1"/>
  <c r="D85" i="1"/>
  <c r="D101" i="1"/>
  <c r="D94" i="1"/>
  <c r="D14" i="1"/>
  <c r="D22" i="1"/>
  <c r="D30" i="1"/>
  <c r="D38" i="1"/>
  <c r="D46" i="1"/>
  <c r="B46" i="1" s="1"/>
  <c r="D54" i="1"/>
  <c r="D62" i="1"/>
  <c r="B62" i="1" s="1"/>
  <c r="D70" i="1"/>
  <c r="D78" i="1"/>
  <c r="D86" i="1"/>
  <c r="D102" i="1"/>
  <c r="E11" i="1"/>
  <c r="E13" i="1"/>
  <c r="E12" i="1"/>
  <c r="E6" i="1"/>
  <c r="E8" i="1"/>
  <c r="E10" i="1"/>
  <c r="E9" i="1"/>
  <c r="E7" i="1"/>
  <c r="D13" i="1"/>
  <c r="D12" i="1"/>
  <c r="D11" i="1"/>
  <c r="B11" i="1" s="1"/>
  <c r="D10" i="1"/>
  <c r="D5" i="1"/>
  <c r="D9" i="1"/>
  <c r="D8" i="1"/>
  <c r="D7" i="1"/>
  <c r="D6" i="1"/>
  <c r="E5" i="1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E5" i="8"/>
  <c r="F5" i="8" s="1"/>
  <c r="G5" i="8" s="1"/>
  <c r="B9" i="1" l="1"/>
  <c r="B10" i="1"/>
  <c r="B15" i="1"/>
  <c r="B5" i="1"/>
  <c r="B65" i="1"/>
  <c r="B93" i="1"/>
  <c r="B14" i="1"/>
  <c r="B80" i="1"/>
  <c r="B7" i="1"/>
  <c r="B19" i="1"/>
  <c r="B78" i="1"/>
  <c r="B95" i="1"/>
  <c r="B32" i="1"/>
  <c r="B13" i="1"/>
  <c r="B94" i="1"/>
  <c r="B31" i="1"/>
  <c r="B81" i="1"/>
  <c r="B12" i="1"/>
  <c r="B28" i="1"/>
  <c r="B8" i="1"/>
  <c r="B26" i="1"/>
  <c r="B27" i="1"/>
  <c r="B44" i="1"/>
  <c r="B20" i="1"/>
  <c r="B21" i="1"/>
  <c r="B22" i="1"/>
  <c r="B23" i="1"/>
  <c r="B24" i="1"/>
  <c r="B25" i="1"/>
  <c r="B42" i="1"/>
  <c r="B43" i="1"/>
  <c r="B60" i="1"/>
  <c r="B47" i="1"/>
  <c r="B36" i="1"/>
  <c r="B37" i="1"/>
  <c r="B38" i="1"/>
  <c r="B39" i="1"/>
  <c r="B40" i="1"/>
  <c r="B41" i="1"/>
  <c r="B58" i="1"/>
  <c r="B59" i="1"/>
  <c r="B76" i="1"/>
  <c r="B52" i="1"/>
  <c r="B53" i="1"/>
  <c r="B54" i="1"/>
  <c r="B55" i="1"/>
  <c r="B56" i="1"/>
  <c r="B57" i="1"/>
  <c r="B74" i="1"/>
  <c r="B75" i="1"/>
  <c r="B92" i="1"/>
  <c r="B18" i="1"/>
  <c r="B35" i="1"/>
  <c r="B68" i="1"/>
  <c r="B69" i="1"/>
  <c r="B70" i="1"/>
  <c r="B71" i="1"/>
  <c r="B72" i="1"/>
  <c r="B73" i="1"/>
  <c r="B90" i="1"/>
  <c r="B91" i="1"/>
  <c r="B97" i="1"/>
  <c r="B17" i="1"/>
  <c r="B34" i="1"/>
  <c r="B51" i="1"/>
  <c r="B84" i="1"/>
  <c r="B85" i="1"/>
  <c r="B86" i="1"/>
  <c r="B87" i="1"/>
  <c r="B88" i="1"/>
  <c r="B89" i="1"/>
  <c r="B61" i="1"/>
  <c r="B48" i="1"/>
  <c r="B64" i="1"/>
  <c r="B33" i="1"/>
  <c r="B67" i="1"/>
  <c r="B100" i="1"/>
  <c r="B101" i="1"/>
  <c r="B102" i="1"/>
  <c r="B103" i="1"/>
  <c r="B104" i="1"/>
  <c r="B6" i="1"/>
  <c r="B29" i="1"/>
  <c r="B77" i="1"/>
  <c r="B30" i="1"/>
  <c r="B49" i="1"/>
  <c r="B66" i="1"/>
  <c r="B83" i="1"/>
  <c r="B45" i="1"/>
  <c r="B79" i="1"/>
  <c r="B99" i="1"/>
  <c r="B63" i="1"/>
  <c r="K5" i="8"/>
  <c r="H5" i="8"/>
  <c r="I5" i="8" s="1"/>
  <c r="J36" i="8" l="1"/>
  <c r="E33" i="8"/>
  <c r="F33" i="8" s="1"/>
  <c r="E34" i="8"/>
  <c r="F34" i="8" s="1"/>
  <c r="E35" i="8"/>
  <c r="F35" i="8" s="1"/>
  <c r="E36" i="8"/>
  <c r="F36" i="8" s="1"/>
  <c r="E37" i="8"/>
  <c r="F37" i="8" s="1"/>
  <c r="H37" i="8" s="1"/>
  <c r="J37" i="8"/>
  <c r="E38" i="8"/>
  <c r="F38" i="8" s="1"/>
  <c r="J38" i="8"/>
  <c r="E39" i="8"/>
  <c r="F39" i="8" s="1"/>
  <c r="J39" i="8"/>
  <c r="E40" i="8"/>
  <c r="F40" i="8" s="1"/>
  <c r="J40" i="8"/>
  <c r="E41" i="8"/>
  <c r="F41" i="8" s="1"/>
  <c r="J41" i="8"/>
  <c r="E42" i="8"/>
  <c r="F42" i="8" s="1"/>
  <c r="J42" i="8"/>
  <c r="E43" i="8"/>
  <c r="F43" i="8" s="1"/>
  <c r="J43" i="8"/>
  <c r="E44" i="8"/>
  <c r="F44" i="8" s="1"/>
  <c r="J44" i="8"/>
  <c r="E45" i="8"/>
  <c r="F45" i="8" s="1"/>
  <c r="J45" i="8"/>
  <c r="E46" i="8"/>
  <c r="F46" i="8" s="1"/>
  <c r="H46" i="8" s="1"/>
  <c r="J46" i="8"/>
  <c r="E47" i="8"/>
  <c r="F47" i="8" s="1"/>
  <c r="J47" i="8"/>
  <c r="E48" i="8"/>
  <c r="F48" i="8" s="1"/>
  <c r="J48" i="8"/>
  <c r="E49" i="8"/>
  <c r="F49" i="8" s="1"/>
  <c r="J49" i="8"/>
  <c r="E50" i="8"/>
  <c r="F50" i="8" s="1"/>
  <c r="J50" i="8"/>
  <c r="E51" i="8"/>
  <c r="F51" i="8" s="1"/>
  <c r="J51" i="8"/>
  <c r="E52" i="8"/>
  <c r="F52" i="8" s="1"/>
  <c r="J52" i="8"/>
  <c r="E53" i="8"/>
  <c r="F53" i="8" s="1"/>
  <c r="K53" i="8" s="1"/>
  <c r="J53" i="8"/>
  <c r="E54" i="8"/>
  <c r="F54" i="8" s="1"/>
  <c r="J54" i="8"/>
  <c r="E55" i="8"/>
  <c r="F55" i="8" s="1"/>
  <c r="J55" i="8"/>
  <c r="E56" i="8"/>
  <c r="F56" i="8" s="1"/>
  <c r="J56" i="8"/>
  <c r="E57" i="8"/>
  <c r="F57" i="8" s="1"/>
  <c r="J57" i="8"/>
  <c r="E58" i="8"/>
  <c r="F58" i="8" s="1"/>
  <c r="J58" i="8"/>
  <c r="E59" i="8"/>
  <c r="F59" i="8" s="1"/>
  <c r="J59" i="8"/>
  <c r="E60" i="8"/>
  <c r="F60" i="8" s="1"/>
  <c r="J60" i="8"/>
  <c r="E61" i="8"/>
  <c r="F61" i="8" s="1"/>
  <c r="J61" i="8"/>
  <c r="E62" i="8"/>
  <c r="F62" i="8" s="1"/>
  <c r="J62" i="8"/>
  <c r="E63" i="8"/>
  <c r="F63" i="8" s="1"/>
  <c r="J63" i="8"/>
  <c r="E64" i="8"/>
  <c r="F64" i="8" s="1"/>
  <c r="K64" i="8" s="1"/>
  <c r="J64" i="8"/>
  <c r="E65" i="8"/>
  <c r="F65" i="8" s="1"/>
  <c r="J65" i="8"/>
  <c r="E66" i="8"/>
  <c r="F66" i="8" s="1"/>
  <c r="H66" i="8" s="1"/>
  <c r="J66" i="8"/>
  <c r="E67" i="8"/>
  <c r="F67" i="8" s="1"/>
  <c r="J67" i="8"/>
  <c r="E68" i="8"/>
  <c r="F68" i="8" s="1"/>
  <c r="J68" i="8"/>
  <c r="E69" i="8"/>
  <c r="F69" i="8" s="1"/>
  <c r="J69" i="8"/>
  <c r="E70" i="8"/>
  <c r="F70" i="8" s="1"/>
  <c r="J70" i="8"/>
  <c r="E71" i="8"/>
  <c r="F71" i="8" s="1"/>
  <c r="J71" i="8"/>
  <c r="E72" i="8"/>
  <c r="F72" i="8" s="1"/>
  <c r="J72" i="8"/>
  <c r="E73" i="8"/>
  <c r="F73" i="8" s="1"/>
  <c r="J73" i="8"/>
  <c r="E74" i="8"/>
  <c r="F74" i="8" s="1"/>
  <c r="J74" i="8"/>
  <c r="E75" i="8"/>
  <c r="F75" i="8" s="1"/>
  <c r="J75" i="8"/>
  <c r="E76" i="8"/>
  <c r="F76" i="8" s="1"/>
  <c r="J76" i="8"/>
  <c r="E77" i="8"/>
  <c r="F77" i="8" s="1"/>
  <c r="J77" i="8"/>
  <c r="E78" i="8"/>
  <c r="F78" i="8" s="1"/>
  <c r="J78" i="8"/>
  <c r="E79" i="8"/>
  <c r="F79" i="8" s="1"/>
  <c r="J79" i="8"/>
  <c r="E80" i="8"/>
  <c r="F80" i="8" s="1"/>
  <c r="K80" i="8" s="1"/>
  <c r="J80" i="8"/>
  <c r="E81" i="8"/>
  <c r="F81" i="8" s="1"/>
  <c r="J81" i="8"/>
  <c r="E82" i="8"/>
  <c r="F82" i="8" s="1"/>
  <c r="H82" i="8" s="1"/>
  <c r="J82" i="8"/>
  <c r="E83" i="8"/>
  <c r="F83" i="8" s="1"/>
  <c r="J83" i="8"/>
  <c r="E84" i="8"/>
  <c r="F84" i="8" s="1"/>
  <c r="J84" i="8"/>
  <c r="E85" i="8"/>
  <c r="F85" i="8" s="1"/>
  <c r="J85" i="8"/>
  <c r="E86" i="8"/>
  <c r="F86" i="8" s="1"/>
  <c r="J86" i="8"/>
  <c r="E87" i="8"/>
  <c r="F87" i="8" s="1"/>
  <c r="K87" i="8" s="1"/>
  <c r="J87" i="8"/>
  <c r="E88" i="8"/>
  <c r="F88" i="8" s="1"/>
  <c r="J88" i="8"/>
  <c r="E89" i="8"/>
  <c r="F89" i="8" s="1"/>
  <c r="J89" i="8"/>
  <c r="E90" i="8"/>
  <c r="F90" i="8" s="1"/>
  <c r="J90" i="8"/>
  <c r="E91" i="8"/>
  <c r="F91" i="8" s="1"/>
  <c r="J91" i="8"/>
  <c r="E92" i="8"/>
  <c r="F92" i="8" s="1"/>
  <c r="J92" i="8"/>
  <c r="E93" i="8"/>
  <c r="F93" i="8" s="1"/>
  <c r="J93" i="8"/>
  <c r="E94" i="8"/>
  <c r="F94" i="8" s="1"/>
  <c r="J94" i="8"/>
  <c r="E95" i="8"/>
  <c r="F95" i="8" s="1"/>
  <c r="J95" i="8"/>
  <c r="E96" i="8"/>
  <c r="F96" i="8" s="1"/>
  <c r="K96" i="8" s="1"/>
  <c r="J96" i="8"/>
  <c r="E97" i="8"/>
  <c r="F97" i="8" s="1"/>
  <c r="J97" i="8"/>
  <c r="E98" i="8"/>
  <c r="F98" i="8" s="1"/>
  <c r="H98" i="8" s="1"/>
  <c r="J98" i="8"/>
  <c r="E99" i="8"/>
  <c r="F99" i="8" s="1"/>
  <c r="J99" i="8"/>
  <c r="E100" i="8"/>
  <c r="F100" i="8" s="1"/>
  <c r="J100" i="8"/>
  <c r="E101" i="8"/>
  <c r="F101" i="8" s="1"/>
  <c r="K101" i="8" s="1"/>
  <c r="J101" i="8"/>
  <c r="E102" i="8"/>
  <c r="F102" i="8" s="1"/>
  <c r="J102" i="8"/>
  <c r="E103" i="8"/>
  <c r="F103" i="8" s="1"/>
  <c r="K103" i="8" s="1"/>
  <c r="J103" i="8"/>
  <c r="E104" i="8"/>
  <c r="F104" i="8" s="1"/>
  <c r="J104" i="8"/>
  <c r="E105" i="8"/>
  <c r="F105" i="8" s="1"/>
  <c r="J105" i="8"/>
  <c r="E106" i="8"/>
  <c r="F106" i="8" s="1"/>
  <c r="J106" i="8"/>
  <c r="E107" i="8"/>
  <c r="F107" i="8" s="1"/>
  <c r="J107" i="8"/>
  <c r="E108" i="8"/>
  <c r="F108" i="8" s="1"/>
  <c r="J108" i="8"/>
  <c r="E109" i="8"/>
  <c r="F109" i="8" s="1"/>
  <c r="J109" i="8"/>
  <c r="E110" i="8"/>
  <c r="F110" i="8" s="1"/>
  <c r="J110" i="8"/>
  <c r="E111" i="8"/>
  <c r="F111" i="8" s="1"/>
  <c r="J111" i="8"/>
  <c r="E112" i="8"/>
  <c r="F112" i="8" s="1"/>
  <c r="K112" i="8" s="1"/>
  <c r="J112" i="8"/>
  <c r="E113" i="8"/>
  <c r="F113" i="8" s="1"/>
  <c r="J113" i="8"/>
  <c r="E114" i="8"/>
  <c r="F114" i="8" s="1"/>
  <c r="H114" i="8" s="1"/>
  <c r="J114" i="8"/>
  <c r="E115" i="8"/>
  <c r="F115" i="8" s="1"/>
  <c r="J115" i="8"/>
  <c r="E116" i="8"/>
  <c r="F116" i="8" s="1"/>
  <c r="J116" i="8"/>
  <c r="E117" i="8"/>
  <c r="F117" i="8" s="1"/>
  <c r="J117" i="8"/>
  <c r="E118" i="8"/>
  <c r="F118" i="8"/>
  <c r="J118" i="8"/>
  <c r="E119" i="8"/>
  <c r="F119" i="8" s="1"/>
  <c r="K119" i="8" s="1"/>
  <c r="J119" i="8"/>
  <c r="E120" i="8"/>
  <c r="F120" i="8" s="1"/>
  <c r="J120" i="8"/>
  <c r="E121" i="8"/>
  <c r="F121" i="8" s="1"/>
  <c r="J121" i="8"/>
  <c r="E122" i="8"/>
  <c r="F122" i="8" s="1"/>
  <c r="J122" i="8"/>
  <c r="E123" i="8"/>
  <c r="F123" i="8" s="1"/>
  <c r="J123" i="8"/>
  <c r="E124" i="8"/>
  <c r="F124" i="8" s="1"/>
  <c r="J124" i="8"/>
  <c r="E125" i="8"/>
  <c r="F125" i="8" s="1"/>
  <c r="J125" i="8"/>
  <c r="E126" i="8"/>
  <c r="F126" i="8" s="1"/>
  <c r="J126" i="8"/>
  <c r="E127" i="8"/>
  <c r="F127" i="8" s="1"/>
  <c r="H127" i="8" s="1"/>
  <c r="J127" i="8"/>
  <c r="E128" i="8"/>
  <c r="F128" i="8" s="1"/>
  <c r="K128" i="8" s="1"/>
  <c r="J128" i="8"/>
  <c r="E129" i="8"/>
  <c r="F129" i="8" s="1"/>
  <c r="J129" i="8"/>
  <c r="E130" i="8"/>
  <c r="F130" i="8" s="1"/>
  <c r="J130" i="8"/>
  <c r="E131" i="8"/>
  <c r="F131" i="8" s="1"/>
  <c r="J131" i="8"/>
  <c r="E132" i="8"/>
  <c r="F132" i="8" s="1"/>
  <c r="J132" i="8"/>
  <c r="E133" i="8"/>
  <c r="F133" i="8" s="1"/>
  <c r="K133" i="8" s="1"/>
  <c r="J133" i="8"/>
  <c r="E134" i="8"/>
  <c r="F134" i="8" s="1"/>
  <c r="J134" i="8"/>
  <c r="E135" i="8"/>
  <c r="F135" i="8" s="1"/>
  <c r="K135" i="8" s="1"/>
  <c r="J135" i="8"/>
  <c r="E136" i="8"/>
  <c r="F136" i="8" s="1"/>
  <c r="J136" i="8"/>
  <c r="E137" i="8"/>
  <c r="F137" i="8" s="1"/>
  <c r="J137" i="8"/>
  <c r="E138" i="8"/>
  <c r="F138" i="8" s="1"/>
  <c r="J138" i="8"/>
  <c r="E139" i="8"/>
  <c r="F139" i="8" s="1"/>
  <c r="J139" i="8"/>
  <c r="E140" i="8"/>
  <c r="F140" i="8" s="1"/>
  <c r="J140" i="8"/>
  <c r="E141" i="8"/>
  <c r="F141" i="8" s="1"/>
  <c r="J141" i="8"/>
  <c r="E142" i="8"/>
  <c r="F142" i="8" s="1"/>
  <c r="J142" i="8"/>
  <c r="E143" i="8"/>
  <c r="F143" i="8" s="1"/>
  <c r="J143" i="8"/>
  <c r="E144" i="8"/>
  <c r="F144" i="8" s="1"/>
  <c r="K144" i="8" s="1"/>
  <c r="J144" i="8"/>
  <c r="E145" i="8"/>
  <c r="F145" i="8" s="1"/>
  <c r="J145" i="8"/>
  <c r="E146" i="8"/>
  <c r="F146" i="8" s="1"/>
  <c r="J146" i="8"/>
  <c r="E147" i="8"/>
  <c r="F147" i="8" s="1"/>
  <c r="J147" i="8"/>
  <c r="E148" i="8"/>
  <c r="F148" i="8" s="1"/>
  <c r="J148" i="8"/>
  <c r="E149" i="8"/>
  <c r="F149" i="8" s="1"/>
  <c r="J149" i="8"/>
  <c r="E150" i="8"/>
  <c r="F150" i="8" s="1"/>
  <c r="J150" i="8"/>
  <c r="E151" i="8"/>
  <c r="F151" i="8" s="1"/>
  <c r="K151" i="8" s="1"/>
  <c r="J151" i="8"/>
  <c r="E152" i="8"/>
  <c r="F152" i="8" s="1"/>
  <c r="J152" i="8"/>
  <c r="E153" i="8"/>
  <c r="F153" i="8" s="1"/>
  <c r="J153" i="8"/>
  <c r="E154" i="8"/>
  <c r="F154" i="8" s="1"/>
  <c r="J154" i="8"/>
  <c r="E155" i="8"/>
  <c r="F155" i="8" s="1"/>
  <c r="J155" i="8"/>
  <c r="E156" i="8"/>
  <c r="F156" i="8" s="1"/>
  <c r="J156" i="8"/>
  <c r="E157" i="8"/>
  <c r="F157" i="8" s="1"/>
  <c r="J157" i="8"/>
  <c r="E158" i="8"/>
  <c r="F158" i="8" s="1"/>
  <c r="J158" i="8"/>
  <c r="E159" i="8"/>
  <c r="F159" i="8" s="1"/>
  <c r="H159" i="8" s="1"/>
  <c r="J159" i="8"/>
  <c r="E160" i="8"/>
  <c r="F160" i="8" s="1"/>
  <c r="J160" i="8"/>
  <c r="E161" i="8"/>
  <c r="F161" i="8" s="1"/>
  <c r="J161" i="8"/>
  <c r="E162" i="8"/>
  <c r="F162" i="8" s="1"/>
  <c r="J162" i="8"/>
  <c r="E163" i="8"/>
  <c r="F163" i="8" s="1"/>
  <c r="J163" i="8"/>
  <c r="E164" i="8"/>
  <c r="F164" i="8" s="1"/>
  <c r="J164" i="8"/>
  <c r="E165" i="8"/>
  <c r="F165" i="8" s="1"/>
  <c r="J165" i="8"/>
  <c r="E166" i="8"/>
  <c r="F166" i="8" s="1"/>
  <c r="J166" i="8"/>
  <c r="E167" i="8"/>
  <c r="F167" i="8" s="1"/>
  <c r="K167" i="8" s="1"/>
  <c r="J167" i="8"/>
  <c r="E168" i="8"/>
  <c r="F168" i="8" s="1"/>
  <c r="J168" i="8"/>
  <c r="E169" i="8"/>
  <c r="F169" i="8" s="1"/>
  <c r="J169" i="8"/>
  <c r="E170" i="8"/>
  <c r="F170" i="8" s="1"/>
  <c r="J170" i="8"/>
  <c r="E171" i="8"/>
  <c r="F171" i="8" s="1"/>
  <c r="J171" i="8"/>
  <c r="E172" i="8"/>
  <c r="F172" i="8" s="1"/>
  <c r="J172" i="8"/>
  <c r="E173" i="8"/>
  <c r="F173" i="8" s="1"/>
  <c r="J173" i="8"/>
  <c r="E174" i="8"/>
  <c r="F174" i="8" s="1"/>
  <c r="J174" i="8"/>
  <c r="E175" i="8"/>
  <c r="F175" i="8" s="1"/>
  <c r="J175" i="8"/>
  <c r="E176" i="8"/>
  <c r="F176" i="8" s="1"/>
  <c r="K176" i="8" s="1"/>
  <c r="J176" i="8"/>
  <c r="E177" i="8"/>
  <c r="F177" i="8" s="1"/>
  <c r="J177" i="8"/>
  <c r="E178" i="8"/>
  <c r="F178" i="8" s="1"/>
  <c r="H178" i="8" s="1"/>
  <c r="J178" i="8"/>
  <c r="E179" i="8"/>
  <c r="F179" i="8" s="1"/>
  <c r="J179" i="8"/>
  <c r="E180" i="8"/>
  <c r="F180" i="8" s="1"/>
  <c r="J180" i="8"/>
  <c r="E181" i="8"/>
  <c r="F181" i="8" s="1"/>
  <c r="K181" i="8" s="1"/>
  <c r="J181" i="8"/>
  <c r="E182" i="8"/>
  <c r="F182" i="8" s="1"/>
  <c r="J182" i="8"/>
  <c r="E183" i="8"/>
  <c r="F183" i="8" s="1"/>
  <c r="K183" i="8" s="1"/>
  <c r="J183" i="8"/>
  <c r="E184" i="8"/>
  <c r="F184" i="8" s="1"/>
  <c r="J184" i="8"/>
  <c r="E185" i="8"/>
  <c r="F185" i="8"/>
  <c r="J185" i="8"/>
  <c r="E186" i="8"/>
  <c r="F186" i="8" s="1"/>
  <c r="J186" i="8"/>
  <c r="E187" i="8"/>
  <c r="F187" i="8" s="1"/>
  <c r="J187" i="8"/>
  <c r="E188" i="8"/>
  <c r="F188" i="8" s="1"/>
  <c r="J188" i="8"/>
  <c r="E189" i="8"/>
  <c r="F189" i="8" s="1"/>
  <c r="J189" i="8"/>
  <c r="E190" i="8"/>
  <c r="F190" i="8" s="1"/>
  <c r="J190" i="8"/>
  <c r="E191" i="8"/>
  <c r="F191" i="8" s="1"/>
  <c r="H191" i="8" s="1"/>
  <c r="J191" i="8"/>
  <c r="E192" i="8"/>
  <c r="F192" i="8" s="1"/>
  <c r="K192" i="8" s="1"/>
  <c r="J192" i="8"/>
  <c r="E193" i="8"/>
  <c r="F193" i="8" s="1"/>
  <c r="J193" i="8"/>
  <c r="E194" i="8"/>
  <c r="F194" i="8" s="1"/>
  <c r="J194" i="8"/>
  <c r="E195" i="8"/>
  <c r="F195" i="8" s="1"/>
  <c r="J195" i="8"/>
  <c r="E196" i="8"/>
  <c r="F196" i="8" s="1"/>
  <c r="J196" i="8"/>
  <c r="E197" i="8"/>
  <c r="F197" i="8"/>
  <c r="K197" i="8" s="1"/>
  <c r="J197" i="8"/>
  <c r="E198" i="8"/>
  <c r="F198" i="8" s="1"/>
  <c r="J198" i="8"/>
  <c r="E199" i="8"/>
  <c r="F199" i="8" s="1"/>
  <c r="K199" i="8" s="1"/>
  <c r="J199" i="8"/>
  <c r="E200" i="8"/>
  <c r="F200" i="8" s="1"/>
  <c r="J200" i="8"/>
  <c r="E201" i="8"/>
  <c r="F201" i="8" s="1"/>
  <c r="J201" i="8"/>
  <c r="E202" i="8"/>
  <c r="F202" i="8" s="1"/>
  <c r="J202" i="8"/>
  <c r="E203" i="8"/>
  <c r="F203" i="8" s="1"/>
  <c r="J203" i="8"/>
  <c r="E204" i="8"/>
  <c r="F204" i="8" s="1"/>
  <c r="J204" i="8"/>
  <c r="E205" i="8"/>
  <c r="F205" i="8" s="1"/>
  <c r="J205" i="8"/>
  <c r="E206" i="8"/>
  <c r="F206" i="8" s="1"/>
  <c r="J206" i="8"/>
  <c r="E207" i="8"/>
  <c r="F207" i="8"/>
  <c r="H207" i="8" s="1"/>
  <c r="J207" i="8"/>
  <c r="E208" i="8"/>
  <c r="F208" i="8" s="1"/>
  <c r="K208" i="8" s="1"/>
  <c r="J208" i="8"/>
  <c r="E209" i="8"/>
  <c r="F209" i="8" s="1"/>
  <c r="J209" i="8"/>
  <c r="E210" i="8"/>
  <c r="F210" i="8" s="1"/>
  <c r="J210" i="8"/>
  <c r="E211" i="8"/>
  <c r="F211" i="8" s="1"/>
  <c r="J211" i="8"/>
  <c r="E212" i="8"/>
  <c r="F212" i="8" s="1"/>
  <c r="J212" i="8"/>
  <c r="E213" i="8"/>
  <c r="F213" i="8" s="1"/>
  <c r="K213" i="8" s="1"/>
  <c r="J213" i="8"/>
  <c r="E214" i="8"/>
  <c r="F214" i="8" s="1"/>
  <c r="J214" i="8"/>
  <c r="E215" i="8"/>
  <c r="F215" i="8" s="1"/>
  <c r="K215" i="8" s="1"/>
  <c r="J215" i="8"/>
  <c r="E216" i="8"/>
  <c r="F216" i="8" s="1"/>
  <c r="J216" i="8"/>
  <c r="E217" i="8"/>
  <c r="F217" i="8" s="1"/>
  <c r="J217" i="8"/>
  <c r="E218" i="8"/>
  <c r="F218" i="8" s="1"/>
  <c r="J218" i="8"/>
  <c r="E219" i="8"/>
  <c r="F219" i="8" s="1"/>
  <c r="J219" i="8"/>
  <c r="E220" i="8"/>
  <c r="F220" i="8" s="1"/>
  <c r="J220" i="8"/>
  <c r="E221" i="8"/>
  <c r="F221" i="8" s="1"/>
  <c r="J221" i="8"/>
  <c r="E222" i="8"/>
  <c r="F222" i="8" s="1"/>
  <c r="J222" i="8"/>
  <c r="E223" i="8"/>
  <c r="F223" i="8" s="1"/>
  <c r="H223" i="8" s="1"/>
  <c r="J223" i="8"/>
  <c r="E224" i="8"/>
  <c r="F224" i="8" s="1"/>
  <c r="K224" i="8" s="1"/>
  <c r="J224" i="8"/>
  <c r="E225" i="8"/>
  <c r="F225" i="8" s="1"/>
  <c r="J225" i="8"/>
  <c r="E226" i="8"/>
  <c r="F226" i="8" s="1"/>
  <c r="H226" i="8" s="1"/>
  <c r="J226" i="8"/>
  <c r="E227" i="8"/>
  <c r="F227" i="8" s="1"/>
  <c r="J227" i="8"/>
  <c r="E228" i="8"/>
  <c r="F228" i="8" s="1"/>
  <c r="J228" i="8"/>
  <c r="E229" i="8"/>
  <c r="F229" i="8" s="1"/>
  <c r="K229" i="8" s="1"/>
  <c r="J229" i="8"/>
  <c r="E230" i="8"/>
  <c r="F230" i="8" s="1"/>
  <c r="J230" i="8"/>
  <c r="E231" i="8"/>
  <c r="F231" i="8" s="1"/>
  <c r="K231" i="8" s="1"/>
  <c r="J231" i="8"/>
  <c r="E232" i="8"/>
  <c r="F232" i="8" s="1"/>
  <c r="H232" i="8" s="1"/>
  <c r="J232" i="8"/>
  <c r="E233" i="8"/>
  <c r="F233" i="8" s="1"/>
  <c r="J233" i="8"/>
  <c r="E234" i="8"/>
  <c r="F234" i="8" s="1"/>
  <c r="J234" i="8"/>
  <c r="E235" i="8"/>
  <c r="F235" i="8" s="1"/>
  <c r="J235" i="8"/>
  <c r="E236" i="8"/>
  <c r="F236" i="8" s="1"/>
  <c r="J236" i="8"/>
  <c r="E237" i="8"/>
  <c r="F237" i="8" s="1"/>
  <c r="J237" i="8"/>
  <c r="E238" i="8"/>
  <c r="F238" i="8" s="1"/>
  <c r="J238" i="8"/>
  <c r="E239" i="8"/>
  <c r="F239" i="8"/>
  <c r="H239" i="8" s="1"/>
  <c r="J239" i="8"/>
  <c r="E240" i="8"/>
  <c r="F240" i="8" s="1"/>
  <c r="H240" i="8" s="1"/>
  <c r="J240" i="8"/>
  <c r="E241" i="8"/>
  <c r="F241" i="8" s="1"/>
  <c r="J241" i="8"/>
  <c r="E242" i="8"/>
  <c r="F242" i="8" s="1"/>
  <c r="J242" i="8"/>
  <c r="E243" i="8"/>
  <c r="F243" i="8" s="1"/>
  <c r="K243" i="8" s="1"/>
  <c r="J243" i="8"/>
  <c r="E244" i="8"/>
  <c r="F244" i="8" s="1"/>
  <c r="J244" i="8"/>
  <c r="E245" i="8"/>
  <c r="F245" i="8" s="1"/>
  <c r="J245" i="8"/>
  <c r="E246" i="8"/>
  <c r="F246" i="8" s="1"/>
  <c r="J246" i="8"/>
  <c r="E247" i="8"/>
  <c r="F247" i="8" s="1"/>
  <c r="J247" i="8"/>
  <c r="E248" i="8"/>
  <c r="F248" i="8" s="1"/>
  <c r="H248" i="8" s="1"/>
  <c r="J248" i="8"/>
  <c r="E249" i="8"/>
  <c r="F249" i="8" s="1"/>
  <c r="H249" i="8" s="1"/>
  <c r="J249" i="8"/>
  <c r="E250" i="8"/>
  <c r="F250" i="8" s="1"/>
  <c r="J250" i="8"/>
  <c r="E251" i="8"/>
  <c r="F251" i="8" s="1"/>
  <c r="J251" i="8"/>
  <c r="E252" i="8"/>
  <c r="F252" i="8" s="1"/>
  <c r="J252" i="8"/>
  <c r="E253" i="8"/>
  <c r="F253" i="8" s="1"/>
  <c r="J253" i="8"/>
  <c r="E254" i="8"/>
  <c r="F254" i="8" s="1"/>
  <c r="J254" i="8"/>
  <c r="E255" i="8"/>
  <c r="F255" i="8" s="1"/>
  <c r="J255" i="8"/>
  <c r="E256" i="8"/>
  <c r="F256" i="8" s="1"/>
  <c r="H256" i="8" s="1"/>
  <c r="J256" i="8"/>
  <c r="E257" i="8"/>
  <c r="F257" i="8" s="1"/>
  <c r="J257" i="8"/>
  <c r="E258" i="8"/>
  <c r="F258" i="8"/>
  <c r="H258" i="8" s="1"/>
  <c r="J258" i="8"/>
  <c r="E259" i="8"/>
  <c r="F259" i="8" s="1"/>
  <c r="J259" i="8"/>
  <c r="E260" i="8"/>
  <c r="F260" i="8" s="1"/>
  <c r="K260" i="8" s="1"/>
  <c r="J260" i="8"/>
  <c r="E261" i="8"/>
  <c r="F261" i="8"/>
  <c r="H261" i="8" s="1"/>
  <c r="J261" i="8"/>
  <c r="E262" i="8"/>
  <c r="F262" i="8" s="1"/>
  <c r="H262" i="8" s="1"/>
  <c r="J262" i="8"/>
  <c r="E263" i="8"/>
  <c r="F263" i="8" s="1"/>
  <c r="H263" i="8" s="1"/>
  <c r="J263" i="8"/>
  <c r="E264" i="8"/>
  <c r="F264" i="8" s="1"/>
  <c r="H264" i="8" s="1"/>
  <c r="J264" i="8"/>
  <c r="E265" i="8"/>
  <c r="F265" i="8" s="1"/>
  <c r="H265" i="8" s="1"/>
  <c r="J265" i="8"/>
  <c r="E266" i="8"/>
  <c r="F266" i="8" s="1"/>
  <c r="J266" i="8"/>
  <c r="E267" i="8"/>
  <c r="F267" i="8" s="1"/>
  <c r="J267" i="8"/>
  <c r="E268" i="8"/>
  <c r="F268" i="8" s="1"/>
  <c r="J268" i="8"/>
  <c r="E269" i="8"/>
  <c r="F269" i="8" s="1"/>
  <c r="J269" i="8"/>
  <c r="E270" i="8"/>
  <c r="F270" i="8" s="1"/>
  <c r="H270" i="8" s="1"/>
  <c r="J270" i="8"/>
  <c r="E271" i="8"/>
  <c r="F271" i="8" s="1"/>
  <c r="J271" i="8"/>
  <c r="E272" i="8"/>
  <c r="F272" i="8" s="1"/>
  <c r="H272" i="8" s="1"/>
  <c r="J272" i="8"/>
  <c r="E273" i="8"/>
  <c r="F273" i="8" s="1"/>
  <c r="J273" i="8"/>
  <c r="E274" i="8"/>
  <c r="F274" i="8" s="1"/>
  <c r="J274" i="8"/>
  <c r="E275" i="8"/>
  <c r="F275" i="8" s="1"/>
  <c r="J275" i="8"/>
  <c r="E276" i="8"/>
  <c r="F276" i="8"/>
  <c r="K276" i="8" s="1"/>
  <c r="J276" i="8"/>
  <c r="E277" i="8"/>
  <c r="F277" i="8" s="1"/>
  <c r="J277" i="8"/>
  <c r="E278" i="8"/>
  <c r="F278" i="8" s="1"/>
  <c r="H278" i="8" s="1"/>
  <c r="J278" i="8"/>
  <c r="E279" i="8"/>
  <c r="F279" i="8" s="1"/>
  <c r="H279" i="8" s="1"/>
  <c r="J279" i="8"/>
  <c r="E280" i="8"/>
  <c r="F280" i="8" s="1"/>
  <c r="K280" i="8" s="1"/>
  <c r="J280" i="8"/>
  <c r="E281" i="8"/>
  <c r="F281" i="8" s="1"/>
  <c r="H281" i="8" s="1"/>
  <c r="J281" i="8"/>
  <c r="E282" i="8"/>
  <c r="F282" i="8" s="1"/>
  <c r="K282" i="8" s="1"/>
  <c r="J282" i="8"/>
  <c r="E283" i="8"/>
  <c r="F283" i="8" s="1"/>
  <c r="K283" i="8" s="1"/>
  <c r="J283" i="8"/>
  <c r="E284" i="8"/>
  <c r="F284" i="8" s="1"/>
  <c r="H284" i="8" s="1"/>
  <c r="J284" i="8"/>
  <c r="E285" i="8"/>
  <c r="F285" i="8" s="1"/>
  <c r="J285" i="8"/>
  <c r="E286" i="8"/>
  <c r="F286" i="8" s="1"/>
  <c r="J286" i="8"/>
  <c r="E287" i="8"/>
  <c r="F287" i="8" s="1"/>
  <c r="J287" i="8"/>
  <c r="E288" i="8"/>
  <c r="F288" i="8" s="1"/>
  <c r="J288" i="8"/>
  <c r="E289" i="8"/>
  <c r="F289" i="8" s="1"/>
  <c r="J289" i="8"/>
  <c r="E290" i="8"/>
  <c r="F290" i="8" s="1"/>
  <c r="J290" i="8"/>
  <c r="E291" i="8"/>
  <c r="F291" i="8" s="1"/>
  <c r="J291" i="8"/>
  <c r="E292" i="8"/>
  <c r="F292" i="8"/>
  <c r="J292" i="8"/>
  <c r="E293" i="8"/>
  <c r="F293" i="8" s="1"/>
  <c r="J293" i="8"/>
  <c r="E294" i="8"/>
  <c r="F294" i="8" s="1"/>
  <c r="J294" i="8"/>
  <c r="E295" i="8"/>
  <c r="F295" i="8" s="1"/>
  <c r="K295" i="8" s="1"/>
  <c r="J295" i="8"/>
  <c r="E296" i="8"/>
  <c r="F296" i="8" s="1"/>
  <c r="J296" i="8"/>
  <c r="E297" i="8"/>
  <c r="F297" i="8" s="1"/>
  <c r="J297" i="8"/>
  <c r="E298" i="8"/>
  <c r="F298" i="8" s="1"/>
  <c r="K298" i="8" s="1"/>
  <c r="J298" i="8"/>
  <c r="E299" i="8"/>
  <c r="F299" i="8" s="1"/>
  <c r="J299" i="8"/>
  <c r="E300" i="8"/>
  <c r="F300" i="8" s="1"/>
  <c r="H300" i="8" s="1"/>
  <c r="J300" i="8"/>
  <c r="E301" i="8"/>
  <c r="F301" i="8" s="1"/>
  <c r="J301" i="8"/>
  <c r="E302" i="8"/>
  <c r="F302" i="8" s="1"/>
  <c r="J302" i="8"/>
  <c r="E303" i="8"/>
  <c r="F303" i="8" s="1"/>
  <c r="J303" i="8"/>
  <c r="E304" i="8"/>
  <c r="F304" i="8" s="1"/>
  <c r="H304" i="8" s="1"/>
  <c r="J304" i="8"/>
  <c r="E305" i="8"/>
  <c r="F305" i="8" s="1"/>
  <c r="J305" i="8"/>
  <c r="E306" i="8"/>
  <c r="F306" i="8" s="1"/>
  <c r="H306" i="8" s="1"/>
  <c r="J306" i="8"/>
  <c r="E307" i="8"/>
  <c r="F307" i="8" s="1"/>
  <c r="J307" i="8"/>
  <c r="E308" i="8"/>
  <c r="F308" i="8" s="1"/>
  <c r="J308" i="8"/>
  <c r="E309" i="8"/>
  <c r="F309" i="8" s="1"/>
  <c r="J309" i="8"/>
  <c r="E310" i="8"/>
  <c r="F310" i="8" s="1"/>
  <c r="J310" i="8"/>
  <c r="E311" i="8"/>
  <c r="F311" i="8" s="1"/>
  <c r="K311" i="8" s="1"/>
  <c r="J311" i="8"/>
  <c r="E312" i="8"/>
  <c r="F312" i="8" s="1"/>
  <c r="K312" i="8" s="1"/>
  <c r="J312" i="8"/>
  <c r="E313" i="8"/>
  <c r="F313" i="8" s="1"/>
  <c r="J313" i="8"/>
  <c r="E314" i="8"/>
  <c r="F314" i="8" s="1"/>
  <c r="K314" i="8" s="1"/>
  <c r="J314" i="8"/>
  <c r="E315" i="8"/>
  <c r="F315" i="8" s="1"/>
  <c r="H315" i="8" s="1"/>
  <c r="J315" i="8"/>
  <c r="E316" i="8"/>
  <c r="F316" i="8" s="1"/>
  <c r="J316" i="8"/>
  <c r="E317" i="8"/>
  <c r="F317" i="8" s="1"/>
  <c r="J317" i="8"/>
  <c r="E318" i="8"/>
  <c r="F318" i="8" s="1"/>
  <c r="J318" i="8"/>
  <c r="E319" i="8"/>
  <c r="F319" i="8" s="1"/>
  <c r="J319" i="8"/>
  <c r="E320" i="8"/>
  <c r="F320" i="8" s="1"/>
  <c r="H320" i="8" s="1"/>
  <c r="J320" i="8"/>
  <c r="E321" i="8"/>
  <c r="F321" i="8" s="1"/>
  <c r="J321" i="8"/>
  <c r="E322" i="8"/>
  <c r="F322" i="8" s="1"/>
  <c r="J322" i="8"/>
  <c r="E323" i="8"/>
  <c r="F323" i="8" s="1"/>
  <c r="J323" i="8"/>
  <c r="E324" i="8"/>
  <c r="F324" i="8" s="1"/>
  <c r="J324" i="8"/>
  <c r="E325" i="8"/>
  <c r="F325" i="8" s="1"/>
  <c r="J325" i="8"/>
  <c r="E326" i="8"/>
  <c r="F326" i="8" s="1"/>
  <c r="J326" i="8"/>
  <c r="E327" i="8"/>
  <c r="F327" i="8" s="1"/>
  <c r="K327" i="8" s="1"/>
  <c r="J327" i="8"/>
  <c r="E328" i="8"/>
  <c r="F328" i="8" s="1"/>
  <c r="K328" i="8" s="1"/>
  <c r="J328" i="8"/>
  <c r="E329" i="8"/>
  <c r="F329" i="8"/>
  <c r="J329" i="8"/>
  <c r="E330" i="8"/>
  <c r="F330" i="8" s="1"/>
  <c r="K330" i="8" s="1"/>
  <c r="J330" i="8"/>
  <c r="E331" i="8"/>
  <c r="F331" i="8" s="1"/>
  <c r="H331" i="8" s="1"/>
  <c r="J331" i="8"/>
  <c r="E332" i="8"/>
  <c r="F332" i="8" s="1"/>
  <c r="J332" i="8"/>
  <c r="E333" i="8"/>
  <c r="F333" i="8" s="1"/>
  <c r="J333" i="8"/>
  <c r="E334" i="8"/>
  <c r="F334" i="8" s="1"/>
  <c r="J334" i="8"/>
  <c r="E335" i="8"/>
  <c r="F335" i="8" s="1"/>
  <c r="J335" i="8"/>
  <c r="E336" i="8"/>
  <c r="F336" i="8" s="1"/>
  <c r="H336" i="8" s="1"/>
  <c r="J336" i="8"/>
  <c r="E337" i="8"/>
  <c r="F337" i="8" s="1"/>
  <c r="J337" i="8"/>
  <c r="E338" i="8"/>
  <c r="F338" i="8" s="1"/>
  <c r="J338" i="8"/>
  <c r="E339" i="8"/>
  <c r="F339" i="8" s="1"/>
  <c r="J339" i="8"/>
  <c r="E340" i="8"/>
  <c r="F340" i="8" s="1"/>
  <c r="J340" i="8"/>
  <c r="E341" i="8"/>
  <c r="F341" i="8" s="1"/>
  <c r="J341" i="8"/>
  <c r="E342" i="8"/>
  <c r="F342" i="8"/>
  <c r="J342" i="8"/>
  <c r="E343" i="8"/>
  <c r="F343" i="8" s="1"/>
  <c r="K343" i="8" s="1"/>
  <c r="J343" i="8"/>
  <c r="E344" i="8"/>
  <c r="F344" i="8" s="1"/>
  <c r="H344" i="8" s="1"/>
  <c r="J344" i="8"/>
  <c r="E345" i="8"/>
  <c r="F345" i="8" s="1"/>
  <c r="H345" i="8" s="1"/>
  <c r="J345" i="8"/>
  <c r="E346" i="8"/>
  <c r="F346" i="8" s="1"/>
  <c r="K346" i="8" s="1"/>
  <c r="J346" i="8"/>
  <c r="E347" i="8"/>
  <c r="F347" i="8" s="1"/>
  <c r="J347" i="8"/>
  <c r="E348" i="8"/>
  <c r="F348" i="8" s="1"/>
  <c r="J348" i="8"/>
  <c r="E349" i="8"/>
  <c r="F349" i="8" s="1"/>
  <c r="J349" i="8"/>
  <c r="E350" i="8"/>
  <c r="F350" i="8" s="1"/>
  <c r="J350" i="8"/>
  <c r="E351" i="8"/>
  <c r="F351" i="8" s="1"/>
  <c r="J351" i="8"/>
  <c r="E352" i="8"/>
  <c r="F352" i="8" s="1"/>
  <c r="H352" i="8" s="1"/>
  <c r="J352" i="8"/>
  <c r="E353" i="8"/>
  <c r="F353" i="8" s="1"/>
  <c r="J353" i="8"/>
  <c r="E354" i="8"/>
  <c r="F354" i="8" s="1"/>
  <c r="J354" i="8"/>
  <c r="E355" i="8"/>
  <c r="F355" i="8" s="1"/>
  <c r="J355" i="8"/>
  <c r="E356" i="8"/>
  <c r="F356" i="8" s="1"/>
  <c r="J356" i="8"/>
  <c r="E357" i="8"/>
  <c r="F357" i="8" s="1"/>
  <c r="J357" i="8"/>
  <c r="E358" i="8"/>
  <c r="F358" i="8" s="1"/>
  <c r="J358" i="8"/>
  <c r="E359" i="8"/>
  <c r="F359" i="8" s="1"/>
  <c r="J359" i="8"/>
  <c r="E360" i="8"/>
  <c r="F360" i="8" s="1"/>
  <c r="J360" i="8"/>
  <c r="E361" i="8"/>
  <c r="F361" i="8" s="1"/>
  <c r="J361" i="8"/>
  <c r="E362" i="8"/>
  <c r="F362" i="8" s="1"/>
  <c r="K362" i="8" s="1"/>
  <c r="J362" i="8"/>
  <c r="E363" i="8"/>
  <c r="F363" i="8" s="1"/>
  <c r="J363" i="8"/>
  <c r="E364" i="8"/>
  <c r="F364" i="8" s="1"/>
  <c r="J364" i="8"/>
  <c r="E365" i="8"/>
  <c r="F365" i="8" s="1"/>
  <c r="J365" i="8"/>
  <c r="E366" i="8"/>
  <c r="F366" i="8" s="1"/>
  <c r="J366" i="8"/>
  <c r="E367" i="8"/>
  <c r="F367" i="8" s="1"/>
  <c r="J367" i="8"/>
  <c r="E368" i="8"/>
  <c r="F368" i="8" s="1"/>
  <c r="J368" i="8"/>
  <c r="E369" i="8"/>
  <c r="F369" i="8" s="1"/>
  <c r="J369" i="8"/>
  <c r="E370" i="8"/>
  <c r="F370" i="8" s="1"/>
  <c r="J370" i="8"/>
  <c r="E371" i="8"/>
  <c r="F371" i="8" s="1"/>
  <c r="J371" i="8"/>
  <c r="E372" i="8"/>
  <c r="F372" i="8" s="1"/>
  <c r="K372" i="8" s="1"/>
  <c r="J372" i="8"/>
  <c r="E373" i="8"/>
  <c r="F373" i="8" s="1"/>
  <c r="J373" i="8"/>
  <c r="E374" i="8"/>
  <c r="F374" i="8" s="1"/>
  <c r="J374" i="8"/>
  <c r="E375" i="8"/>
  <c r="F375" i="8" s="1"/>
  <c r="J375" i="8"/>
  <c r="E376" i="8"/>
  <c r="F376" i="8" s="1"/>
  <c r="K376" i="8" s="1"/>
  <c r="J376" i="8"/>
  <c r="E377" i="8"/>
  <c r="F377" i="8" s="1"/>
  <c r="J377" i="8"/>
  <c r="E378" i="8"/>
  <c r="F378" i="8" s="1"/>
  <c r="J378" i="8"/>
  <c r="E379" i="8"/>
  <c r="F379" i="8" s="1"/>
  <c r="J379" i="8"/>
  <c r="E380" i="8"/>
  <c r="F380" i="8" s="1"/>
  <c r="J380" i="8"/>
  <c r="E381" i="8"/>
  <c r="F381" i="8" s="1"/>
  <c r="J381" i="8"/>
  <c r="E382" i="8"/>
  <c r="F382" i="8" s="1"/>
  <c r="H382" i="8" s="1"/>
  <c r="J382" i="8"/>
  <c r="E383" i="8"/>
  <c r="F383" i="8" s="1"/>
  <c r="J383" i="8"/>
  <c r="E384" i="8"/>
  <c r="F384" i="8" s="1"/>
  <c r="J384" i="8"/>
  <c r="E385" i="8"/>
  <c r="F385" i="8" s="1"/>
  <c r="J385" i="8"/>
  <c r="E386" i="8"/>
  <c r="F386" i="8" s="1"/>
  <c r="J386" i="8"/>
  <c r="E387" i="8"/>
  <c r="F387" i="8" s="1"/>
  <c r="H387" i="8" s="1"/>
  <c r="J387" i="8"/>
  <c r="E388" i="8"/>
  <c r="F388" i="8" s="1"/>
  <c r="K388" i="8" s="1"/>
  <c r="J388" i="8"/>
  <c r="E389" i="8"/>
  <c r="F389" i="8" s="1"/>
  <c r="J389" i="8"/>
  <c r="E390" i="8"/>
  <c r="F390" i="8" s="1"/>
  <c r="J390" i="8"/>
  <c r="E391" i="8"/>
  <c r="F391" i="8" s="1"/>
  <c r="J391" i="8"/>
  <c r="E392" i="8"/>
  <c r="F392" i="8" s="1"/>
  <c r="H392" i="8" s="1"/>
  <c r="J392" i="8"/>
  <c r="E393" i="8"/>
  <c r="F393" i="8" s="1"/>
  <c r="J393" i="8"/>
  <c r="E394" i="8"/>
  <c r="F394" i="8" s="1"/>
  <c r="J394" i="8"/>
  <c r="E395" i="8"/>
  <c r="F395" i="8" s="1"/>
  <c r="J395" i="8"/>
  <c r="E396" i="8"/>
  <c r="F396" i="8" s="1"/>
  <c r="J396" i="8"/>
  <c r="E397" i="8"/>
  <c r="F397" i="8" s="1"/>
  <c r="J397" i="8"/>
  <c r="E398" i="8"/>
  <c r="F398" i="8" s="1"/>
  <c r="J398" i="8"/>
  <c r="E399" i="8"/>
  <c r="F399" i="8" s="1"/>
  <c r="J399" i="8"/>
  <c r="E400" i="8"/>
  <c r="F400" i="8" s="1"/>
  <c r="J400" i="8"/>
  <c r="E401" i="8"/>
  <c r="F401" i="8" s="1"/>
  <c r="J401" i="8"/>
  <c r="E402" i="8"/>
  <c r="F402" i="8"/>
  <c r="J402" i="8"/>
  <c r="E403" i="8"/>
  <c r="F403" i="8" s="1"/>
  <c r="H403" i="8" s="1"/>
  <c r="J403" i="8"/>
  <c r="E404" i="8"/>
  <c r="F404" i="8" s="1"/>
  <c r="K404" i="8" s="1"/>
  <c r="J404" i="8"/>
  <c r="E405" i="8"/>
  <c r="F405" i="8" s="1"/>
  <c r="J405" i="8"/>
  <c r="E406" i="8"/>
  <c r="F406" i="8" s="1"/>
  <c r="J406" i="8"/>
  <c r="E407" i="8"/>
  <c r="F407" i="8" s="1"/>
  <c r="H407" i="8" s="1"/>
  <c r="J407" i="8"/>
  <c r="E408" i="8"/>
  <c r="F408" i="8" s="1"/>
  <c r="H408" i="8" s="1"/>
  <c r="J408" i="8"/>
  <c r="E409" i="8"/>
  <c r="F409" i="8" s="1"/>
  <c r="J409" i="8"/>
  <c r="E410" i="8"/>
  <c r="F410" i="8"/>
  <c r="J410" i="8"/>
  <c r="E411" i="8"/>
  <c r="F411" i="8" s="1"/>
  <c r="H411" i="8" s="1"/>
  <c r="J411" i="8"/>
  <c r="E412" i="8"/>
  <c r="F412" i="8" s="1"/>
  <c r="J412" i="8"/>
  <c r="E413" i="8"/>
  <c r="F413" i="8" s="1"/>
  <c r="J413" i="8"/>
  <c r="E414" i="8"/>
  <c r="F414" i="8" s="1"/>
  <c r="H414" i="8" s="1"/>
  <c r="J414" i="8"/>
  <c r="E415" i="8"/>
  <c r="F415" i="8" s="1"/>
  <c r="H415" i="8" s="1"/>
  <c r="J415" i="8"/>
  <c r="E416" i="8"/>
  <c r="F416" i="8" s="1"/>
  <c r="J416" i="8"/>
  <c r="E417" i="8"/>
  <c r="F417" i="8" s="1"/>
  <c r="J417" i="8"/>
  <c r="E418" i="8"/>
  <c r="F418" i="8" s="1"/>
  <c r="K418" i="8" s="1"/>
  <c r="J418" i="8"/>
  <c r="E419" i="8"/>
  <c r="F419" i="8" s="1"/>
  <c r="J419" i="8"/>
  <c r="E420" i="8"/>
  <c r="F420" i="8" s="1"/>
  <c r="K420" i="8" s="1"/>
  <c r="J420" i="8"/>
  <c r="E421" i="8"/>
  <c r="F421" i="8" s="1"/>
  <c r="K421" i="8" s="1"/>
  <c r="J421" i="8"/>
  <c r="E422" i="8"/>
  <c r="F422" i="8" s="1"/>
  <c r="J422" i="8"/>
  <c r="E423" i="8"/>
  <c r="F423" i="8" s="1"/>
  <c r="H423" i="8" s="1"/>
  <c r="J423" i="8"/>
  <c r="E424" i="8"/>
  <c r="F424" i="8" s="1"/>
  <c r="H424" i="8" s="1"/>
  <c r="J424" i="8"/>
  <c r="E425" i="8"/>
  <c r="F425" i="8" s="1"/>
  <c r="J425" i="8"/>
  <c r="E426" i="8"/>
  <c r="F426" i="8" s="1"/>
  <c r="J426" i="8"/>
  <c r="E427" i="8"/>
  <c r="F427" i="8" s="1"/>
  <c r="H427" i="8" s="1"/>
  <c r="J427" i="8"/>
  <c r="E428" i="8"/>
  <c r="F428" i="8" s="1"/>
  <c r="J428" i="8"/>
  <c r="E429" i="8"/>
  <c r="F429" i="8" s="1"/>
  <c r="K429" i="8" s="1"/>
  <c r="J429" i="8"/>
  <c r="E430" i="8"/>
  <c r="F430" i="8" s="1"/>
  <c r="H430" i="8" s="1"/>
  <c r="J430" i="8"/>
  <c r="E431" i="8"/>
  <c r="F431" i="8" s="1"/>
  <c r="H431" i="8" s="1"/>
  <c r="J431" i="8"/>
  <c r="E432" i="8"/>
  <c r="F432" i="8" s="1"/>
  <c r="J432" i="8"/>
  <c r="E433" i="8"/>
  <c r="F433" i="8" s="1"/>
  <c r="J433" i="8"/>
  <c r="E434" i="8"/>
  <c r="F434" i="8" s="1"/>
  <c r="J434" i="8"/>
  <c r="E435" i="8"/>
  <c r="F435" i="8" s="1"/>
  <c r="J435" i="8"/>
  <c r="E436" i="8"/>
  <c r="F436" i="8" s="1"/>
  <c r="J436" i="8"/>
  <c r="E437" i="8"/>
  <c r="F437" i="8" s="1"/>
  <c r="K437" i="8" s="1"/>
  <c r="J437" i="8"/>
  <c r="E438" i="8"/>
  <c r="F438" i="8" s="1"/>
  <c r="J438" i="8"/>
  <c r="E439" i="8"/>
  <c r="F439" i="8" s="1"/>
  <c r="J439" i="8"/>
  <c r="E440" i="8"/>
  <c r="F440" i="8" s="1"/>
  <c r="J440" i="8"/>
  <c r="E441" i="8"/>
  <c r="F441" i="8" s="1"/>
  <c r="J441" i="8"/>
  <c r="E442" i="8"/>
  <c r="F442" i="8" s="1"/>
  <c r="H442" i="8" s="1"/>
  <c r="J442" i="8"/>
  <c r="E443" i="8"/>
  <c r="F443" i="8" s="1"/>
  <c r="J443" i="8"/>
  <c r="E444" i="8"/>
  <c r="F444" i="8" s="1"/>
  <c r="H444" i="8" s="1"/>
  <c r="J444" i="8"/>
  <c r="E445" i="8"/>
  <c r="F445" i="8" s="1"/>
  <c r="J445" i="8"/>
  <c r="E446" i="8"/>
  <c r="F446" i="8" s="1"/>
  <c r="J446" i="8"/>
  <c r="E447" i="8"/>
  <c r="F447" i="8" s="1"/>
  <c r="H447" i="8" s="1"/>
  <c r="J447" i="8"/>
  <c r="E448" i="8"/>
  <c r="F448" i="8" s="1"/>
  <c r="J448" i="8"/>
  <c r="E449" i="8"/>
  <c r="F449" i="8" s="1"/>
  <c r="J449" i="8"/>
  <c r="E450" i="8"/>
  <c r="F450" i="8" s="1"/>
  <c r="J450" i="8"/>
  <c r="E451" i="8"/>
  <c r="F451" i="8" s="1"/>
  <c r="J451" i="8"/>
  <c r="E452" i="8"/>
  <c r="F452" i="8" s="1"/>
  <c r="J452" i="8"/>
  <c r="E453" i="8"/>
  <c r="F453" i="8" s="1"/>
  <c r="K453" i="8" s="1"/>
  <c r="J453" i="8"/>
  <c r="E454" i="8"/>
  <c r="F454" i="8"/>
  <c r="J454" i="8"/>
  <c r="E455" i="8"/>
  <c r="F455" i="8" s="1"/>
  <c r="J455" i="8"/>
  <c r="E456" i="8"/>
  <c r="F456" i="8" s="1"/>
  <c r="J456" i="8"/>
  <c r="E457" i="8"/>
  <c r="F457" i="8" s="1"/>
  <c r="J457" i="8"/>
  <c r="E458" i="8"/>
  <c r="F458" i="8" s="1"/>
  <c r="H458" i="8" s="1"/>
  <c r="J458" i="8"/>
  <c r="E459" i="8"/>
  <c r="F459" i="8" s="1"/>
  <c r="J459" i="8"/>
  <c r="E460" i="8"/>
  <c r="F460" i="8" s="1"/>
  <c r="H460" i="8" s="1"/>
  <c r="J460" i="8"/>
  <c r="E461" i="8"/>
  <c r="F461" i="8" s="1"/>
  <c r="J461" i="8"/>
  <c r="E462" i="8"/>
  <c r="F462" i="8" s="1"/>
  <c r="J462" i="8"/>
  <c r="E463" i="8"/>
  <c r="F463" i="8" s="1"/>
  <c r="H463" i="8" s="1"/>
  <c r="J463" i="8"/>
  <c r="E464" i="8"/>
  <c r="F464" i="8"/>
  <c r="J464" i="8"/>
  <c r="E465" i="8"/>
  <c r="F465" i="8" s="1"/>
  <c r="J465" i="8"/>
  <c r="E466" i="8"/>
  <c r="F466" i="8" s="1"/>
  <c r="J466" i="8"/>
  <c r="E467" i="8"/>
  <c r="F467" i="8" s="1"/>
  <c r="J467" i="8"/>
  <c r="E468" i="8"/>
  <c r="F468" i="8" s="1"/>
  <c r="J468" i="8"/>
  <c r="E469" i="8"/>
  <c r="F469" i="8" s="1"/>
  <c r="K469" i="8" s="1"/>
  <c r="J469" i="8"/>
  <c r="E470" i="8"/>
  <c r="F470" i="8" s="1"/>
  <c r="J470" i="8"/>
  <c r="E471" i="8"/>
  <c r="F471" i="8" s="1"/>
  <c r="J471" i="8"/>
  <c r="E472" i="8"/>
  <c r="F472" i="8" s="1"/>
  <c r="J472" i="8"/>
  <c r="E473" i="8"/>
  <c r="F473" i="8" s="1"/>
  <c r="J473" i="8"/>
  <c r="E474" i="8"/>
  <c r="F474" i="8" s="1"/>
  <c r="H474" i="8" s="1"/>
  <c r="J474" i="8"/>
  <c r="E475" i="8"/>
  <c r="F475" i="8" s="1"/>
  <c r="J475" i="8"/>
  <c r="E476" i="8"/>
  <c r="F476" i="8" s="1"/>
  <c r="H476" i="8" s="1"/>
  <c r="J476" i="8"/>
  <c r="E477" i="8"/>
  <c r="F477" i="8" s="1"/>
  <c r="J477" i="8"/>
  <c r="E478" i="8"/>
  <c r="F478" i="8" s="1"/>
  <c r="J478" i="8"/>
  <c r="E479" i="8"/>
  <c r="F479" i="8" s="1"/>
  <c r="H479" i="8" s="1"/>
  <c r="J479" i="8"/>
  <c r="E480" i="8"/>
  <c r="F480" i="8" s="1"/>
  <c r="J480" i="8"/>
  <c r="E481" i="8"/>
  <c r="F481" i="8" s="1"/>
  <c r="J481" i="8"/>
  <c r="E482" i="8"/>
  <c r="F482" i="8" s="1"/>
  <c r="J482" i="8"/>
  <c r="E483" i="8"/>
  <c r="F483" i="8" s="1"/>
  <c r="J483" i="8"/>
  <c r="E484" i="8"/>
  <c r="F484" i="8" s="1"/>
  <c r="J484" i="8"/>
  <c r="E485" i="8"/>
  <c r="F485" i="8" s="1"/>
  <c r="K485" i="8" s="1"/>
  <c r="J485" i="8"/>
  <c r="E486" i="8"/>
  <c r="F486" i="8" s="1"/>
  <c r="J486" i="8"/>
  <c r="E487" i="8"/>
  <c r="F487" i="8" s="1"/>
  <c r="J487" i="8"/>
  <c r="E488" i="8"/>
  <c r="F488" i="8" s="1"/>
  <c r="J488" i="8"/>
  <c r="E489" i="8"/>
  <c r="F489" i="8" s="1"/>
  <c r="J489" i="8"/>
  <c r="E490" i="8"/>
  <c r="F490" i="8" s="1"/>
  <c r="H490" i="8" s="1"/>
  <c r="J490" i="8"/>
  <c r="E491" i="8"/>
  <c r="F491" i="8" s="1"/>
  <c r="J491" i="8"/>
  <c r="E492" i="8"/>
  <c r="F492" i="8" s="1"/>
  <c r="J492" i="8"/>
  <c r="E493" i="8"/>
  <c r="F493" i="8" s="1"/>
  <c r="J493" i="8"/>
  <c r="E494" i="8"/>
  <c r="F494" i="8"/>
  <c r="H494" i="8" s="1"/>
  <c r="J494" i="8"/>
  <c r="E495" i="8"/>
  <c r="F495" i="8" s="1"/>
  <c r="J495" i="8"/>
  <c r="E496" i="8"/>
  <c r="F496" i="8" s="1"/>
  <c r="J496" i="8"/>
  <c r="E497" i="8"/>
  <c r="F497" i="8" s="1"/>
  <c r="K497" i="8" s="1"/>
  <c r="J497" i="8"/>
  <c r="E498" i="8"/>
  <c r="F498" i="8" s="1"/>
  <c r="J498" i="8"/>
  <c r="E499" i="8"/>
  <c r="F499" i="8" s="1"/>
  <c r="H499" i="8" s="1"/>
  <c r="J499" i="8"/>
  <c r="E500" i="8"/>
  <c r="F500" i="8" s="1"/>
  <c r="J500" i="8"/>
  <c r="E501" i="8"/>
  <c r="F501" i="8" s="1"/>
  <c r="J501" i="8"/>
  <c r="E502" i="8"/>
  <c r="F502" i="8" s="1"/>
  <c r="K502" i="8" s="1"/>
  <c r="J502" i="8"/>
  <c r="E503" i="8"/>
  <c r="F503" i="8" s="1"/>
  <c r="J503" i="8"/>
  <c r="E504" i="8"/>
  <c r="F504" i="8" s="1"/>
  <c r="K504" i="8" s="1"/>
  <c r="J504" i="8"/>
  <c r="E505" i="8"/>
  <c r="F505" i="8" s="1"/>
  <c r="J505" i="8"/>
  <c r="E506" i="8"/>
  <c r="F506" i="8" s="1"/>
  <c r="H506" i="8" s="1"/>
  <c r="J506" i="8"/>
  <c r="E507" i="8"/>
  <c r="F507" i="8" s="1"/>
  <c r="K507" i="8" s="1"/>
  <c r="J507" i="8"/>
  <c r="E508" i="8"/>
  <c r="F508" i="8" s="1"/>
  <c r="K508" i="8" s="1"/>
  <c r="J508" i="8"/>
  <c r="E509" i="8"/>
  <c r="F509" i="8" s="1"/>
  <c r="J509" i="8"/>
  <c r="E510" i="8"/>
  <c r="F510" i="8" s="1"/>
  <c r="H510" i="8" s="1"/>
  <c r="J510" i="8"/>
  <c r="E511" i="8"/>
  <c r="F511" i="8" s="1"/>
  <c r="J511" i="8"/>
  <c r="E512" i="8"/>
  <c r="F512" i="8" s="1"/>
  <c r="K512" i="8" s="1"/>
  <c r="J512" i="8"/>
  <c r="E513" i="8"/>
  <c r="F513" i="8" s="1"/>
  <c r="K513" i="8" s="1"/>
  <c r="J513" i="8"/>
  <c r="E514" i="8"/>
  <c r="F514" i="8" s="1"/>
  <c r="J514" i="8"/>
  <c r="E515" i="8"/>
  <c r="F515" i="8" s="1"/>
  <c r="K515" i="8" s="1"/>
  <c r="J515" i="8"/>
  <c r="E516" i="8"/>
  <c r="F516" i="8" s="1"/>
  <c r="J516" i="8"/>
  <c r="E517" i="8"/>
  <c r="F517" i="8" s="1"/>
  <c r="J517" i="8"/>
  <c r="E518" i="8"/>
  <c r="F518" i="8" s="1"/>
  <c r="J518" i="8"/>
  <c r="E519" i="8"/>
  <c r="F519" i="8" s="1"/>
  <c r="J519" i="8"/>
  <c r="E520" i="8"/>
  <c r="F520" i="8" s="1"/>
  <c r="J520" i="8"/>
  <c r="E521" i="8"/>
  <c r="F521" i="8" s="1"/>
  <c r="J521" i="8"/>
  <c r="E522" i="8"/>
  <c r="F522" i="8" s="1"/>
  <c r="J522" i="8"/>
  <c r="E523" i="8"/>
  <c r="F523" i="8" s="1"/>
  <c r="K523" i="8" s="1"/>
  <c r="J523" i="8"/>
  <c r="E524" i="8"/>
  <c r="F524" i="8" s="1"/>
  <c r="J524" i="8"/>
  <c r="E525" i="8"/>
  <c r="F525" i="8" s="1"/>
  <c r="J525" i="8"/>
  <c r="E526" i="8"/>
  <c r="F526" i="8" s="1"/>
  <c r="H526" i="8" s="1"/>
  <c r="J526" i="8"/>
  <c r="E527" i="8"/>
  <c r="F527" i="8" s="1"/>
  <c r="J527" i="8"/>
  <c r="E528" i="8"/>
  <c r="F528" i="8" s="1"/>
  <c r="K528" i="8" s="1"/>
  <c r="J528" i="8"/>
  <c r="E529" i="8"/>
  <c r="F529" i="8" s="1"/>
  <c r="J529" i="8"/>
  <c r="E530" i="8"/>
  <c r="F530" i="8" s="1"/>
  <c r="J530" i="8"/>
  <c r="E531" i="8"/>
  <c r="F531" i="8" s="1"/>
  <c r="H531" i="8" s="1"/>
  <c r="J531" i="8"/>
  <c r="E532" i="8"/>
  <c r="F532" i="8" s="1"/>
  <c r="J532" i="8"/>
  <c r="E533" i="8"/>
  <c r="F533" i="8" s="1"/>
  <c r="J533" i="8"/>
  <c r="E534" i="8"/>
  <c r="F534" i="8" s="1"/>
  <c r="J534" i="8"/>
  <c r="E535" i="8"/>
  <c r="F535" i="8" s="1"/>
  <c r="J535" i="8"/>
  <c r="E536" i="8"/>
  <c r="F536" i="8" s="1"/>
  <c r="J536" i="8"/>
  <c r="E537" i="8"/>
  <c r="F537" i="8" s="1"/>
  <c r="J537" i="8"/>
  <c r="E538" i="8"/>
  <c r="F538" i="8" s="1"/>
  <c r="K538" i="8" s="1"/>
  <c r="J538" i="8"/>
  <c r="E539" i="8"/>
  <c r="F539" i="8" s="1"/>
  <c r="K539" i="8" s="1"/>
  <c r="J539" i="8"/>
  <c r="E540" i="8"/>
  <c r="F540" i="8" s="1"/>
  <c r="J540" i="8"/>
  <c r="E541" i="8"/>
  <c r="F541" i="8" s="1"/>
  <c r="J541" i="8"/>
  <c r="E542" i="8"/>
  <c r="F542" i="8" s="1"/>
  <c r="J542" i="8"/>
  <c r="E543" i="8"/>
  <c r="F543" i="8" s="1"/>
  <c r="H543" i="8" s="1"/>
  <c r="J543" i="8"/>
  <c r="E544" i="8"/>
  <c r="F544" i="8" s="1"/>
  <c r="J544" i="8"/>
  <c r="E545" i="8"/>
  <c r="F545" i="8" s="1"/>
  <c r="K545" i="8" s="1"/>
  <c r="J545" i="8"/>
  <c r="E546" i="8"/>
  <c r="F546" i="8" s="1"/>
  <c r="J546" i="8"/>
  <c r="E547" i="8"/>
  <c r="F547" i="8" s="1"/>
  <c r="J547" i="8"/>
  <c r="E548" i="8"/>
  <c r="F548" i="8" s="1"/>
  <c r="J548" i="8"/>
  <c r="E549" i="8"/>
  <c r="F549" i="8"/>
  <c r="J549" i="8"/>
  <c r="E550" i="8"/>
  <c r="F550" i="8" s="1"/>
  <c r="K550" i="8" s="1"/>
  <c r="J550" i="8"/>
  <c r="E551" i="8"/>
  <c r="F551" i="8" s="1"/>
  <c r="J551" i="8"/>
  <c r="E552" i="8"/>
  <c r="F552" i="8" s="1"/>
  <c r="J552" i="8"/>
  <c r="E553" i="8"/>
  <c r="F553" i="8" s="1"/>
  <c r="J553" i="8"/>
  <c r="E554" i="8"/>
  <c r="F554" i="8" s="1"/>
  <c r="J554" i="8"/>
  <c r="E555" i="8"/>
  <c r="F555" i="8" s="1"/>
  <c r="H555" i="8" s="1"/>
  <c r="J555" i="8"/>
  <c r="E556" i="8"/>
  <c r="F556" i="8" s="1"/>
  <c r="K556" i="8" s="1"/>
  <c r="J556" i="8"/>
  <c r="E557" i="8"/>
  <c r="F557" i="8" s="1"/>
  <c r="J557" i="8"/>
  <c r="E558" i="8"/>
  <c r="F558" i="8" s="1"/>
  <c r="H558" i="8" s="1"/>
  <c r="J558" i="8"/>
  <c r="E559" i="8"/>
  <c r="F559" i="8" s="1"/>
  <c r="J559" i="8"/>
  <c r="E560" i="8"/>
  <c r="F560" i="8" s="1"/>
  <c r="J560" i="8"/>
  <c r="E561" i="8"/>
  <c r="F561" i="8" s="1"/>
  <c r="K561" i="8" s="1"/>
  <c r="J561" i="8"/>
  <c r="E562" i="8"/>
  <c r="F562" i="8" s="1"/>
  <c r="J562" i="8"/>
  <c r="E563" i="8"/>
  <c r="F563" i="8" s="1"/>
  <c r="J563" i="8"/>
  <c r="E564" i="8"/>
  <c r="F564" i="8" s="1"/>
  <c r="J564" i="8"/>
  <c r="E565" i="8"/>
  <c r="F565" i="8" s="1"/>
  <c r="J565" i="8"/>
  <c r="E566" i="8"/>
  <c r="F566" i="8" s="1"/>
  <c r="K566" i="8" s="1"/>
  <c r="J566" i="8"/>
  <c r="E567" i="8"/>
  <c r="F567" i="8" s="1"/>
  <c r="H567" i="8" s="1"/>
  <c r="J567" i="8"/>
  <c r="E568" i="8"/>
  <c r="F568" i="8" s="1"/>
  <c r="J568" i="8"/>
  <c r="E569" i="8"/>
  <c r="F569" i="8" s="1"/>
  <c r="J569" i="8"/>
  <c r="E570" i="8"/>
  <c r="F570" i="8" s="1"/>
  <c r="K570" i="8" s="1"/>
  <c r="J570" i="8"/>
  <c r="E571" i="8"/>
  <c r="F571" i="8" s="1"/>
  <c r="J571" i="8"/>
  <c r="E572" i="8"/>
  <c r="F572" i="8" s="1"/>
  <c r="J572" i="8"/>
  <c r="E573" i="8"/>
  <c r="F573" i="8" s="1"/>
  <c r="J573" i="8"/>
  <c r="E574" i="8"/>
  <c r="F574" i="8" s="1"/>
  <c r="H574" i="8" s="1"/>
  <c r="J574" i="8"/>
  <c r="E575" i="8"/>
  <c r="F575" i="8" s="1"/>
  <c r="J575" i="8"/>
  <c r="E576" i="8"/>
  <c r="F576" i="8" s="1"/>
  <c r="J576" i="8"/>
  <c r="E577" i="8"/>
  <c r="F577" i="8" s="1"/>
  <c r="K577" i="8" s="1"/>
  <c r="J577" i="8"/>
  <c r="E578" i="8"/>
  <c r="F578" i="8" s="1"/>
  <c r="J578" i="8"/>
  <c r="E579" i="8"/>
  <c r="F579" i="8" s="1"/>
  <c r="J579" i="8"/>
  <c r="E580" i="8"/>
  <c r="F580" i="8" s="1"/>
  <c r="J580" i="8"/>
  <c r="E581" i="8"/>
  <c r="F581" i="8" s="1"/>
  <c r="J581" i="8"/>
  <c r="E582" i="8"/>
  <c r="F582" i="8" s="1"/>
  <c r="J582" i="8"/>
  <c r="E583" i="8"/>
  <c r="F583" i="8" s="1"/>
  <c r="J583" i="8"/>
  <c r="E584" i="8"/>
  <c r="F584" i="8" s="1"/>
  <c r="J584" i="8"/>
  <c r="E585" i="8"/>
  <c r="F585" i="8" s="1"/>
  <c r="H585" i="8" s="1"/>
  <c r="J585" i="8"/>
  <c r="E586" i="8"/>
  <c r="F586" i="8" s="1"/>
  <c r="K586" i="8" s="1"/>
  <c r="J586" i="8"/>
  <c r="E587" i="8"/>
  <c r="F587" i="8" s="1"/>
  <c r="J587" i="8"/>
  <c r="E588" i="8"/>
  <c r="F588" i="8" s="1"/>
  <c r="J588" i="8"/>
  <c r="E589" i="8"/>
  <c r="F589" i="8" s="1"/>
  <c r="J589" i="8"/>
  <c r="E590" i="8"/>
  <c r="F590" i="8" s="1"/>
  <c r="J590" i="8"/>
  <c r="E591" i="8"/>
  <c r="F591" i="8" s="1"/>
  <c r="J591" i="8"/>
  <c r="E592" i="8"/>
  <c r="F592" i="8" s="1"/>
  <c r="J592" i="8"/>
  <c r="E593" i="8"/>
  <c r="F593" i="8" s="1"/>
  <c r="J593" i="8"/>
  <c r="E594" i="8"/>
  <c r="F594" i="8" s="1"/>
  <c r="J594" i="8"/>
  <c r="E595" i="8"/>
  <c r="F595" i="8" s="1"/>
  <c r="J595" i="8"/>
  <c r="E596" i="8"/>
  <c r="F596" i="8" s="1"/>
  <c r="J596" i="8"/>
  <c r="E597" i="8"/>
  <c r="F597" i="8"/>
  <c r="J597" i="8"/>
  <c r="E598" i="8"/>
  <c r="F598" i="8" s="1"/>
  <c r="J598" i="8"/>
  <c r="E599" i="8"/>
  <c r="F599" i="8" s="1"/>
  <c r="K599" i="8" s="1"/>
  <c r="J599" i="8"/>
  <c r="E600" i="8"/>
  <c r="F600" i="8" s="1"/>
  <c r="H600" i="8" s="1"/>
  <c r="J600" i="8"/>
  <c r="E601" i="8"/>
  <c r="F601" i="8" s="1"/>
  <c r="H601" i="8" s="1"/>
  <c r="J601" i="8"/>
  <c r="E602" i="8"/>
  <c r="F602" i="8" s="1"/>
  <c r="K602" i="8" s="1"/>
  <c r="J602" i="8"/>
  <c r="E603" i="8"/>
  <c r="F603" i="8" s="1"/>
  <c r="J603" i="8"/>
  <c r="E604" i="8"/>
  <c r="F604" i="8"/>
  <c r="K604" i="8" s="1"/>
  <c r="J604" i="8"/>
  <c r="E605" i="8"/>
  <c r="F605" i="8" s="1"/>
  <c r="J605" i="8"/>
  <c r="E606" i="8"/>
  <c r="F606" i="8" s="1"/>
  <c r="J606" i="8"/>
  <c r="E607" i="8"/>
  <c r="F607" i="8" s="1"/>
  <c r="J607" i="8"/>
  <c r="E608" i="8"/>
  <c r="F608" i="8" s="1"/>
  <c r="J608" i="8"/>
  <c r="E609" i="8"/>
  <c r="F609" i="8" s="1"/>
  <c r="K609" i="8" s="1"/>
  <c r="J609" i="8"/>
  <c r="E610" i="8"/>
  <c r="F610" i="8" s="1"/>
  <c r="J610" i="8"/>
  <c r="E611" i="8"/>
  <c r="F611" i="8"/>
  <c r="J611" i="8"/>
  <c r="E612" i="8"/>
  <c r="F612" i="8" s="1"/>
  <c r="J612" i="8"/>
  <c r="E613" i="8"/>
  <c r="F613" i="8" s="1"/>
  <c r="J613" i="8"/>
  <c r="E614" i="8"/>
  <c r="F614" i="8" s="1"/>
  <c r="J614" i="8"/>
  <c r="E615" i="8"/>
  <c r="F615" i="8" s="1"/>
  <c r="J615" i="8"/>
  <c r="E616" i="8"/>
  <c r="F616" i="8" s="1"/>
  <c r="J616" i="8"/>
  <c r="E617" i="8"/>
  <c r="F617" i="8"/>
  <c r="K617" i="8" s="1"/>
  <c r="J617" i="8"/>
  <c r="E618" i="8"/>
  <c r="F618" i="8" s="1"/>
  <c r="J618" i="8"/>
  <c r="E619" i="8"/>
  <c r="F619" i="8" s="1"/>
  <c r="J619" i="8"/>
  <c r="E620" i="8"/>
  <c r="F620" i="8" s="1"/>
  <c r="J620" i="8"/>
  <c r="E621" i="8"/>
  <c r="F621" i="8" s="1"/>
  <c r="K621" i="8" s="1"/>
  <c r="J621" i="8"/>
  <c r="E622" i="8"/>
  <c r="F622" i="8" s="1"/>
  <c r="J622" i="8"/>
  <c r="E623" i="8"/>
  <c r="F623" i="8" s="1"/>
  <c r="J623" i="8"/>
  <c r="E624" i="8"/>
  <c r="F624" i="8"/>
  <c r="K624" i="8" s="1"/>
  <c r="J624" i="8"/>
  <c r="E625" i="8"/>
  <c r="F625" i="8" s="1"/>
  <c r="J625" i="8"/>
  <c r="E626" i="8"/>
  <c r="F626" i="8" s="1"/>
  <c r="J626" i="8"/>
  <c r="E627" i="8"/>
  <c r="F627" i="8" s="1"/>
  <c r="J627" i="8"/>
  <c r="E628" i="8"/>
  <c r="F628" i="8" s="1"/>
  <c r="J628" i="8"/>
  <c r="E629" i="8"/>
  <c r="F629" i="8" s="1"/>
  <c r="J629" i="8"/>
  <c r="E630" i="8"/>
  <c r="F630" i="8" s="1"/>
  <c r="K630" i="8" s="1"/>
  <c r="J630" i="8"/>
  <c r="E631" i="8"/>
  <c r="F631" i="8"/>
  <c r="H631" i="8" s="1"/>
  <c r="J631" i="8"/>
  <c r="E632" i="8"/>
  <c r="F632" i="8" s="1"/>
  <c r="J632" i="8"/>
  <c r="E633" i="8"/>
  <c r="F633" i="8" s="1"/>
  <c r="J633" i="8"/>
  <c r="E634" i="8"/>
  <c r="F634" i="8" s="1"/>
  <c r="J634" i="8"/>
  <c r="E635" i="8"/>
  <c r="F635" i="8" s="1"/>
  <c r="H635" i="8" s="1"/>
  <c r="J635" i="8"/>
  <c r="E636" i="8"/>
  <c r="F636" i="8" s="1"/>
  <c r="J636" i="8"/>
  <c r="E637" i="8"/>
  <c r="F637" i="8" s="1"/>
  <c r="K637" i="8" s="1"/>
  <c r="J637" i="8"/>
  <c r="E638" i="8"/>
  <c r="F638" i="8" s="1"/>
  <c r="J638" i="8"/>
  <c r="E639" i="8"/>
  <c r="F639" i="8" s="1"/>
  <c r="J639" i="8"/>
  <c r="E640" i="8"/>
  <c r="F640" i="8" s="1"/>
  <c r="K640" i="8" s="1"/>
  <c r="J640" i="8"/>
  <c r="E641" i="8"/>
  <c r="F641" i="8" s="1"/>
  <c r="J641" i="8"/>
  <c r="E642" i="8"/>
  <c r="F642" i="8" s="1"/>
  <c r="J642" i="8"/>
  <c r="E32" i="8"/>
  <c r="F32" i="8" s="1"/>
  <c r="E28" i="8"/>
  <c r="F28" i="8" s="1"/>
  <c r="E21" i="8"/>
  <c r="F21" i="8" s="1"/>
  <c r="E11" i="8"/>
  <c r="F11" i="8" s="1"/>
  <c r="E18" i="8"/>
  <c r="F18" i="8" s="1"/>
  <c r="E30" i="8"/>
  <c r="F30" i="8" s="1"/>
  <c r="E27" i="8"/>
  <c r="F27" i="8" s="1"/>
  <c r="E17" i="8"/>
  <c r="F17" i="8" s="1"/>
  <c r="E16" i="8"/>
  <c r="F16" i="8" s="1"/>
  <c r="E20" i="8"/>
  <c r="F20" i="8" s="1"/>
  <c r="E25" i="8"/>
  <c r="F25" i="8" s="1"/>
  <c r="E13" i="8"/>
  <c r="F13" i="8" s="1"/>
  <c r="E15" i="8"/>
  <c r="F15" i="8" s="1"/>
  <c r="E12" i="8"/>
  <c r="F12" i="8" s="1"/>
  <c r="E10" i="8"/>
  <c r="F10" i="8" s="1"/>
  <c r="E19" i="8"/>
  <c r="F19" i="8" s="1"/>
  <c r="E26" i="8"/>
  <c r="F26" i="8" s="1"/>
  <c r="E9" i="8"/>
  <c r="F9" i="8" s="1"/>
  <c r="E29" i="8"/>
  <c r="F29" i="8" s="1"/>
  <c r="E23" i="8"/>
  <c r="F23" i="8" s="1"/>
  <c r="E31" i="8"/>
  <c r="F31" i="8" s="1"/>
  <c r="E24" i="8"/>
  <c r="F24" i="8" s="1"/>
  <c r="E22" i="8"/>
  <c r="F22" i="8" s="1"/>
  <c r="E14" i="8"/>
  <c r="F14" i="8" s="1"/>
  <c r="E8" i="8"/>
  <c r="F8" i="8" s="1"/>
  <c r="J5" i="8" l="1"/>
  <c r="I18" i="8"/>
  <c r="I23" i="8"/>
  <c r="I11" i="8"/>
  <c r="I10" i="8"/>
  <c r="I15" i="8"/>
  <c r="I13" i="8"/>
  <c r="K18" i="8"/>
  <c r="K31" i="8"/>
  <c r="K19" i="8"/>
  <c r="K20" i="8"/>
  <c r="H10" i="8"/>
  <c r="K614" i="8"/>
  <c r="H111" i="8"/>
  <c r="K516" i="8"/>
  <c r="K596" i="8"/>
  <c r="K594" i="8"/>
  <c r="K299" i="8"/>
  <c r="K371" i="8"/>
  <c r="H229" i="8"/>
  <c r="K582" i="8"/>
  <c r="H539" i="8"/>
  <c r="H551" i="8"/>
  <c r="H492" i="8"/>
  <c r="K613" i="8"/>
  <c r="H632" i="8"/>
  <c r="H508" i="8"/>
  <c r="H372" i="8"/>
  <c r="H639" i="8"/>
  <c r="H535" i="8"/>
  <c r="H362" i="8"/>
  <c r="K105" i="8"/>
  <c r="H87" i="8"/>
  <c r="K611" i="8"/>
  <c r="K589" i="8"/>
  <c r="K331" i="8"/>
  <c r="H105" i="8"/>
  <c r="K284" i="8"/>
  <c r="H624" i="8"/>
  <c r="K492" i="8"/>
  <c r="H275" i="8"/>
  <c r="K257" i="8"/>
  <c r="K579" i="8"/>
  <c r="K382" i="8"/>
  <c r="K634" i="8"/>
  <c r="H378" i="8"/>
  <c r="H582" i="8"/>
  <c r="K555" i="8"/>
  <c r="K510" i="8"/>
  <c r="K326" i="8"/>
  <c r="K240" i="8"/>
  <c r="K581" i="8"/>
  <c r="K541" i="8"/>
  <c r="H404" i="8"/>
  <c r="H181" i="8"/>
  <c r="H101" i="8"/>
  <c r="H185" i="8"/>
  <c r="H572" i="8"/>
  <c r="H545" i="8"/>
  <c r="K509" i="8"/>
  <c r="K288" i="8"/>
  <c r="K100" i="8"/>
  <c r="K635" i="8"/>
  <c r="H614" i="8"/>
  <c r="K535" i="8"/>
  <c r="K415" i="8"/>
  <c r="K571" i="8"/>
  <c r="K500" i="8"/>
  <c r="H500" i="8"/>
  <c r="H467" i="8"/>
  <c r="K467" i="8"/>
  <c r="H398" i="8"/>
  <c r="K398" i="8"/>
  <c r="H379" i="8"/>
  <c r="K366" i="8"/>
  <c r="H361" i="8"/>
  <c r="K361" i="8"/>
  <c r="H175" i="8"/>
  <c r="K165" i="8"/>
  <c r="H165" i="8"/>
  <c r="K351" i="8"/>
  <c r="H324" i="8"/>
  <c r="K324" i="8"/>
  <c r="K121" i="8"/>
  <c r="H121" i="8"/>
  <c r="H95" i="8"/>
  <c r="K55" i="8"/>
  <c r="H55" i="8"/>
  <c r="H462" i="8"/>
  <c r="K462" i="8"/>
  <c r="K116" i="8"/>
  <c r="K85" i="8"/>
  <c r="H85" i="8"/>
  <c r="K548" i="8"/>
  <c r="H548" i="8"/>
  <c r="K365" i="8"/>
  <c r="H365" i="8"/>
  <c r="H242" i="8"/>
  <c r="K242" i="8"/>
  <c r="H169" i="8"/>
  <c r="K169" i="8"/>
  <c r="K164" i="8"/>
  <c r="H130" i="8"/>
  <c r="K130" i="8"/>
  <c r="K452" i="8"/>
  <c r="H452" i="8"/>
  <c r="H419" i="8"/>
  <c r="K419" i="8"/>
  <c r="K149" i="8"/>
  <c r="H149" i="8"/>
  <c r="K69" i="8"/>
  <c r="H69" i="8"/>
  <c r="K405" i="8"/>
  <c r="H340" i="8"/>
  <c r="K340" i="8"/>
  <c r="K196" i="8"/>
  <c r="K84" i="8"/>
  <c r="H79" i="8"/>
  <c r="K359" i="8"/>
  <c r="K318" i="8"/>
  <c r="K241" i="8"/>
  <c r="H210" i="8"/>
  <c r="K210" i="8"/>
  <c r="H364" i="8"/>
  <c r="K364" i="8"/>
  <c r="H542" i="8"/>
  <c r="K542" i="8"/>
  <c r="H451" i="8"/>
  <c r="K451" i="8"/>
  <c r="K436" i="8"/>
  <c r="H436" i="8"/>
  <c r="K386" i="8"/>
  <c r="K369" i="8"/>
  <c r="H369" i="8"/>
  <c r="H153" i="8"/>
  <c r="K153" i="8"/>
  <c r="K148" i="8"/>
  <c r="K68" i="8"/>
  <c r="K39" i="8"/>
  <c r="K547" i="8"/>
  <c r="H616" i="8"/>
  <c r="K616" i="8"/>
  <c r="K612" i="8"/>
  <c r="H612" i="8"/>
  <c r="K484" i="8"/>
  <c r="H484" i="8"/>
  <c r="H446" i="8"/>
  <c r="K446" i="8"/>
  <c r="H322" i="8"/>
  <c r="K290" i="8"/>
  <c r="K245" i="8"/>
  <c r="H245" i="8"/>
  <c r="H143" i="8"/>
  <c r="H63" i="8"/>
  <c r="H395" i="8"/>
  <c r="H308" i="8"/>
  <c r="K308" i="8"/>
  <c r="H255" i="8"/>
  <c r="K564" i="8"/>
  <c r="H564" i="8"/>
  <c r="H435" i="8"/>
  <c r="K435" i="8"/>
  <c r="K353" i="8"/>
  <c r="H353" i="8"/>
  <c r="K334" i="8"/>
  <c r="H162" i="8"/>
  <c r="K162" i="8"/>
  <c r="K590" i="8"/>
  <c r="H590" i="8"/>
  <c r="H483" i="8"/>
  <c r="K483" i="8"/>
  <c r="H478" i="8"/>
  <c r="K478" i="8"/>
  <c r="H321" i="8"/>
  <c r="K244" i="8"/>
  <c r="H619" i="8"/>
  <c r="K619" i="8"/>
  <c r="K532" i="8"/>
  <c r="H532" i="8"/>
  <c r="H394" i="8"/>
  <c r="K389" i="8"/>
  <c r="H338" i="8"/>
  <c r="H271" i="8"/>
  <c r="H194" i="8"/>
  <c r="K194" i="8"/>
  <c r="K52" i="8"/>
  <c r="H606" i="8"/>
  <c r="K606" i="8"/>
  <c r="K563" i="8"/>
  <c r="H527" i="8"/>
  <c r="K468" i="8"/>
  <c r="H468" i="8"/>
  <c r="H434" i="8"/>
  <c r="H293" i="8"/>
  <c r="K293" i="8"/>
  <c r="H47" i="8"/>
  <c r="H584" i="8"/>
  <c r="K584" i="8"/>
  <c r="H146" i="8"/>
  <c r="K146" i="8"/>
  <c r="K71" i="8"/>
  <c r="H71" i="8"/>
  <c r="H559" i="8"/>
  <c r="K559" i="8"/>
  <c r="H623" i="8"/>
  <c r="K623" i="8"/>
  <c r="K580" i="8"/>
  <c r="H580" i="8"/>
  <c r="K302" i="8"/>
  <c r="K212" i="8"/>
  <c r="K117" i="8"/>
  <c r="H117" i="8"/>
  <c r="H570" i="8"/>
  <c r="K540" i="8"/>
  <c r="H533" i="8"/>
  <c r="H501" i="8"/>
  <c r="K402" i="8"/>
  <c r="H376" i="8"/>
  <c r="H282" i="8"/>
  <c r="K274" i="8"/>
  <c r="K256" i="8"/>
  <c r="K228" i="8"/>
  <c r="K180" i="8"/>
  <c r="H137" i="8"/>
  <c r="H133" i="8"/>
  <c r="K526" i="8"/>
  <c r="K445" i="8"/>
  <c r="K430" i="8"/>
  <c r="K292" i="8"/>
  <c r="H259" i="8"/>
  <c r="K89" i="8"/>
  <c r="K82" i="8"/>
  <c r="H540" i="8"/>
  <c r="K342" i="8"/>
  <c r="K310" i="8"/>
  <c r="K132" i="8"/>
  <c r="K558" i="8"/>
  <c r="K639" i="8"/>
  <c r="K632" i="8"/>
  <c r="K572" i="8"/>
  <c r="K517" i="8"/>
  <c r="H445" i="8"/>
  <c r="K73" i="8"/>
  <c r="K66" i="8"/>
  <c r="H426" i="8"/>
  <c r="H295" i="8"/>
  <c r="H292" i="8"/>
  <c r="K258" i="8"/>
  <c r="H89" i="8"/>
  <c r="H617" i="8"/>
  <c r="H596" i="8"/>
  <c r="K592" i="8"/>
  <c r="H517" i="8"/>
  <c r="K477" i="8"/>
  <c r="H440" i="8"/>
  <c r="K344" i="8"/>
  <c r="H327" i="8"/>
  <c r="H273" i="8"/>
  <c r="H73" i="8"/>
  <c r="K57" i="8"/>
  <c r="K46" i="8"/>
  <c r="K291" i="8"/>
  <c r="H589" i="8"/>
  <c r="H579" i="8"/>
  <c r="K531" i="8"/>
  <c r="K414" i="8"/>
  <c r="K352" i="8"/>
  <c r="H312" i="8"/>
  <c r="K226" i="8"/>
  <c r="K178" i="8"/>
  <c r="K41" i="8"/>
  <c r="H611" i="8"/>
  <c r="H592" i="8"/>
  <c r="K574" i="8"/>
  <c r="K494" i="8"/>
  <c r="H477" i="8"/>
  <c r="K403" i="8"/>
  <c r="K373" i="8"/>
  <c r="K315" i="8"/>
  <c r="H298" i="8"/>
  <c r="K275" i="8"/>
  <c r="K272" i="8"/>
  <c r="K185" i="8"/>
  <c r="H57" i="8"/>
  <c r="H388" i="8"/>
  <c r="H516" i="8"/>
  <c r="K461" i="8"/>
  <c r="H410" i="8"/>
  <c r="H337" i="8"/>
  <c r="H305" i="8"/>
  <c r="H233" i="8"/>
  <c r="H217" i="8"/>
  <c r="H213" i="8"/>
  <c r="H201" i="8"/>
  <c r="H197" i="8"/>
  <c r="H53" i="8"/>
  <c r="H41" i="8"/>
  <c r="K533" i="8"/>
  <c r="K501" i="8"/>
  <c r="K137" i="8"/>
  <c r="K114" i="8"/>
  <c r="K551" i="8"/>
  <c r="K358" i="8"/>
  <c r="K354" i="8"/>
  <c r="H640" i="8"/>
  <c r="K601" i="8"/>
  <c r="H523" i="8"/>
  <c r="H461" i="8"/>
  <c r="H420" i="8"/>
  <c r="K387" i="8"/>
  <c r="H343" i="8"/>
  <c r="H311" i="8"/>
  <c r="K300" i="8"/>
  <c r="K98" i="8"/>
  <c r="K36" i="8"/>
  <c r="H610" i="8"/>
  <c r="K610" i="8"/>
  <c r="H591" i="8"/>
  <c r="K591" i="8"/>
  <c r="H578" i="8"/>
  <c r="K578" i="8"/>
  <c r="H498" i="8"/>
  <c r="K498" i="8"/>
  <c r="H598" i="8"/>
  <c r="K598" i="8"/>
  <c r="H544" i="8"/>
  <c r="K544" i="8"/>
  <c r="H633" i="8"/>
  <c r="K633" i="8"/>
  <c r="H625" i="8"/>
  <c r="K625" i="8"/>
  <c r="H562" i="8"/>
  <c r="K562" i="8"/>
  <c r="H537" i="8"/>
  <c r="K537" i="8"/>
  <c r="H536" i="8"/>
  <c r="K536" i="8"/>
  <c r="H511" i="8"/>
  <c r="K511" i="8"/>
  <c r="K587" i="8"/>
  <c r="H587" i="8"/>
  <c r="K522" i="8"/>
  <c r="H522" i="8"/>
  <c r="K636" i="8"/>
  <c r="H636" i="8"/>
  <c r="K618" i="8"/>
  <c r="H618" i="8"/>
  <c r="H565" i="8"/>
  <c r="K565" i="8"/>
  <c r="H629" i="8"/>
  <c r="K629" i="8"/>
  <c r="H608" i="8"/>
  <c r="K608" i="8"/>
  <c r="H593" i="8"/>
  <c r="K593" i="8"/>
  <c r="H576" i="8"/>
  <c r="K576" i="8"/>
  <c r="K554" i="8"/>
  <c r="H554" i="8"/>
  <c r="K529" i="8"/>
  <c r="H529" i="8"/>
  <c r="H514" i="8"/>
  <c r="K514" i="8"/>
  <c r="H546" i="8"/>
  <c r="K546" i="8"/>
  <c r="H607" i="8"/>
  <c r="K607" i="8"/>
  <c r="H568" i="8"/>
  <c r="K568" i="8"/>
  <c r="H560" i="8"/>
  <c r="K560" i="8"/>
  <c r="H575" i="8"/>
  <c r="K575" i="8"/>
  <c r="H495" i="8"/>
  <c r="K495" i="8"/>
  <c r="K620" i="8"/>
  <c r="H620" i="8"/>
  <c r="H534" i="8"/>
  <c r="K534" i="8"/>
  <c r="H520" i="8"/>
  <c r="K520" i="8"/>
  <c r="K628" i="8"/>
  <c r="H628" i="8"/>
  <c r="H603" i="8"/>
  <c r="K603" i="8"/>
  <c r="K627" i="8"/>
  <c r="H627" i="8"/>
  <c r="H552" i="8"/>
  <c r="K552" i="8"/>
  <c r="H641" i="8"/>
  <c r="K641" i="8"/>
  <c r="H588" i="8"/>
  <c r="K588" i="8"/>
  <c r="H521" i="8"/>
  <c r="K521" i="8"/>
  <c r="H380" i="8"/>
  <c r="K380" i="8"/>
  <c r="H609" i="8"/>
  <c r="H604" i="8"/>
  <c r="H577" i="8"/>
  <c r="H556" i="8"/>
  <c r="H518" i="8"/>
  <c r="H507" i="8"/>
  <c r="H496" i="8"/>
  <c r="H422" i="8"/>
  <c r="K422" i="8"/>
  <c r="H412" i="8"/>
  <c r="K412" i="8"/>
  <c r="H390" i="8"/>
  <c r="K390" i="8"/>
  <c r="H286" i="8"/>
  <c r="K286" i="8"/>
  <c r="H637" i="8"/>
  <c r="H621" i="8"/>
  <c r="H630" i="8"/>
  <c r="H599" i="8"/>
  <c r="H594" i="8"/>
  <c r="H515" i="8"/>
  <c r="H504" i="8"/>
  <c r="H493" i="8"/>
  <c r="K490" i="8"/>
  <c r="H487" i="8"/>
  <c r="K481" i="8"/>
  <c r="H481" i="8"/>
  <c r="H471" i="8"/>
  <c r="K465" i="8"/>
  <c r="H465" i="8"/>
  <c r="H455" i="8"/>
  <c r="K449" i="8"/>
  <c r="H449" i="8"/>
  <c r="H439" i="8"/>
  <c r="K433" i="8"/>
  <c r="H433" i="8"/>
  <c r="K408" i="8"/>
  <c r="H332" i="8"/>
  <c r="K332" i="8"/>
  <c r="H325" i="8"/>
  <c r="K325" i="8"/>
  <c r="H48" i="8"/>
  <c r="K48" i="8"/>
  <c r="H561" i="8"/>
  <c r="K474" i="8"/>
  <c r="K458" i="8"/>
  <c r="K442" i="8"/>
  <c r="K296" i="8"/>
  <c r="H296" i="8"/>
  <c r="H67" i="8"/>
  <c r="K67" i="8"/>
  <c r="H553" i="8"/>
  <c r="K553" i="8"/>
  <c r="K383" i="8"/>
  <c r="H383" i="8"/>
  <c r="H368" i="8"/>
  <c r="K368" i="8"/>
  <c r="H550" i="8"/>
  <c r="H480" i="8"/>
  <c r="K480" i="8"/>
  <c r="H464" i="8"/>
  <c r="K464" i="8"/>
  <c r="H448" i="8"/>
  <c r="K448" i="8"/>
  <c r="H432" i="8"/>
  <c r="K432" i="8"/>
  <c r="H429" i="8"/>
  <c r="H425" i="8"/>
  <c r="K425" i="8"/>
  <c r="K401" i="8"/>
  <c r="H401" i="8"/>
  <c r="H375" i="8"/>
  <c r="K375" i="8"/>
  <c r="K357" i="8"/>
  <c r="H357" i="8"/>
  <c r="H335" i="8"/>
  <c r="K335" i="8"/>
  <c r="H289" i="8"/>
  <c r="K289" i="8"/>
  <c r="H125" i="8"/>
  <c r="K125" i="8"/>
  <c r="H566" i="8"/>
  <c r="H634" i="8"/>
  <c r="H613" i="8"/>
  <c r="H586" i="8"/>
  <c r="H581" i="8"/>
  <c r="H571" i="8"/>
  <c r="H563" i="8"/>
  <c r="H547" i="8"/>
  <c r="K525" i="8"/>
  <c r="H512" i="8"/>
  <c r="K503" i="8"/>
  <c r="H486" i="8"/>
  <c r="K486" i="8"/>
  <c r="H470" i="8"/>
  <c r="K470" i="8"/>
  <c r="H454" i="8"/>
  <c r="K454" i="8"/>
  <c r="H438" i="8"/>
  <c r="K438" i="8"/>
  <c r="H421" i="8"/>
  <c r="H397" i="8"/>
  <c r="K397" i="8"/>
  <c r="H393" i="8"/>
  <c r="K393" i="8"/>
  <c r="K350" i="8"/>
  <c r="H350" i="8"/>
  <c r="K345" i="8"/>
  <c r="H303" i="8"/>
  <c r="K303" i="8"/>
  <c r="H156" i="8"/>
  <c r="K156" i="8"/>
  <c r="K638" i="8"/>
  <c r="K622" i="8"/>
  <c r="K615" i="8"/>
  <c r="K583" i="8"/>
  <c r="K573" i="8"/>
  <c r="K549" i="8"/>
  <c r="H509" i="8"/>
  <c r="H489" i="8"/>
  <c r="K489" i="8"/>
  <c r="K479" i="8"/>
  <c r="K463" i="8"/>
  <c r="K447" i="8"/>
  <c r="K431" i="8"/>
  <c r="H418" i="8"/>
  <c r="K407" i="8"/>
  <c r="H367" i="8"/>
  <c r="K367" i="8"/>
  <c r="K530" i="8"/>
  <c r="K506" i="8"/>
  <c r="K488" i="8"/>
  <c r="H457" i="8"/>
  <c r="K457" i="8"/>
  <c r="H441" i="8"/>
  <c r="K441" i="8"/>
  <c r="H428" i="8"/>
  <c r="K428" i="8"/>
  <c r="H374" i="8"/>
  <c r="K374" i="8"/>
  <c r="H360" i="8"/>
  <c r="K360" i="8"/>
  <c r="H179" i="8"/>
  <c r="K179" i="8"/>
  <c r="H528" i="8"/>
  <c r="H473" i="8"/>
  <c r="K473" i="8"/>
  <c r="K557" i="8"/>
  <c r="H525" i="8"/>
  <c r="K519" i="8"/>
  <c r="H503" i="8"/>
  <c r="K482" i="8"/>
  <c r="K472" i="8"/>
  <c r="K466" i="8"/>
  <c r="K456" i="8"/>
  <c r="K450" i="8"/>
  <c r="K440" i="8"/>
  <c r="K434" i="8"/>
  <c r="K424" i="8"/>
  <c r="H396" i="8"/>
  <c r="K396" i="8"/>
  <c r="H569" i="8"/>
  <c r="K569" i="8"/>
  <c r="K631" i="8"/>
  <c r="K605" i="8"/>
  <c r="K600" i="8"/>
  <c r="K595" i="8"/>
  <c r="H638" i="8"/>
  <c r="H622" i="8"/>
  <c r="H615" i="8"/>
  <c r="K585" i="8"/>
  <c r="H583" i="8"/>
  <c r="H573" i="8"/>
  <c r="H549" i="8"/>
  <c r="K527" i="8"/>
  <c r="K476" i="8"/>
  <c r="K460" i="8"/>
  <c r="K444" i="8"/>
  <c r="H406" i="8"/>
  <c r="K406" i="8"/>
  <c r="K392" i="8"/>
  <c r="H341" i="8"/>
  <c r="K341" i="8"/>
  <c r="H316" i="8"/>
  <c r="K316" i="8"/>
  <c r="H218" i="8"/>
  <c r="K218" i="8"/>
  <c r="K642" i="8"/>
  <c r="K626" i="8"/>
  <c r="H605" i="8"/>
  <c r="K597" i="8"/>
  <c r="H595" i="8"/>
  <c r="H541" i="8"/>
  <c r="H538" i="8"/>
  <c r="H530" i="8"/>
  <c r="K524" i="8"/>
  <c r="H497" i="8"/>
  <c r="H488" i="8"/>
  <c r="H485" i="8"/>
  <c r="H469" i="8"/>
  <c r="H453" i="8"/>
  <c r="H437" i="8"/>
  <c r="H363" i="8"/>
  <c r="K363" i="8"/>
  <c r="H309" i="8"/>
  <c r="K309" i="8"/>
  <c r="K567" i="8"/>
  <c r="H557" i="8"/>
  <c r="K543" i="8"/>
  <c r="H519" i="8"/>
  <c r="K499" i="8"/>
  <c r="H482" i="8"/>
  <c r="H472" i="8"/>
  <c r="H466" i="8"/>
  <c r="H456" i="8"/>
  <c r="H450" i="8"/>
  <c r="K417" i="8"/>
  <c r="H417" i="8"/>
  <c r="K385" i="8"/>
  <c r="H385" i="8"/>
  <c r="H370" i="8"/>
  <c r="K370" i="8"/>
  <c r="K355" i="8"/>
  <c r="H355" i="8"/>
  <c r="H348" i="8"/>
  <c r="K348" i="8"/>
  <c r="H505" i="8"/>
  <c r="K505" i="8"/>
  <c r="H491" i="8"/>
  <c r="K491" i="8"/>
  <c r="K399" i="8"/>
  <c r="H399" i="8"/>
  <c r="H381" i="8"/>
  <c r="K381" i="8"/>
  <c r="H377" i="8"/>
  <c r="K377" i="8"/>
  <c r="H319" i="8"/>
  <c r="K319" i="8"/>
  <c r="H287" i="8"/>
  <c r="K287" i="8"/>
  <c r="H642" i="8"/>
  <c r="H626" i="8"/>
  <c r="H597" i="8"/>
  <c r="H524" i="8"/>
  <c r="K518" i="8"/>
  <c r="H502" i="8"/>
  <c r="K496" i="8"/>
  <c r="H475" i="8"/>
  <c r="K475" i="8"/>
  <c r="H459" i="8"/>
  <c r="K459" i="8"/>
  <c r="H443" i="8"/>
  <c r="K443" i="8"/>
  <c r="K423" i="8"/>
  <c r="H413" i="8"/>
  <c r="K413" i="8"/>
  <c r="H409" i="8"/>
  <c r="K409" i="8"/>
  <c r="H391" i="8"/>
  <c r="K391" i="8"/>
  <c r="H602" i="8"/>
  <c r="H513" i="8"/>
  <c r="K493" i="8"/>
  <c r="K487" i="8"/>
  <c r="K471" i="8"/>
  <c r="K455" i="8"/>
  <c r="K439" i="8"/>
  <c r="H347" i="8"/>
  <c r="K347" i="8"/>
  <c r="K297" i="8"/>
  <c r="H297" i="8"/>
  <c r="H253" i="8"/>
  <c r="K253" i="8"/>
  <c r="K426" i="8"/>
  <c r="K410" i="8"/>
  <c r="K394" i="8"/>
  <c r="K378" i="8"/>
  <c r="K337" i="8"/>
  <c r="K321" i="8"/>
  <c r="K305" i="8"/>
  <c r="H283" i="8"/>
  <c r="K273" i="8"/>
  <c r="K270" i="8"/>
  <c r="K259" i="8"/>
  <c r="H187" i="8"/>
  <c r="K187" i="8"/>
  <c r="H176" i="8"/>
  <c r="H152" i="8"/>
  <c r="K152" i="8"/>
  <c r="K110" i="8"/>
  <c r="H110" i="8"/>
  <c r="H64" i="8"/>
  <c r="H329" i="8"/>
  <c r="H313" i="8"/>
  <c r="H294" i="8"/>
  <c r="K238" i="8"/>
  <c r="H238" i="8"/>
  <c r="H202" i="8"/>
  <c r="K202" i="8"/>
  <c r="H171" i="8"/>
  <c r="K171" i="8"/>
  <c r="H160" i="8"/>
  <c r="H136" i="8"/>
  <c r="K136" i="8"/>
  <c r="K94" i="8"/>
  <c r="H94" i="8"/>
  <c r="H74" i="8"/>
  <c r="K74" i="8"/>
  <c r="H59" i="8"/>
  <c r="K59" i="8"/>
  <c r="H40" i="8"/>
  <c r="K40" i="8"/>
  <c r="K279" i="8"/>
  <c r="H276" i="8"/>
  <c r="H266" i="8"/>
  <c r="K266" i="8"/>
  <c r="K248" i="8"/>
  <c r="H186" i="8"/>
  <c r="K186" i="8"/>
  <c r="H163" i="8"/>
  <c r="K163" i="8"/>
  <c r="H140" i="8"/>
  <c r="K140" i="8"/>
  <c r="H109" i="8"/>
  <c r="K109" i="8"/>
  <c r="H44" i="8"/>
  <c r="K44" i="8"/>
  <c r="H371" i="8"/>
  <c r="H359" i="8"/>
  <c r="H342" i="8"/>
  <c r="K339" i="8"/>
  <c r="H326" i="8"/>
  <c r="K323" i="8"/>
  <c r="H310" i="8"/>
  <c r="K307" i="8"/>
  <c r="H291" i="8"/>
  <c r="K262" i="8"/>
  <c r="K222" i="8"/>
  <c r="H222" i="8"/>
  <c r="H155" i="8"/>
  <c r="K155" i="8"/>
  <c r="H144" i="8"/>
  <c r="H120" i="8"/>
  <c r="K120" i="8"/>
  <c r="H252" i="8"/>
  <c r="K252" i="8"/>
  <c r="H237" i="8"/>
  <c r="K237" i="8"/>
  <c r="K206" i="8"/>
  <c r="H206" i="8"/>
  <c r="H170" i="8"/>
  <c r="K170" i="8"/>
  <c r="H147" i="8"/>
  <c r="K147" i="8"/>
  <c r="H124" i="8"/>
  <c r="K124" i="8"/>
  <c r="H93" i="8"/>
  <c r="K93" i="8"/>
  <c r="K78" i="8"/>
  <c r="H78" i="8"/>
  <c r="H58" i="8"/>
  <c r="K58" i="8"/>
  <c r="H51" i="8"/>
  <c r="K51" i="8"/>
  <c r="K416" i="8"/>
  <c r="H405" i="8"/>
  <c r="K400" i="8"/>
  <c r="H389" i="8"/>
  <c r="K384" i="8"/>
  <c r="H373" i="8"/>
  <c r="H366" i="8"/>
  <c r="K356" i="8"/>
  <c r="H354" i="8"/>
  <c r="K349" i="8"/>
  <c r="H334" i="8"/>
  <c r="H318" i="8"/>
  <c r="H302" i="8"/>
  <c r="H299" i="8"/>
  <c r="H288" i="8"/>
  <c r="K247" i="8"/>
  <c r="H247" i="8"/>
  <c r="K190" i="8"/>
  <c r="H190" i="8"/>
  <c r="H139" i="8"/>
  <c r="K139" i="8"/>
  <c r="H128" i="8"/>
  <c r="H104" i="8"/>
  <c r="K104" i="8"/>
  <c r="H43" i="8"/>
  <c r="K43" i="8"/>
  <c r="H339" i="8"/>
  <c r="K336" i="8"/>
  <c r="H328" i="8"/>
  <c r="H323" i="8"/>
  <c r="K320" i="8"/>
  <c r="H307" i="8"/>
  <c r="K304" i="8"/>
  <c r="H285" i="8"/>
  <c r="K285" i="8"/>
  <c r="K265" i="8"/>
  <c r="H221" i="8"/>
  <c r="K221" i="8"/>
  <c r="H154" i="8"/>
  <c r="K154" i="8"/>
  <c r="H131" i="8"/>
  <c r="K131" i="8"/>
  <c r="H108" i="8"/>
  <c r="K108" i="8"/>
  <c r="H35" i="8"/>
  <c r="K35" i="8"/>
  <c r="K278" i="8"/>
  <c r="H269" i="8"/>
  <c r="K269" i="8"/>
  <c r="H251" i="8"/>
  <c r="K251" i="8"/>
  <c r="K232" i="8"/>
  <c r="H205" i="8"/>
  <c r="K205" i="8"/>
  <c r="K174" i="8"/>
  <c r="H174" i="8"/>
  <c r="H123" i="8"/>
  <c r="K123" i="8"/>
  <c r="H112" i="8"/>
  <c r="H88" i="8"/>
  <c r="K88" i="8"/>
  <c r="H77" i="8"/>
  <c r="K77" i="8"/>
  <c r="K62" i="8"/>
  <c r="H62" i="8"/>
  <c r="K427" i="8"/>
  <c r="H416" i="8"/>
  <c r="K411" i="8"/>
  <c r="H400" i="8"/>
  <c r="K395" i="8"/>
  <c r="H384" i="8"/>
  <c r="K379" i="8"/>
  <c r="H356" i="8"/>
  <c r="H349" i="8"/>
  <c r="K281" i="8"/>
  <c r="K261" i="8"/>
  <c r="H243" i="8"/>
  <c r="H236" i="8"/>
  <c r="K236" i="8"/>
  <c r="H216" i="8"/>
  <c r="K216" i="8"/>
  <c r="H189" i="8"/>
  <c r="K189" i="8"/>
  <c r="H138" i="8"/>
  <c r="K138" i="8"/>
  <c r="H115" i="8"/>
  <c r="K115" i="8"/>
  <c r="H92" i="8"/>
  <c r="K92" i="8"/>
  <c r="H50" i="8"/>
  <c r="K50" i="8"/>
  <c r="H42" i="8"/>
  <c r="K42" i="8"/>
  <c r="K338" i="8"/>
  <c r="K322" i="8"/>
  <c r="K306" i="8"/>
  <c r="K277" i="8"/>
  <c r="H246" i="8"/>
  <c r="K246" i="8"/>
  <c r="H200" i="8"/>
  <c r="K200" i="8"/>
  <c r="K158" i="8"/>
  <c r="H158" i="8"/>
  <c r="H107" i="8"/>
  <c r="K107" i="8"/>
  <c r="H96" i="8"/>
  <c r="H402" i="8"/>
  <c r="H386" i="8"/>
  <c r="H358" i="8"/>
  <c r="H351" i="8"/>
  <c r="H346" i="8"/>
  <c r="K264" i="8"/>
  <c r="H250" i="8"/>
  <c r="K250" i="8"/>
  <c r="H220" i="8"/>
  <c r="K220" i="8"/>
  <c r="H173" i="8"/>
  <c r="K173" i="8"/>
  <c r="H122" i="8"/>
  <c r="K122" i="8"/>
  <c r="H99" i="8"/>
  <c r="K99" i="8"/>
  <c r="H72" i="8"/>
  <c r="K72" i="8"/>
  <c r="H61" i="8"/>
  <c r="K61" i="8"/>
  <c r="H34" i="8"/>
  <c r="I34" i="8" s="1"/>
  <c r="K34" i="8"/>
  <c r="H330" i="8"/>
  <c r="H314" i="8"/>
  <c r="H280" i="8"/>
  <c r="H268" i="8"/>
  <c r="K268" i="8"/>
  <c r="H235" i="8"/>
  <c r="K235" i="8"/>
  <c r="H224" i="8"/>
  <c r="H204" i="8"/>
  <c r="K204" i="8"/>
  <c r="H184" i="8"/>
  <c r="K184" i="8"/>
  <c r="K142" i="8"/>
  <c r="H142" i="8"/>
  <c r="H91" i="8"/>
  <c r="K91" i="8"/>
  <c r="H76" i="8"/>
  <c r="K76" i="8"/>
  <c r="H333" i="8"/>
  <c r="K333" i="8"/>
  <c r="H317" i="8"/>
  <c r="K317" i="8"/>
  <c r="H301" i="8"/>
  <c r="K301" i="8"/>
  <c r="H277" i="8"/>
  <c r="K254" i="8"/>
  <c r="H254" i="8"/>
  <c r="H227" i="8"/>
  <c r="K227" i="8"/>
  <c r="H208" i="8"/>
  <c r="H188" i="8"/>
  <c r="K188" i="8"/>
  <c r="H157" i="8"/>
  <c r="K157" i="8"/>
  <c r="H106" i="8"/>
  <c r="K106" i="8"/>
  <c r="H80" i="8"/>
  <c r="H260" i="8"/>
  <c r="H219" i="8"/>
  <c r="K219" i="8"/>
  <c r="H211" i="8"/>
  <c r="K211" i="8"/>
  <c r="H192" i="8"/>
  <c r="H168" i="8"/>
  <c r="K168" i="8"/>
  <c r="K126" i="8"/>
  <c r="H126" i="8"/>
  <c r="H83" i="8"/>
  <c r="K83" i="8"/>
  <c r="H56" i="8"/>
  <c r="K56" i="8"/>
  <c r="K329" i="8"/>
  <c r="K313" i="8"/>
  <c r="K294" i="8"/>
  <c r="H267" i="8"/>
  <c r="K267" i="8"/>
  <c r="K263" i="8"/>
  <c r="K249" i="8"/>
  <c r="H234" i="8"/>
  <c r="K234" i="8"/>
  <c r="H203" i="8"/>
  <c r="K203" i="8"/>
  <c r="H195" i="8"/>
  <c r="K195" i="8"/>
  <c r="H172" i="8"/>
  <c r="K172" i="8"/>
  <c r="K160" i="8"/>
  <c r="H141" i="8"/>
  <c r="K141" i="8"/>
  <c r="H90" i="8"/>
  <c r="K90" i="8"/>
  <c r="H75" i="8"/>
  <c r="K75" i="8"/>
  <c r="H60" i="8"/>
  <c r="K60" i="8"/>
  <c r="H45" i="8"/>
  <c r="K45" i="8"/>
  <c r="K37" i="8"/>
  <c r="K233" i="8"/>
  <c r="K217" i="8"/>
  <c r="K201" i="8"/>
  <c r="H231" i="8"/>
  <c r="H215" i="8"/>
  <c r="H199" i="8"/>
  <c r="H183" i="8"/>
  <c r="H167" i="8"/>
  <c r="H151" i="8"/>
  <c r="H135" i="8"/>
  <c r="H119" i="8"/>
  <c r="H103" i="8"/>
  <c r="H39" i="8"/>
  <c r="H290" i="8"/>
  <c r="H274" i="8"/>
  <c r="K230" i="8"/>
  <c r="K214" i="8"/>
  <c r="K198" i="8"/>
  <c r="K182" i="8"/>
  <c r="K166" i="8"/>
  <c r="K150" i="8"/>
  <c r="K134" i="8"/>
  <c r="K118" i="8"/>
  <c r="K102" i="8"/>
  <c r="K86" i="8"/>
  <c r="K70" i="8"/>
  <c r="K54" i="8"/>
  <c r="K38" i="8"/>
  <c r="K271" i="8"/>
  <c r="K255" i="8"/>
  <c r="H244" i="8"/>
  <c r="K239" i="8"/>
  <c r="H228" i="8"/>
  <c r="K223" i="8"/>
  <c r="H212" i="8"/>
  <c r="K207" i="8"/>
  <c r="H196" i="8"/>
  <c r="K191" i="8"/>
  <c r="H180" i="8"/>
  <c r="K175" i="8"/>
  <c r="H164" i="8"/>
  <c r="K159" i="8"/>
  <c r="H148" i="8"/>
  <c r="K143" i="8"/>
  <c r="H132" i="8"/>
  <c r="K127" i="8"/>
  <c r="H116" i="8"/>
  <c r="K111" i="8"/>
  <c r="H100" i="8"/>
  <c r="K95" i="8"/>
  <c r="H84" i="8"/>
  <c r="K79" i="8"/>
  <c r="H68" i="8"/>
  <c r="K63" i="8"/>
  <c r="H52" i="8"/>
  <c r="K47" i="8"/>
  <c r="H36" i="8"/>
  <c r="H230" i="8"/>
  <c r="K225" i="8"/>
  <c r="H214" i="8"/>
  <c r="K209" i="8"/>
  <c r="H198" i="8"/>
  <c r="K193" i="8"/>
  <c r="H182" i="8"/>
  <c r="K177" i="8"/>
  <c r="H166" i="8"/>
  <c r="K161" i="8"/>
  <c r="H150" i="8"/>
  <c r="K145" i="8"/>
  <c r="H134" i="8"/>
  <c r="K129" i="8"/>
  <c r="H118" i="8"/>
  <c r="K113" i="8"/>
  <c r="H102" i="8"/>
  <c r="K97" i="8"/>
  <c r="H86" i="8"/>
  <c r="K81" i="8"/>
  <c r="H70" i="8"/>
  <c r="K65" i="8"/>
  <c r="H54" i="8"/>
  <c r="K49" i="8"/>
  <c r="H38" i="8"/>
  <c r="K33" i="8"/>
  <c r="H257" i="8"/>
  <c r="H241" i="8"/>
  <c r="H225" i="8"/>
  <c r="H209" i="8"/>
  <c r="H193" i="8"/>
  <c r="H177" i="8"/>
  <c r="H161" i="8"/>
  <c r="H145" i="8"/>
  <c r="H129" i="8"/>
  <c r="H113" i="8"/>
  <c r="H97" i="8"/>
  <c r="H81" i="8"/>
  <c r="H65" i="8"/>
  <c r="H49" i="8"/>
  <c r="H33" i="8"/>
  <c r="I33" i="8" s="1"/>
  <c r="H9" i="8"/>
  <c r="I9" i="8" s="1"/>
  <c r="K9" i="8"/>
  <c r="H28" i="8"/>
  <c r="I28" i="8" s="1"/>
  <c r="K28" i="8"/>
  <c r="K25" i="8"/>
  <c r="H25" i="8"/>
  <c r="I25" i="8" s="1"/>
  <c r="H15" i="8"/>
  <c r="K16" i="8"/>
  <c r="H16" i="8"/>
  <c r="I16" i="8" s="1"/>
  <c r="K26" i="8"/>
  <c r="H26" i="8"/>
  <c r="I26" i="8" s="1"/>
  <c r="K17" i="8"/>
  <c r="H17" i="8"/>
  <c r="I17" i="8" s="1"/>
  <c r="K27" i="8"/>
  <c r="H27" i="8"/>
  <c r="I27" i="8" s="1"/>
  <c r="H30" i="8"/>
  <c r="I30" i="8" s="1"/>
  <c r="K30" i="8"/>
  <c r="K8" i="8"/>
  <c r="H8" i="8"/>
  <c r="I8" i="8" s="1"/>
  <c r="K14" i="8"/>
  <c r="H14" i="8"/>
  <c r="I14" i="8" s="1"/>
  <c r="K12" i="8"/>
  <c r="H12" i="8"/>
  <c r="I12" i="8" s="1"/>
  <c r="K11" i="8"/>
  <c r="H11" i="8"/>
  <c r="K22" i="8"/>
  <c r="H22" i="8"/>
  <c r="I22" i="8" s="1"/>
  <c r="H21" i="8"/>
  <c r="I21" i="8" s="1"/>
  <c r="K21" i="8"/>
  <c r="H24" i="8"/>
  <c r="I24" i="8" s="1"/>
  <c r="K24" i="8"/>
  <c r="K13" i="8"/>
  <c r="H13" i="8"/>
  <c r="K23" i="8"/>
  <c r="H23" i="8"/>
  <c r="H29" i="8"/>
  <c r="I29" i="8" s="1"/>
  <c r="K29" i="8"/>
  <c r="K32" i="8"/>
  <c r="H32" i="8"/>
  <c r="I32" i="8" s="1"/>
  <c r="K15" i="8"/>
  <c r="K10" i="8"/>
  <c r="H20" i="8"/>
  <c r="I20" i="8" s="1"/>
  <c r="H31" i="8"/>
  <c r="I31" i="8" s="1"/>
  <c r="H18" i="8"/>
  <c r="H19" i="8"/>
  <c r="I19" i="8" s="1"/>
  <c r="J18" i="8" l="1"/>
  <c r="J11" i="8"/>
  <c r="J17" i="8"/>
  <c r="J16" i="8"/>
  <c r="J20" i="8"/>
  <c r="J32" i="8"/>
  <c r="J22" i="8"/>
  <c r="J8" i="8"/>
  <c r="J27" i="8"/>
  <c r="J26" i="8"/>
  <c r="J15" i="8"/>
  <c r="J28" i="8"/>
  <c r="J33" i="8"/>
  <c r="J23" i="8"/>
  <c r="J12" i="8"/>
  <c r="J19" i="8"/>
  <c r="J24" i="8"/>
  <c r="J25" i="8"/>
  <c r="J13" i="8"/>
  <c r="J14" i="8"/>
  <c r="J9" i="8"/>
  <c r="J31" i="8"/>
  <c r="J10" i="8"/>
  <c r="J29" i="8"/>
  <c r="J21" i="8"/>
  <c r="J30" i="8"/>
  <c r="J34" i="8"/>
  <c r="J35" i="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<sst xmlns="http://schemas.openxmlformats.org/spreadsheetml/2006/main" count="2683" uniqueCount="203">
  <si>
    <t>Table of Contents</t>
  </si>
  <si>
    <t>Project Status</t>
  </si>
  <si>
    <t>Project Name</t>
  </si>
  <si>
    <t>Project Lead</t>
  </si>
  <si>
    <t>Project Summary</t>
  </si>
  <si>
    <t>Formulation</t>
  </si>
  <si>
    <t>Acetaminophen</t>
  </si>
  <si>
    <t>Bropheniramine</t>
  </si>
  <si>
    <t>Calcium Carbonate</t>
  </si>
  <si>
    <t>Camphor</t>
  </si>
  <si>
    <t>Capsaicin</t>
  </si>
  <si>
    <t>Chlorpheniramine</t>
  </si>
  <si>
    <t>Dextromethorphan</t>
  </si>
  <si>
    <t>Diphenhydramine</t>
  </si>
  <si>
    <t>Guaifenesin</t>
  </si>
  <si>
    <t>Ibuprofen</t>
  </si>
  <si>
    <t>Menthol</t>
  </si>
  <si>
    <t>Methyl Salicylate</t>
  </si>
  <si>
    <t>Phenylephrine</t>
  </si>
  <si>
    <t>Pseudoephedrine</t>
  </si>
  <si>
    <t>Salicylic acid</t>
  </si>
  <si>
    <t>Simethicone</t>
  </si>
  <si>
    <t>Bookmarks</t>
  </si>
  <si>
    <t>n/a</t>
  </si>
  <si>
    <t>Project</t>
  </si>
  <si>
    <t>Tablets</t>
  </si>
  <si>
    <t>20/30</t>
  </si>
  <si>
    <t>Syrup</t>
  </si>
  <si>
    <t>Cream</t>
  </si>
  <si>
    <t>To Do List</t>
  </si>
  <si>
    <t>Update</t>
  </si>
  <si>
    <t>Due Date</t>
  </si>
  <si>
    <t>Days Due</t>
  </si>
  <si>
    <t>Description</t>
  </si>
  <si>
    <t>Hide</t>
  </si>
  <si>
    <t>Timeline</t>
  </si>
  <si>
    <t>Contacts</t>
  </si>
  <si>
    <t>Passwords</t>
  </si>
  <si>
    <t>Status</t>
  </si>
  <si>
    <t>Add Row</t>
  </si>
  <si>
    <t>Type</t>
  </si>
  <si>
    <t>Bookmark Name</t>
  </si>
  <si>
    <t>User ID</t>
  </si>
  <si>
    <t>Password</t>
  </si>
  <si>
    <t>Bookmark</t>
  </si>
  <si>
    <t>Add</t>
  </si>
  <si>
    <t>Time</t>
  </si>
  <si>
    <t>Role</t>
  </si>
  <si>
    <t>Site</t>
  </si>
  <si>
    <t>Name - Description</t>
  </si>
  <si>
    <t>Warren</t>
  </si>
  <si>
    <t>Richmond</t>
  </si>
  <si>
    <t>Formulator</t>
  </si>
  <si>
    <t>Regulatory</t>
  </si>
  <si>
    <t>Veeva</t>
  </si>
  <si>
    <t>Michigan</t>
  </si>
  <si>
    <t>Lincoln</t>
  </si>
  <si>
    <t>St Louis</t>
  </si>
  <si>
    <t>RTP</t>
  </si>
  <si>
    <t>Agbara</t>
  </si>
  <si>
    <t>Nyon</t>
  </si>
  <si>
    <t>Alcala</t>
  </si>
  <si>
    <t>Italy</t>
  </si>
  <si>
    <t>Nairobi</t>
  </si>
  <si>
    <t>CapeTown</t>
  </si>
  <si>
    <t>Karachi</t>
  </si>
  <si>
    <t>https://gskch-qualitysuite.veevavault.com/ui/#doc_info/</t>
  </si>
  <si>
    <t>HiddenSheet</t>
  </si>
  <si>
    <t>DocBases</t>
  </si>
  <si>
    <t>Prefix</t>
  </si>
  <si>
    <t>Yes/No</t>
  </si>
  <si>
    <t>Roles</t>
  </si>
  <si>
    <t>Added Sheet Names</t>
  </si>
  <si>
    <t>Microsoft Teams</t>
  </si>
  <si>
    <t>https://myteams.gsk.com</t>
  </si>
  <si>
    <t>r/sites/</t>
  </si>
  <si>
    <t>Y</t>
  </si>
  <si>
    <t>One Drive</t>
  </si>
  <si>
    <t>https://mydrive.gsk.com</t>
  </si>
  <si>
    <t>r/personal/</t>
  </si>
  <si>
    <t>N</t>
  </si>
  <si>
    <t>Project Manager</t>
  </si>
  <si>
    <t>Other</t>
  </si>
  <si>
    <t>Quality Manager</t>
  </si>
  <si>
    <t>Chrom</t>
  </si>
  <si>
    <t>C:\Program Files (x86)\Google\Chrome\Application\chrome.exe</t>
  </si>
  <si>
    <t>Analyst</t>
  </si>
  <si>
    <t>Edge</t>
  </si>
  <si>
    <t>C:\Program Files (x86)\Microsoft\Edge\Application\msedge.exe</t>
  </si>
  <si>
    <t>Microbiology</t>
  </si>
  <si>
    <t>Firefox</t>
  </si>
  <si>
    <t>C:\Program Files (x86)\Mozilla Firefox\firefox.exe</t>
  </si>
  <si>
    <t>Toxicology</t>
  </si>
  <si>
    <t>Internet Explorer</t>
  </si>
  <si>
    <t>C:\Program Files (x86)\Internet Explorer\iexplore.exe</t>
  </si>
  <si>
    <t>Sheet Names</t>
  </si>
  <si>
    <t>Internet</t>
  </si>
  <si>
    <t>Program</t>
  </si>
  <si>
    <t>SharePoint</t>
  </si>
  <si>
    <t>Teams</t>
  </si>
  <si>
    <t>Contacts Table</t>
  </si>
  <si>
    <t>DST?</t>
  </si>
  <si>
    <t>Hours</t>
  </si>
  <si>
    <t>Adj Hrs1</t>
  </si>
  <si>
    <t>Adj Hrs2</t>
  </si>
  <si>
    <t>Adj Min</t>
  </si>
  <si>
    <t>Δ</t>
  </si>
  <si>
    <t>Current</t>
  </si>
  <si>
    <t>Greenwich</t>
  </si>
  <si>
    <t>Today</t>
  </si>
  <si>
    <t>East Coast</t>
  </si>
  <si>
    <t>UTC - 5</t>
  </si>
  <si>
    <t>UTC</t>
  </si>
  <si>
    <t>UTC + 1</t>
  </si>
  <si>
    <t>Simple lookup of all the sites from Google</t>
  </si>
  <si>
    <t>Removal of UTC to leave the hours and the sign</t>
  </si>
  <si>
    <t>Aranda</t>
  </si>
  <si>
    <t>DST</t>
  </si>
  <si>
    <t>Aspen, Germany</t>
  </si>
  <si>
    <t>Adj Hrs</t>
  </si>
  <si>
    <t>Adjusted hours based on DST</t>
  </si>
  <si>
    <t>Cairo</t>
  </si>
  <si>
    <t>UTC + 2</t>
  </si>
  <si>
    <t>Returns 30 minutes if the UTC time is a half hour off</t>
  </si>
  <si>
    <t>California</t>
  </si>
  <si>
    <t>UTC - 8</t>
  </si>
  <si>
    <t>Adds or subtracts the UTC from the current time</t>
  </si>
  <si>
    <t>Adjusts the above based on the fact that CurrentTime is not UTC corrected</t>
  </si>
  <si>
    <t>Ratio (not) used to run the QuickTime Clock</t>
  </si>
  <si>
    <t>Genome Valley</t>
  </si>
  <si>
    <t>UTC + 5.5</t>
  </si>
  <si>
    <t>Granules of India</t>
  </si>
  <si>
    <t>Hyderabad</t>
  </si>
  <si>
    <t>Jamshoro</t>
  </si>
  <si>
    <t>UTC + 5</t>
  </si>
  <si>
    <t>UTC - 6</t>
  </si>
  <si>
    <t>London</t>
  </si>
  <si>
    <t>UTC + 0</t>
  </si>
  <si>
    <t>UTC + 3</t>
  </si>
  <si>
    <t>Pulogadung</t>
  </si>
  <si>
    <t>UTC + 8</t>
  </si>
  <si>
    <t>Sligo</t>
  </si>
  <si>
    <t>South Korea</t>
  </si>
  <si>
    <t>UTC + 9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</si>
  <si>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</si>
  <si>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</si>
  <si>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</si>
  <si>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</si>
  <si>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</si>
  <si>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</si>
  <si>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</si>
  <si>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</si>
  <si>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</si>
  <si>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</si>
  <si>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</si>
  <si>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</si>
  <si>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</si>
  <si>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</si>
  <si>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</si>
  <si>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</si>
  <si>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</si>
  <si>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</si>
  <si>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</si>
  <si>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</si>
  <si>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</si>
  <si>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</si>
  <si>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</si>
  <si>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</si>
  <si>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</si>
  <si>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</si>
  <si>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</si>
  <si>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</si>
  <si>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</si>
  <si>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</si>
  <si>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</si>
  <si>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</si>
  <si>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</si>
  <si>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</si>
  <si>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</si>
  <si>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</si>
  <si>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</si>
  <si>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</si>
  <si>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</si>
  <si>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</si>
  <si>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</si>
  <si>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</si>
  <si>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</si>
  <si>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</si>
  <si>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</si>
  <si>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</si>
  <si>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</si>
  <si>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</si>
  <si>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</si>
  <si>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</si>
  <si>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!</t>
  </si>
  <si>
    <t>#</t>
  </si>
  <si>
    <t>%</t>
  </si>
  <si>
    <t>^</t>
  </si>
  <si>
    <t>&amp;</t>
  </si>
  <si>
    <t>(</t>
  </si>
  <si>
    <t>)</t>
  </si>
  <si>
    <t>~</t>
  </si>
  <si>
    <t>New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</si>
</sst>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 mmm\ yyyy"/>
    <numFmt numFmtId="165" formatCode="[$-409]h:mm\ AM/PM;@"/>
    <numFmt numFmtId="166" formatCode="0.0"/>
    <numFmt numFmtId="167" formatCode="0.00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3" xfId="1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7" fillId="0" borderId="1" xfId="2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7" fillId="0" borderId="1" xfId="2" applyBorder="1"/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5" borderId="1" xfId="0" applyFill="1" applyBorder="1" applyAlignment="1">
      <alignment horizontal="center"/>
    </xf>
    <xf numFmtId="165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/>
    <xf numFmtId="0" fontId="0" fillId="0" borderId="0" xfId="0" applyAlignment="1">
      <alignment horizontal="left"/>
    </xf>
    <xf numFmtId="0" fontId="9" fillId="5" borderId="1" xfId="0" applyFont="1" applyFill="1" applyBorder="1" applyAlignment="1">
      <alignment horizontal="center" vertical="center"/>
    </xf>
    <xf numFmtId="0" fontId="9" fillId="6" borderId="1" xfId="0" applyFont="1" applyFill="1" applyBorder="1"/>
    <xf numFmtId="0" fontId="9" fillId="0" borderId="0" xfId="0" applyFont="1" applyAlignment="1">
      <alignment vertical="center"/>
    </xf>
    <xf numFmtId="166" fontId="0" fillId="0" borderId="0" xfId="0" applyNumberFormat="1" applyAlignment="1">
      <alignment horizontal="left" vertical="center"/>
    </xf>
    <xf numFmtId="14" fontId="0" fillId="0" borderId="0" xfId="0" applyNumberFormat="1"/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3" borderId="7" xfId="1" applyFont="1" applyBorder="1" applyAlignment="1">
      <alignment horizontal="center" vertical="center" wrapText="1"/>
    </xf>
    <xf numFmtId="164" fontId="0" fillId="4" borderId="1" xfId="1" applyNumberFormat="1" applyFont="1" applyFill="1" applyBorder="1" applyAlignment="1">
      <alignment horizontal="center" vertical="center" wrapText="1"/>
    </xf>
    <xf numFmtId="165" fontId="0" fillId="4" borderId="1" xfId="1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/>
    </xf>
    <xf numFmtId="166" fontId="1" fillId="0" borderId="0" xfId="0" applyNumberFormat="1" applyFont="1" applyAlignment="1">
      <alignment horizontal="center" vertical="top"/>
    </xf>
    <xf numFmtId="18" fontId="0" fillId="5" borderId="1" xfId="0" applyNumberFormat="1" applyFill="1" applyBorder="1" applyAlignment="1">
      <alignment horizontal="center" vertical="center"/>
    </xf>
    <xf numFmtId="18" fontId="1" fillId="0" borderId="0" xfId="0" applyNumberFormat="1" applyFont="1" applyAlignment="1">
      <alignment vertical="top"/>
    </xf>
    <xf numFmtId="0" fontId="1" fillId="0" borderId="4" xfId="0" applyFont="1" applyBorder="1" applyAlignment="1">
      <alignment vertical="center"/>
    </xf>
    <xf numFmtId="0" fontId="10" fillId="0" borderId="5" xfId="2" applyFont="1" applyBorder="1"/>
    <xf numFmtId="0" fontId="5" fillId="4" borderId="5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6" fillId="0" borderId="4" xfId="0" applyFont="1" applyBorder="1"/>
    <xf numFmtId="164" fontId="0" fillId="5" borderId="1" xfId="0" applyNumberForma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164" fontId="5" fillId="4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textRotation="90"/>
    </xf>
    <xf numFmtId="0" fontId="0" fillId="0" borderId="1" xfId="0" quotePrefix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4" borderId="9" xfId="0" applyFont="1" applyFill="1" applyBorder="1" applyAlignment="1">
      <alignment vertical="center" wrapText="1"/>
    </xf>
    <xf numFmtId="0" fontId="0" fillId="0" borderId="9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10" fillId="0" borderId="1" xfId="2" applyFont="1" applyBorder="1"/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" fillId="0" borderId="4" xfId="0" applyFont="1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 wrapText="1"/>
    </xf>
  </cellXfs>
  <cellStyles count="3">
    <cellStyle name="40% - Accent3" xfId="1" builtinId="39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skch-qualitysuite.veevavault.com/ui/" TargetMode="External"/><Relationship Id="rId2" Type="http://schemas.openxmlformats.org/officeDocument/2006/relationships/hyperlink" Target="https://mydrive.gsk.com/" TargetMode="External"/><Relationship Id="rId1" Type="http://schemas.openxmlformats.org/officeDocument/2006/relationships/hyperlink" Target="https://myteams.gsk.com/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OC"/>
  <dimension ref="B2:CA108"/>
  <sheetViews>
    <sheetView showGridLines="0" tabSelected="1" zoomScale="104" zoomScaleNormal="104" workbookViewId="0"/>
  </sheetViews>
  <sheetFormatPr defaultRowHeight="15" x14ac:dyDescent="0.25"/>
  <cols>
    <col min="1" max="1" width="3.85546875" customWidth="1"/>
    <col min="2" max="2" width="11.28515625" customWidth="1"/>
    <col min="3" max="3" width="5.42578125" hidden="1" customWidth="1"/>
    <col min="4" max="4" width="5.140625" hidden="1" customWidth="1"/>
    <col min="5" max="5" width="6.28515625" style="38" hidden="1" customWidth="1"/>
    <col min="6" max="6" width="19.42578125" customWidth="1"/>
    <col min="7" max="8" width="27.28515625" customWidth="1"/>
    <col min="9" max="9" width="71.42578125" customWidth="1"/>
    <col min="10" max="10" width="6.85546875" style="9" hidden="1" customWidth="1"/>
    <col min="11" max="14" width="5" style="9" hidden="1" customWidth="1"/>
    <col min="15" max="15" width="7" style="9" hidden="1" customWidth="1"/>
    <col min="16" max="16" width="5" style="9" hidden="1" customWidth="1"/>
    <col min="17" max="17" width="5.7109375" style="9" hidden="1" customWidth="1"/>
    <col min="18" max="78" width="5" style="9" hidden="1" customWidth="1"/>
    <col min="79" max="79" width="5" style="9" customWidth="1"/>
  </cols>
  <sheetData>
    <row r="2" spans="2:79" ht="23.25" x14ac:dyDescent="0.35">
      <c r="B2" s="2" t="s">
        <v>0</v>
      </c>
      <c r="C2" s="2"/>
      <c r="D2" s="2"/>
    </row>
    <row r="3" spans="2:79" ht="15.75" thickBot="1" x14ac:dyDescent="0.3">
      <c r="B3" s="4" t="s">
        <v>24</v>
      </c>
    </row>
    <row r="4" spans="2:79" ht="60" customHeight="1" thickTop="1" x14ac:dyDescent="0.25">
      <c r="F4" s="1" t="s">
        <v>1</v>
      </c>
      <c r="G4" s="1" t="s">
        <v>2</v>
      </c>
      <c r="H4" s="1" t="s">
        <v>3</v>
      </c>
      <c r="I4" s="1" t="s">
        <v>4</v>
      </c>
      <c r="J4" s="51" t="s">
        <v>5</v>
      </c>
      <c r="K4" s="51" t="s">
        <v>6</v>
      </c>
      <c r="L4" s="51" t="s">
        <v>7</v>
      </c>
      <c r="M4" s="51" t="s">
        <v>8</v>
      </c>
      <c r="N4" s="51" t="s">
        <v>9</v>
      </c>
      <c r="O4" s="51" t="s">
        <v>10</v>
      </c>
      <c r="P4" s="51" t="s">
        <v>11</v>
      </c>
      <c r="Q4" s="51" t="s">
        <v>12</v>
      </c>
      <c r="R4" s="51" t="s">
        <v>13</v>
      </c>
      <c r="S4" s="51" t="s">
        <v>14</v>
      </c>
      <c r="T4" s="51" t="s">
        <v>15</v>
      </c>
      <c r="U4" s="51" t="s">
        <v>16</v>
      </c>
      <c r="V4" s="51" t="s">
        <v>17</v>
      </c>
      <c r="W4" s="51" t="s">
        <v>18</v>
      </c>
      <c r="X4" s="51" t="s">
        <v>19</v>
      </c>
      <c r="Y4" s="51" t="s">
        <v>20</v>
      </c>
      <c r="Z4" s="51" t="s">
        <v>21</v>
      </c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</row>
    <row r="5" spans="2:79" s="6" customFormat="1" ht="22.15" customHeight="1" thickBot="1" x14ac:dyDescent="0.3">
      <c r="B5" s="4" t="str">
        <f>IF(D5=1,"GoTo",IF(E5=1,"Create",""))</f>
        <v/>
      </c>
      <c r="D5" s="9">
        <f>COUNTIF(hidden_AddedSheets,TOC!C5)</f>
        <v>0</v>
      </c>
      <c r="E5" s="9" t="str">
        <f>IF(G5="","",COUNTIF(hidden_AddedSheets,TOC!G5)+1)</f>
        <v/>
      </c>
      <c r="F5" s="7"/>
      <c r="G5" s="7"/>
      <c r="H5" s="7"/>
      <c r="I5" s="7"/>
      <c r="J5" s="37" t="s">
        <v>23</v>
      </c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</row>
    <row r="6" spans="2:79" s="6" customFormat="1" ht="25.9" hidden="1" customHeight="1" thickTop="1" thickBot="1" x14ac:dyDescent="0.3">
      <c r="B6" s="4" t="str">
        <f>IF(D6=1,"GoTo",IF(E6=1,"Create",""))</f>
        <v/>
      </c>
      <c r="D6" s="9">
        <f>COUNTIF(hidden_AddedSheets,TOC!C6)</f>
        <v>0</v>
      </c>
      <c r="E6" s="9" t="str">
        <f>IF(G6="","",COUNTIF(hidden_AddedSheets,TOC!G6)+1)</f>
        <v/>
      </c>
      <c r="F6" s="7"/>
      <c r="G6" s="7"/>
      <c r="H6" s="7"/>
      <c r="I6" s="7"/>
      <c r="J6" s="37" t="s">
        <v>23</v>
      </c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</row>
    <row r="7" spans="2:79" s="6" customFormat="1" ht="23.45" hidden="1" customHeight="1" thickTop="1" thickBot="1" x14ac:dyDescent="0.3">
      <c r="B7" s="4" t="str">
        <f>IF(D7=1,"GoTo",IF(E7=1,"Create",""))</f>
        <v/>
      </c>
      <c r="D7" s="9">
        <f>COUNTIF(hidden_AddedSheets,TOC!C7)</f>
        <v>0</v>
      </c>
      <c r="E7" s="9" t="str">
        <f>IF(G7="","",COUNTIF(hidden_AddedSheets,TOC!G7)+1)</f>
        <v/>
      </c>
      <c r="F7" s="7"/>
      <c r="G7" s="7"/>
      <c r="H7" s="58"/>
      <c r="I7" s="7"/>
      <c r="J7" s="37" t="s">
        <v>25</v>
      </c>
      <c r="K7" s="37"/>
      <c r="L7" s="37"/>
      <c r="M7" s="37">
        <v>1000</v>
      </c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>
        <v>80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</row>
    <row r="8" spans="2:79" s="6" customFormat="1" ht="23.45" hidden="1" customHeight="1" thickTop="1" thickBot="1" x14ac:dyDescent="0.3">
      <c r="B8" s="4" t="str">
        <f>IF(D8=1,"GoTo",IF(E8=1,"Create",""))</f>
        <v/>
      </c>
      <c r="D8" s="9">
        <f>COUNTIF(hidden_AddedSheets,TOC!C8)</f>
        <v>0</v>
      </c>
      <c r="E8" s="9" t="str">
        <f>IF(G8="","",COUNTIF(hidden_AddedSheets,TOC!G8)+1)</f>
        <v/>
      </c>
      <c r="F8" s="7"/>
      <c r="G8" s="7"/>
      <c r="H8" s="58"/>
      <c r="I8" s="45"/>
      <c r="J8" s="37" t="s">
        <v>23</v>
      </c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</row>
    <row r="9" spans="2:79" s="6" customFormat="1" ht="16.5" hidden="1" thickTop="1" thickBot="1" x14ac:dyDescent="0.3">
      <c r="B9" s="4" t="str">
        <f t="shared" ref="B9:B11" si="0">IF(D9=1,"GoTo",IF(E9=1,"Create",""))</f>
        <v/>
      </c>
      <c r="D9" s="9">
        <f>COUNTIF(hidden_AddedSheets,TOC!C9)</f>
        <v>0</v>
      </c>
      <c r="E9" s="9" t="str">
        <f>IF(G9="","",COUNTIF(hidden_AddedSheets,TOC!G9)+1)</f>
        <v/>
      </c>
      <c r="F9" s="7"/>
      <c r="G9" s="57"/>
      <c r="H9" s="59"/>
      <c r="I9" s="56"/>
      <c r="J9" s="55" t="s">
        <v>25</v>
      </c>
      <c r="K9" s="37"/>
      <c r="L9" s="37"/>
      <c r="M9" s="37"/>
      <c r="N9" s="37"/>
      <c r="O9" s="37"/>
      <c r="P9" s="37">
        <v>4</v>
      </c>
      <c r="Q9" s="52" t="s">
        <v>26</v>
      </c>
      <c r="R9" s="37"/>
      <c r="S9" s="37">
        <v>400</v>
      </c>
      <c r="T9" s="37"/>
      <c r="U9" s="37"/>
      <c r="V9" s="37"/>
      <c r="W9" s="37"/>
      <c r="X9" s="37"/>
      <c r="Y9" s="37"/>
      <c r="Z9" s="37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</row>
    <row r="10" spans="2:79" s="6" customFormat="1" ht="16.5" hidden="1" thickTop="1" thickBot="1" x14ac:dyDescent="0.3">
      <c r="B10" s="4" t="str">
        <f t="shared" si="0"/>
        <v/>
      </c>
      <c r="D10" s="9">
        <f>COUNTIF(hidden_AddedSheets,TOC!C10)</f>
        <v>0</v>
      </c>
      <c r="E10" s="9" t="str">
        <f>IF(G10="","",COUNTIF(hidden_AddedSheets,TOC!G10)+1)</f>
        <v/>
      </c>
      <c r="F10" s="7"/>
      <c r="G10" s="57"/>
      <c r="H10" s="59"/>
      <c r="I10" s="56"/>
      <c r="J10" s="55" t="s">
        <v>27</v>
      </c>
      <c r="K10" s="37">
        <v>1000</v>
      </c>
      <c r="L10" s="37"/>
      <c r="M10" s="37"/>
      <c r="N10" s="37">
        <v>4.8</v>
      </c>
      <c r="O10" s="37"/>
      <c r="P10" s="37">
        <v>4</v>
      </c>
      <c r="Q10" s="37">
        <v>20</v>
      </c>
      <c r="R10" s="37"/>
      <c r="S10" s="37"/>
      <c r="T10" s="37"/>
      <c r="U10" s="37">
        <v>40</v>
      </c>
      <c r="V10" s="37"/>
      <c r="W10" s="37"/>
      <c r="X10" s="37"/>
      <c r="Y10" s="37"/>
      <c r="Z10" s="3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</row>
    <row r="11" spans="2:79" s="6" customFormat="1" ht="16.5" hidden="1" thickTop="1" thickBot="1" x14ac:dyDescent="0.3">
      <c r="B11" s="4" t="str">
        <f t="shared" si="0"/>
        <v/>
      </c>
      <c r="D11" s="9">
        <f>COUNTIF(hidden_AddedSheets,TOC!C11)</f>
        <v>0</v>
      </c>
      <c r="E11" s="9" t="str">
        <f>IF(G11="","",COUNTIF(hidden_AddedSheets,TOC!G11)+1)</f>
        <v/>
      </c>
      <c r="F11" s="7"/>
      <c r="G11" s="7"/>
      <c r="H11" s="58"/>
      <c r="I11" s="45"/>
      <c r="J11" s="37" t="s">
        <v>25</v>
      </c>
      <c r="K11" s="37"/>
      <c r="L11" s="37"/>
      <c r="M11" s="37"/>
      <c r="N11" s="37"/>
      <c r="O11" s="37"/>
      <c r="P11" s="37"/>
      <c r="Q11" s="37"/>
      <c r="R11" s="37"/>
      <c r="S11" s="37">
        <v>200</v>
      </c>
      <c r="T11" s="37">
        <v>200</v>
      </c>
      <c r="U11" s="37"/>
      <c r="V11" s="37"/>
      <c r="W11" s="37"/>
      <c r="X11" s="37">
        <v>30</v>
      </c>
      <c r="Y11" s="37"/>
      <c r="Z11" s="3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</row>
    <row r="12" spans="2:79" s="6" customFormat="1" ht="23.45" hidden="1" customHeight="1" thickTop="1" thickBot="1" x14ac:dyDescent="0.3">
      <c r="B12" s="4" t="str">
        <f t="shared" ref="B12:B69" si="1">IF(D12=1,"GoTo",IF(E12=1,"Create",""))</f>
        <v/>
      </c>
      <c r="D12" s="9">
        <f>COUNTIF(hidden_AddedSheets,TOC!C12)</f>
        <v>0</v>
      </c>
      <c r="E12" s="9" t="str">
        <f>IF(G12="","",COUNTIF(hidden_AddedSheets,TOC!G12)+1)</f>
        <v/>
      </c>
      <c r="F12" s="7"/>
      <c r="G12" s="7"/>
      <c r="H12" s="58"/>
      <c r="I12" s="45"/>
      <c r="J12" s="55" t="s">
        <v>27</v>
      </c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</row>
    <row r="13" spans="2:79" s="6" customFormat="1" ht="26.45" hidden="1" customHeight="1" thickTop="1" thickBot="1" x14ac:dyDescent="0.3">
      <c r="B13" s="4" t="str">
        <f t="shared" si="1"/>
        <v/>
      </c>
      <c r="D13" s="9">
        <f>COUNTIF(hidden_AddedSheets,TOC!C13)</f>
        <v>0</v>
      </c>
      <c r="E13" s="9" t="str">
        <f>IF(G13="","",COUNTIF(hidden_AddedSheets,TOC!G13)+1)</f>
        <v/>
      </c>
      <c r="F13" s="7"/>
      <c r="G13" s="7"/>
      <c r="H13" s="58"/>
      <c r="I13" s="45"/>
      <c r="J13" s="37" t="s">
        <v>28</v>
      </c>
      <c r="K13" s="37"/>
      <c r="L13" s="37"/>
      <c r="M13" s="37"/>
      <c r="N13" s="54">
        <v>0.03</v>
      </c>
      <c r="O13" s="53">
        <v>2.5000000000000001E-4</v>
      </c>
      <c r="P13" s="37"/>
      <c r="Q13" s="37"/>
      <c r="R13" s="37"/>
      <c r="S13" s="37"/>
      <c r="T13" s="37"/>
      <c r="U13" s="54">
        <v>0.1</v>
      </c>
      <c r="V13" s="54">
        <v>0.14000000000000001</v>
      </c>
      <c r="W13" s="37"/>
      <c r="X13" s="37"/>
      <c r="Y13" s="37"/>
      <c r="Z13" s="3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</row>
    <row r="14" spans="2:79" s="6" customFormat="1" ht="26.45" hidden="1" customHeight="1" thickTop="1" thickBot="1" x14ac:dyDescent="0.3">
      <c r="B14" s="4" t="str">
        <f t="shared" si="1"/>
        <v/>
      </c>
      <c r="D14" s="9">
        <f>COUNTIF(hidden_AddedSheets,TOC!C14)</f>
        <v>0</v>
      </c>
      <c r="E14" s="9" t="str">
        <f>IF(G14="","",COUNTIF(hidden_AddedSheets,TOC!G14)+1)</f>
        <v/>
      </c>
      <c r="F14" s="7"/>
      <c r="G14" s="7"/>
      <c r="H14" s="58"/>
      <c r="I14" s="45"/>
      <c r="J14" s="37"/>
      <c r="K14" s="37"/>
      <c r="L14" s="37"/>
      <c r="M14" s="37"/>
      <c r="N14" s="54"/>
      <c r="O14" s="53"/>
      <c r="P14" s="37"/>
      <c r="Q14" s="37"/>
      <c r="R14" s="37"/>
      <c r="S14" s="37"/>
      <c r="T14" s="37"/>
      <c r="U14" s="54"/>
      <c r="V14" s="54"/>
      <c r="W14" s="37"/>
      <c r="X14" s="37"/>
      <c r="Y14" s="37"/>
      <c r="Z14" s="37"/>
    </row>
    <row r="15" spans="2:79" s="6" customFormat="1" ht="23.45" hidden="1" customHeight="1" thickTop="1" thickBot="1" x14ac:dyDescent="0.3">
      <c r="B15" s="4" t="str">
        <f t="shared" si="1"/>
        <v/>
      </c>
      <c r="D15" s="9">
        <f>COUNTIF(hidden_AddedSheets,TOC!C15)</f>
        <v>0</v>
      </c>
      <c r="E15" s="9" t="str">
        <f>IF(G15="","",COUNTIF(hidden_AddedSheets,TOC!G15)+1)</f>
        <v/>
      </c>
      <c r="F15" s="7"/>
      <c r="G15" s="7"/>
      <c r="H15" s="58"/>
      <c r="I15" s="45"/>
      <c r="J15" s="37"/>
      <c r="K15" s="37"/>
      <c r="L15" s="37"/>
      <c r="M15" s="37"/>
      <c r="N15" s="54"/>
      <c r="O15" s="53"/>
      <c r="P15" s="37"/>
      <c r="Q15" s="37"/>
      <c r="R15" s="37"/>
      <c r="S15" s="37"/>
      <c r="T15" s="37"/>
      <c r="U15" s="54"/>
      <c r="V15" s="54"/>
      <c r="W15" s="37"/>
      <c r="X15" s="37"/>
      <c r="Y15" s="37"/>
      <c r="Z15" s="37"/>
    </row>
    <row r="16" spans="2:79" s="6" customFormat="1" ht="16.5" hidden="1" thickTop="1" thickBot="1" x14ac:dyDescent="0.3">
      <c r="B16" s="4" t="str">
        <f t="shared" si="1"/>
        <v/>
      </c>
      <c r="D16" s="9">
        <f>COUNTIF(hidden_AddedSheets,TOC!C16)</f>
        <v>0</v>
      </c>
      <c r="E16" s="9" t="str">
        <f>IF(G16="","",COUNTIF(hidden_AddedSheets,TOC!G16)+1)</f>
        <v/>
      </c>
      <c r="F16" s="7"/>
      <c r="G16" s="7"/>
      <c r="H16" s="58"/>
      <c r="I16" s="45"/>
      <c r="J16" s="37"/>
      <c r="K16" s="37"/>
      <c r="L16" s="37"/>
      <c r="M16" s="37"/>
      <c r="N16" s="54"/>
      <c r="O16" s="53"/>
      <c r="P16" s="37"/>
      <c r="Q16" s="37"/>
      <c r="R16" s="37"/>
      <c r="S16" s="37"/>
      <c r="T16" s="37"/>
      <c r="U16" s="54"/>
      <c r="V16" s="54"/>
      <c r="W16" s="37"/>
      <c r="X16" s="37"/>
      <c r="Y16" s="37"/>
      <c r="Z16" s="37"/>
    </row>
    <row r="17" spans="2:26" s="6" customFormat="1" ht="16.5" hidden="1" thickTop="1" thickBot="1" x14ac:dyDescent="0.3">
      <c r="B17" s="4" t="str">
        <f t="shared" si="1"/>
        <v/>
      </c>
      <c r="D17" s="9">
        <f>COUNTIF(hidden_AddedSheets,TOC!C17)</f>
        <v>0</v>
      </c>
      <c r="E17" s="9" t="str">
        <f>IF(G17="","",COUNTIF(hidden_AddedSheets,TOC!G17)+1)</f>
        <v/>
      </c>
      <c r="F17" s="7"/>
      <c r="G17" s="7"/>
      <c r="H17" s="58"/>
      <c r="I17" s="45"/>
      <c r="J17" s="37"/>
      <c r="K17" s="37"/>
      <c r="L17" s="37"/>
      <c r="M17" s="37"/>
      <c r="N17" s="54"/>
      <c r="O17" s="53"/>
      <c r="P17" s="37"/>
      <c r="Q17" s="37"/>
      <c r="R17" s="37"/>
      <c r="S17" s="37"/>
      <c r="T17" s="37"/>
      <c r="U17" s="54"/>
      <c r="V17" s="54"/>
      <c r="W17" s="37"/>
      <c r="X17" s="37"/>
      <c r="Y17" s="37"/>
      <c r="Z17" s="37"/>
    </row>
    <row r="18" spans="2:26" s="6" customFormat="1" ht="16.5" hidden="1" thickTop="1" thickBot="1" x14ac:dyDescent="0.3">
      <c r="B18" s="4" t="str">
        <f t="shared" si="1"/>
        <v/>
      </c>
      <c r="D18" s="9">
        <f>COUNTIF(hidden_AddedSheets,TOC!C18)</f>
        <v>0</v>
      </c>
      <c r="E18" s="9" t="str">
        <f>IF(G18="","",COUNTIF(hidden_AddedSheets,TOC!G18)+1)</f>
        <v/>
      </c>
      <c r="F18" s="7"/>
      <c r="G18" s="7"/>
      <c r="H18" s="58"/>
      <c r="I18" s="45"/>
      <c r="J18" s="37"/>
      <c r="K18" s="37"/>
      <c r="L18" s="37"/>
      <c r="M18" s="37"/>
      <c r="N18" s="54"/>
      <c r="O18" s="53"/>
      <c r="P18" s="37"/>
      <c r="Q18" s="37"/>
      <c r="R18" s="37"/>
      <c r="S18" s="37"/>
      <c r="T18" s="37"/>
      <c r="U18" s="54"/>
      <c r="V18" s="54"/>
      <c r="W18" s="37"/>
      <c r="X18" s="37"/>
      <c r="Y18" s="37"/>
      <c r="Z18" s="37"/>
    </row>
    <row r="19" spans="2:26" s="6" customFormat="1" ht="16.5" hidden="1" thickTop="1" thickBot="1" x14ac:dyDescent="0.3">
      <c r="B19" s="4" t="str">
        <f t="shared" si="1"/>
        <v/>
      </c>
      <c r="D19" s="9">
        <f>COUNTIF(hidden_AddedSheets,TOC!C19)</f>
        <v>0</v>
      </c>
      <c r="E19" s="9" t="str">
        <f>IF(G19="","",COUNTIF(hidden_AddedSheets,TOC!G19)+1)</f>
        <v/>
      </c>
      <c r="F19" s="7"/>
      <c r="G19" s="7"/>
      <c r="H19" s="58"/>
      <c r="I19" s="45"/>
      <c r="J19" s="37"/>
      <c r="K19" s="37"/>
      <c r="L19" s="37"/>
      <c r="M19" s="37"/>
      <c r="N19" s="54"/>
      <c r="O19" s="53"/>
      <c r="P19" s="37"/>
      <c r="Q19" s="37"/>
      <c r="R19" s="37"/>
      <c r="S19" s="37"/>
      <c r="T19" s="37"/>
      <c r="U19" s="54"/>
      <c r="V19" s="54"/>
      <c r="W19" s="37"/>
      <c r="X19" s="37"/>
      <c r="Y19" s="37"/>
      <c r="Z19" s="37"/>
    </row>
    <row r="20" spans="2:26" s="6" customFormat="1" ht="16.5" hidden="1" thickTop="1" thickBot="1" x14ac:dyDescent="0.3">
      <c r="B20" s="4" t="str">
        <f t="shared" si="1"/>
        <v/>
      </c>
      <c r="D20" s="9">
        <f>COUNTIF(hidden_AddedSheets,TOC!C20)</f>
        <v>0</v>
      </c>
      <c r="E20" s="9" t="str">
        <f>IF(G20="","",COUNTIF(hidden_AddedSheets,TOC!G20)+1)</f>
        <v/>
      </c>
      <c r="F20" s="7"/>
      <c r="G20" s="7"/>
      <c r="H20" s="58"/>
      <c r="I20" s="45"/>
      <c r="J20" s="37"/>
      <c r="K20" s="37"/>
      <c r="L20" s="37"/>
      <c r="M20" s="37"/>
      <c r="N20" s="54"/>
      <c r="O20" s="53"/>
      <c r="P20" s="37"/>
      <c r="Q20" s="37"/>
      <c r="R20" s="37"/>
      <c r="S20" s="37"/>
      <c r="T20" s="37"/>
      <c r="U20" s="54"/>
      <c r="V20" s="54"/>
      <c r="W20" s="37"/>
      <c r="X20" s="37"/>
      <c r="Y20" s="37"/>
      <c r="Z20" s="37"/>
    </row>
    <row r="21" spans="2:26" s="6" customFormat="1" ht="16.5" hidden="1" thickTop="1" thickBot="1" x14ac:dyDescent="0.3">
      <c r="B21" s="4" t="str">
        <f t="shared" si="1"/>
        <v/>
      </c>
      <c r="D21" s="9">
        <f>COUNTIF(hidden_AddedSheets,TOC!C21)</f>
        <v>0</v>
      </c>
      <c r="E21" s="9" t="str">
        <f>IF(G21="","",COUNTIF(hidden_AddedSheets,TOC!G21)+1)</f>
        <v/>
      </c>
      <c r="F21" s="7"/>
      <c r="G21" s="7"/>
      <c r="H21" s="58"/>
      <c r="I21" s="45"/>
      <c r="J21" s="37"/>
      <c r="K21" s="37"/>
      <c r="L21" s="37"/>
      <c r="M21" s="37"/>
      <c r="N21" s="54"/>
      <c r="O21" s="53"/>
      <c r="P21" s="37"/>
      <c r="Q21" s="37"/>
      <c r="R21" s="37"/>
      <c r="S21" s="37"/>
      <c r="T21" s="37"/>
      <c r="U21" s="54"/>
      <c r="V21" s="54"/>
      <c r="W21" s="37"/>
      <c r="X21" s="37"/>
      <c r="Y21" s="37"/>
      <c r="Z21" s="37"/>
    </row>
    <row r="22" spans="2:26" s="6" customFormat="1" ht="16.5" hidden="1" thickTop="1" thickBot="1" x14ac:dyDescent="0.3">
      <c r="B22" s="4" t="str">
        <f t="shared" si="1"/>
        <v/>
      </c>
      <c r="D22" s="9">
        <f>COUNTIF(hidden_AddedSheets,TOC!C22)</f>
        <v>0</v>
      </c>
      <c r="E22" s="9" t="str">
        <f>IF(G22="","",COUNTIF(hidden_AddedSheets,TOC!G22)+1)</f>
        <v/>
      </c>
      <c r="F22" s="7"/>
      <c r="G22" s="7"/>
      <c r="H22" s="58"/>
      <c r="I22" s="45"/>
      <c r="J22" s="37"/>
      <c r="K22" s="37"/>
      <c r="L22" s="37"/>
      <c r="M22" s="37"/>
      <c r="N22" s="54"/>
      <c r="O22" s="53"/>
      <c r="P22" s="37"/>
      <c r="Q22" s="37"/>
      <c r="R22" s="37"/>
      <c r="S22" s="37"/>
      <c r="T22" s="37"/>
      <c r="U22" s="54"/>
      <c r="V22" s="54"/>
      <c r="W22" s="37"/>
      <c r="X22" s="37"/>
      <c r="Y22" s="37"/>
      <c r="Z22" s="37"/>
    </row>
    <row r="23" spans="2:26" s="6" customFormat="1" ht="16.5" hidden="1" thickTop="1" thickBot="1" x14ac:dyDescent="0.3">
      <c r="B23" s="4" t="str">
        <f t="shared" si="1"/>
        <v/>
      </c>
      <c r="D23" s="9">
        <f>COUNTIF(hidden_AddedSheets,TOC!C23)</f>
        <v>0</v>
      </c>
      <c r="E23" s="9" t="str">
        <f>IF(G23="","",COUNTIF(hidden_AddedSheets,TOC!G23)+1)</f>
        <v/>
      </c>
      <c r="F23" s="7"/>
      <c r="G23" s="7"/>
      <c r="H23" s="58"/>
      <c r="I23" s="45"/>
      <c r="J23" s="37"/>
      <c r="K23" s="37"/>
      <c r="L23" s="37"/>
      <c r="M23" s="37"/>
      <c r="N23" s="54"/>
      <c r="O23" s="53"/>
      <c r="P23" s="37"/>
      <c r="Q23" s="37"/>
      <c r="R23" s="37"/>
      <c r="S23" s="37"/>
      <c r="T23" s="37"/>
      <c r="U23" s="54"/>
      <c r="V23" s="54"/>
      <c r="W23" s="37"/>
      <c r="X23" s="37"/>
      <c r="Y23" s="37"/>
      <c r="Z23" s="37"/>
    </row>
    <row r="24" spans="2:26" s="6" customFormat="1" ht="16.5" hidden="1" thickTop="1" thickBot="1" x14ac:dyDescent="0.3">
      <c r="B24" s="4" t="str">
        <f t="shared" si="1"/>
        <v/>
      </c>
      <c r="D24" s="9">
        <f>COUNTIF(hidden_AddedSheets,TOC!C24)</f>
        <v>0</v>
      </c>
      <c r="E24" s="9" t="str">
        <f>IF(G24="","",COUNTIF(hidden_AddedSheets,TOC!G24)+1)</f>
        <v/>
      </c>
      <c r="F24" s="7"/>
      <c r="G24" s="7"/>
      <c r="H24" s="58"/>
      <c r="I24" s="45"/>
      <c r="J24" s="37"/>
      <c r="K24" s="37"/>
      <c r="L24" s="37"/>
      <c r="M24" s="37"/>
      <c r="N24" s="54"/>
      <c r="O24" s="53"/>
      <c r="P24" s="37"/>
      <c r="Q24" s="37"/>
      <c r="R24" s="37"/>
      <c r="S24" s="37"/>
      <c r="T24" s="37"/>
      <c r="U24" s="54"/>
      <c r="V24" s="54"/>
      <c r="W24" s="37"/>
      <c r="X24" s="37"/>
      <c r="Y24" s="37"/>
      <c r="Z24" s="37"/>
    </row>
    <row r="25" spans="2:26" s="6" customFormat="1" ht="16.5" hidden="1" thickTop="1" thickBot="1" x14ac:dyDescent="0.3">
      <c r="B25" s="4" t="str">
        <f t="shared" si="1"/>
        <v/>
      </c>
      <c r="D25" s="9">
        <f>COUNTIF(hidden_AddedSheets,TOC!C25)</f>
        <v>0</v>
      </c>
      <c r="E25" s="9" t="str">
        <f>IF(G25="","",COUNTIF(hidden_AddedSheets,TOC!G25)+1)</f>
        <v/>
      </c>
      <c r="F25" s="7"/>
      <c r="G25" s="7"/>
      <c r="H25" s="58"/>
      <c r="I25" s="45"/>
      <c r="J25" s="37"/>
      <c r="K25" s="37"/>
      <c r="L25" s="37"/>
      <c r="M25" s="37"/>
      <c r="N25" s="54"/>
      <c r="O25" s="53"/>
      <c r="P25" s="37"/>
      <c r="Q25" s="37"/>
      <c r="R25" s="37"/>
      <c r="S25" s="37"/>
      <c r="T25" s="37"/>
      <c r="U25" s="54"/>
      <c r="V25" s="54"/>
      <c r="W25" s="37"/>
      <c r="X25" s="37"/>
      <c r="Y25" s="37"/>
      <c r="Z25" s="37"/>
    </row>
    <row r="26" spans="2:26" s="6" customFormat="1" ht="16.5" hidden="1" thickTop="1" thickBot="1" x14ac:dyDescent="0.3">
      <c r="B26" s="4" t="str">
        <f t="shared" si="1"/>
        <v/>
      </c>
      <c r="D26" s="9">
        <f>COUNTIF(hidden_AddedSheets,TOC!C26)</f>
        <v>0</v>
      </c>
      <c r="E26" s="9" t="str">
        <f>IF(G26="","",COUNTIF(hidden_AddedSheets,TOC!G26)+1)</f>
        <v/>
      </c>
      <c r="F26" s="7"/>
      <c r="G26" s="7"/>
      <c r="H26" s="58"/>
      <c r="I26" s="45"/>
      <c r="J26" s="37"/>
      <c r="K26" s="37"/>
      <c r="L26" s="37"/>
      <c r="M26" s="37"/>
      <c r="N26" s="54"/>
      <c r="O26" s="53"/>
      <c r="P26" s="37"/>
      <c r="Q26" s="37"/>
      <c r="R26" s="37"/>
      <c r="S26" s="37"/>
      <c r="T26" s="37"/>
      <c r="U26" s="54"/>
      <c r="V26" s="54"/>
      <c r="W26" s="37"/>
      <c r="X26" s="37"/>
      <c r="Y26" s="37"/>
      <c r="Z26" s="37"/>
    </row>
    <row r="27" spans="2:26" s="6" customFormat="1" ht="16.5" hidden="1" thickTop="1" thickBot="1" x14ac:dyDescent="0.3">
      <c r="B27" s="4" t="str">
        <f t="shared" si="1"/>
        <v/>
      </c>
      <c r="D27" s="9">
        <f>COUNTIF(hidden_AddedSheets,TOC!C27)</f>
        <v>0</v>
      </c>
      <c r="E27" s="9" t="str">
        <f>IF(G27="","",COUNTIF(hidden_AddedSheets,TOC!G27)+1)</f>
        <v/>
      </c>
      <c r="F27" s="7"/>
      <c r="G27" s="7"/>
      <c r="H27" s="58"/>
      <c r="I27" s="45"/>
      <c r="J27" s="37"/>
      <c r="K27" s="37"/>
      <c r="L27" s="37"/>
      <c r="M27" s="37"/>
      <c r="N27" s="54"/>
      <c r="O27" s="53"/>
      <c r="P27" s="37"/>
      <c r="Q27" s="37"/>
      <c r="R27" s="37"/>
      <c r="S27" s="37"/>
      <c r="T27" s="37"/>
      <c r="U27" s="54"/>
      <c r="V27" s="54"/>
      <c r="W27" s="37"/>
      <c r="X27" s="37"/>
      <c r="Y27" s="37"/>
      <c r="Z27" s="37"/>
    </row>
    <row r="28" spans="2:26" s="6" customFormat="1" ht="16.5" hidden="1" thickTop="1" thickBot="1" x14ac:dyDescent="0.3">
      <c r="B28" s="4" t="str">
        <f t="shared" si="1"/>
        <v/>
      </c>
      <c r="D28" s="9">
        <f>COUNTIF(hidden_AddedSheets,TOC!C28)</f>
        <v>0</v>
      </c>
      <c r="E28" s="9" t="str">
        <f>IF(G28="","",COUNTIF(hidden_AddedSheets,TOC!G28)+1)</f>
        <v/>
      </c>
      <c r="F28" s="7"/>
      <c r="G28" s="7"/>
      <c r="H28" s="58"/>
      <c r="I28" s="45"/>
      <c r="J28" s="37"/>
      <c r="K28" s="37"/>
      <c r="L28" s="37"/>
      <c r="M28" s="37"/>
      <c r="N28" s="54"/>
      <c r="O28" s="53"/>
      <c r="P28" s="37"/>
      <c r="Q28" s="37"/>
      <c r="R28" s="37"/>
      <c r="S28" s="37"/>
      <c r="T28" s="37"/>
      <c r="U28" s="54"/>
      <c r="V28" s="54"/>
      <c r="W28" s="37"/>
      <c r="X28" s="37"/>
      <c r="Y28" s="37"/>
      <c r="Z28" s="37"/>
    </row>
    <row r="29" spans="2:26" s="6" customFormat="1" ht="16.5" hidden="1" thickTop="1" thickBot="1" x14ac:dyDescent="0.3">
      <c r="B29" s="4" t="str">
        <f t="shared" si="1"/>
        <v/>
      </c>
      <c r="D29" s="9">
        <f>COUNTIF(hidden_AddedSheets,TOC!C29)</f>
        <v>0</v>
      </c>
      <c r="E29" s="9" t="str">
        <f>IF(G29="","",COUNTIF(hidden_AddedSheets,TOC!G29)+1)</f>
        <v/>
      </c>
      <c r="F29" s="7"/>
      <c r="G29" s="7"/>
      <c r="H29" s="58"/>
      <c r="I29" s="45"/>
      <c r="J29" s="37"/>
      <c r="K29" s="37"/>
      <c r="L29" s="37"/>
      <c r="M29" s="37"/>
      <c r="N29" s="54"/>
      <c r="O29" s="53"/>
      <c r="P29" s="37"/>
      <c r="Q29" s="37"/>
      <c r="R29" s="37"/>
      <c r="S29" s="37"/>
      <c r="T29" s="37"/>
      <c r="U29" s="54"/>
      <c r="V29" s="54"/>
      <c r="W29" s="37"/>
      <c r="X29" s="37"/>
      <c r="Y29" s="37"/>
      <c r="Z29" s="37"/>
    </row>
    <row r="30" spans="2:26" s="6" customFormat="1" ht="16.5" hidden="1" thickTop="1" thickBot="1" x14ac:dyDescent="0.3">
      <c r="B30" s="4" t="str">
        <f t="shared" si="1"/>
        <v/>
      </c>
      <c r="D30" s="9">
        <f>COUNTIF(hidden_AddedSheets,TOC!C30)</f>
        <v>0</v>
      </c>
      <c r="E30" s="9" t="str">
        <f>IF(G30="","",COUNTIF(hidden_AddedSheets,TOC!G30)+1)</f>
        <v/>
      </c>
      <c r="F30" s="7"/>
      <c r="G30" s="7"/>
      <c r="H30" s="58"/>
      <c r="I30" s="45"/>
      <c r="J30" s="37"/>
      <c r="K30" s="37"/>
      <c r="L30" s="37"/>
      <c r="M30" s="37"/>
      <c r="N30" s="54"/>
      <c r="O30" s="53"/>
      <c r="P30" s="37"/>
      <c r="Q30" s="37"/>
      <c r="R30" s="37"/>
      <c r="S30" s="37"/>
      <c r="T30" s="37"/>
      <c r="U30" s="54"/>
      <c r="V30" s="54"/>
      <c r="W30" s="37"/>
      <c r="X30" s="37"/>
      <c r="Y30" s="37"/>
      <c r="Z30" s="37"/>
    </row>
    <row r="31" spans="2:26" s="6" customFormat="1" ht="16.5" hidden="1" thickTop="1" thickBot="1" x14ac:dyDescent="0.3">
      <c r="B31" s="4" t="str">
        <f t="shared" si="1"/>
        <v/>
      </c>
      <c r="D31" s="9">
        <f>COUNTIF(hidden_AddedSheets,TOC!C31)</f>
        <v>0</v>
      </c>
      <c r="E31" s="9" t="str">
        <f>IF(G31="","",COUNTIF(hidden_AddedSheets,TOC!G31)+1)</f>
        <v/>
      </c>
      <c r="F31" s="7"/>
      <c r="G31" s="7"/>
      <c r="H31" s="58"/>
      <c r="I31" s="45"/>
      <c r="J31" s="37"/>
      <c r="K31" s="37"/>
      <c r="L31" s="37"/>
      <c r="M31" s="37"/>
      <c r="N31" s="54"/>
      <c r="O31" s="53"/>
      <c r="P31" s="37"/>
      <c r="Q31" s="37"/>
      <c r="R31" s="37"/>
      <c r="S31" s="37"/>
      <c r="T31" s="37"/>
      <c r="U31" s="54"/>
      <c r="V31" s="54"/>
      <c r="W31" s="37"/>
      <c r="X31" s="37"/>
      <c r="Y31" s="37"/>
      <c r="Z31" s="37"/>
    </row>
    <row r="32" spans="2:26" s="6" customFormat="1" ht="16.5" hidden="1" thickTop="1" thickBot="1" x14ac:dyDescent="0.3">
      <c r="B32" s="4" t="str">
        <f t="shared" si="1"/>
        <v/>
      </c>
      <c r="D32" s="9">
        <f>COUNTIF(hidden_AddedSheets,TOC!C32)</f>
        <v>0</v>
      </c>
      <c r="E32" s="9" t="str">
        <f>IF(G32="","",COUNTIF(hidden_AddedSheets,TOC!G32)+1)</f>
        <v/>
      </c>
      <c r="F32" s="7"/>
      <c r="G32" s="7"/>
      <c r="H32" s="58"/>
      <c r="I32" s="45"/>
      <c r="J32" s="37"/>
      <c r="K32" s="37"/>
      <c r="L32" s="37"/>
      <c r="M32" s="37"/>
      <c r="N32" s="54"/>
      <c r="O32" s="53"/>
      <c r="P32" s="37"/>
      <c r="Q32" s="37"/>
      <c r="R32" s="37"/>
      <c r="S32" s="37"/>
      <c r="T32" s="37"/>
      <c r="U32" s="54"/>
      <c r="V32" s="54"/>
      <c r="W32" s="37"/>
      <c r="X32" s="37"/>
      <c r="Y32" s="37"/>
      <c r="Z32" s="37"/>
    </row>
    <row r="33" spans="2:26" s="6" customFormat="1" ht="16.5" hidden="1" thickTop="1" thickBot="1" x14ac:dyDescent="0.3">
      <c r="B33" s="4" t="str">
        <f t="shared" si="1"/>
        <v/>
      </c>
      <c r="D33" s="9">
        <f>COUNTIF(hidden_AddedSheets,TOC!C33)</f>
        <v>0</v>
      </c>
      <c r="E33" s="9" t="str">
        <f>IF(G33="","",COUNTIF(hidden_AddedSheets,TOC!G33)+1)</f>
        <v/>
      </c>
      <c r="F33" s="7"/>
      <c r="G33" s="7"/>
      <c r="H33" s="58"/>
      <c r="I33" s="45"/>
      <c r="J33" s="37"/>
      <c r="K33" s="37"/>
      <c r="L33" s="37"/>
      <c r="M33" s="37"/>
      <c r="N33" s="54"/>
      <c r="O33" s="53"/>
      <c r="P33" s="37"/>
      <c r="Q33" s="37"/>
      <c r="R33" s="37"/>
      <c r="S33" s="37"/>
      <c r="T33" s="37"/>
      <c r="U33" s="54"/>
      <c r="V33" s="54"/>
      <c r="W33" s="37"/>
      <c r="X33" s="37"/>
      <c r="Y33" s="37"/>
      <c r="Z33" s="37"/>
    </row>
    <row r="34" spans="2:26" s="6" customFormat="1" ht="16.5" hidden="1" thickTop="1" thickBot="1" x14ac:dyDescent="0.3">
      <c r="B34" s="4" t="str">
        <f t="shared" si="1"/>
        <v/>
      </c>
      <c r="D34" s="9">
        <f>COUNTIF(hidden_AddedSheets,TOC!C34)</f>
        <v>0</v>
      </c>
      <c r="E34" s="9" t="str">
        <f>IF(G34="","",COUNTIF(hidden_AddedSheets,TOC!G34)+1)</f>
        <v/>
      </c>
      <c r="F34" s="7"/>
      <c r="G34" s="7"/>
      <c r="H34" s="58"/>
      <c r="I34" s="45"/>
      <c r="J34" s="37"/>
      <c r="K34" s="37"/>
      <c r="L34" s="37"/>
      <c r="M34" s="37"/>
      <c r="N34" s="54"/>
      <c r="O34" s="53"/>
      <c r="P34" s="37"/>
      <c r="Q34" s="37"/>
      <c r="R34" s="37"/>
      <c r="S34" s="37"/>
      <c r="T34" s="37"/>
      <c r="U34" s="54"/>
      <c r="V34" s="54"/>
      <c r="W34" s="37"/>
      <c r="X34" s="37"/>
      <c r="Y34" s="37"/>
      <c r="Z34" s="37"/>
    </row>
    <row r="35" spans="2:26" s="6" customFormat="1" ht="16.5" hidden="1" thickTop="1" thickBot="1" x14ac:dyDescent="0.3">
      <c r="B35" s="4" t="str">
        <f t="shared" si="1"/>
        <v/>
      </c>
      <c r="D35" s="9">
        <f>COUNTIF(hidden_AddedSheets,TOC!C35)</f>
        <v>0</v>
      </c>
      <c r="E35" s="9" t="str">
        <f>IF(G35="","",COUNTIF(hidden_AddedSheets,TOC!G35)+1)</f>
        <v/>
      </c>
      <c r="F35" s="7"/>
      <c r="G35" s="7"/>
      <c r="H35" s="58"/>
      <c r="I35" s="45"/>
      <c r="J35" s="37"/>
      <c r="K35" s="37"/>
      <c r="L35" s="37"/>
      <c r="M35" s="37"/>
      <c r="N35" s="54"/>
      <c r="O35" s="53"/>
      <c r="P35" s="37"/>
      <c r="Q35" s="37"/>
      <c r="R35" s="37"/>
      <c r="S35" s="37"/>
      <c r="T35" s="37"/>
      <c r="U35" s="54"/>
      <c r="V35" s="54"/>
      <c r="W35" s="37"/>
      <c r="X35" s="37"/>
      <c r="Y35" s="37"/>
      <c r="Z35" s="37"/>
    </row>
    <row r="36" spans="2:26" s="6" customFormat="1" ht="16.5" hidden="1" thickTop="1" thickBot="1" x14ac:dyDescent="0.3">
      <c r="B36" s="4" t="str">
        <f t="shared" si="1"/>
        <v/>
      </c>
      <c r="D36" s="9">
        <f>COUNTIF(hidden_AddedSheets,TOC!C36)</f>
        <v>0</v>
      </c>
      <c r="E36" s="9" t="str">
        <f>IF(G36="","",COUNTIF(hidden_AddedSheets,TOC!G36)+1)</f>
        <v/>
      </c>
      <c r="F36" s="7"/>
      <c r="G36" s="7"/>
      <c r="H36" s="58"/>
      <c r="I36" s="45"/>
      <c r="J36" s="37"/>
      <c r="K36" s="37"/>
      <c r="L36" s="37"/>
      <c r="M36" s="37"/>
      <c r="N36" s="54"/>
      <c r="O36" s="53"/>
      <c r="P36" s="37"/>
      <c r="Q36" s="37"/>
      <c r="R36" s="37"/>
      <c r="S36" s="37"/>
      <c r="T36" s="37"/>
      <c r="U36" s="54"/>
      <c r="V36" s="54"/>
      <c r="W36" s="37"/>
      <c r="X36" s="37"/>
      <c r="Y36" s="37"/>
      <c r="Z36" s="37"/>
    </row>
    <row r="37" spans="2:26" s="6" customFormat="1" ht="16.5" hidden="1" thickTop="1" thickBot="1" x14ac:dyDescent="0.3">
      <c r="B37" s="4" t="str">
        <f t="shared" si="1"/>
        <v/>
      </c>
      <c r="D37" s="9">
        <f>COUNTIF(hidden_AddedSheets,TOC!C37)</f>
        <v>0</v>
      </c>
      <c r="E37" s="9" t="str">
        <f>IF(G37="","",COUNTIF(hidden_AddedSheets,TOC!G37)+1)</f>
        <v/>
      </c>
      <c r="F37" s="7"/>
      <c r="G37" s="7"/>
      <c r="H37" s="58"/>
      <c r="I37" s="45"/>
      <c r="J37" s="37"/>
      <c r="K37" s="37"/>
      <c r="L37" s="37"/>
      <c r="M37" s="37"/>
      <c r="N37" s="54"/>
      <c r="O37" s="53"/>
      <c r="P37" s="37"/>
      <c r="Q37" s="37"/>
      <c r="R37" s="37"/>
      <c r="S37" s="37"/>
      <c r="T37" s="37"/>
      <c r="U37" s="54"/>
      <c r="V37" s="54"/>
      <c r="W37" s="37"/>
      <c r="X37" s="37"/>
      <c r="Y37" s="37"/>
      <c r="Z37" s="37"/>
    </row>
    <row r="38" spans="2:26" s="6" customFormat="1" ht="16.5" hidden="1" thickTop="1" thickBot="1" x14ac:dyDescent="0.3">
      <c r="B38" s="4" t="str">
        <f t="shared" si="1"/>
        <v/>
      </c>
      <c r="D38" s="9">
        <f>COUNTIF(hidden_AddedSheets,TOC!C38)</f>
        <v>0</v>
      </c>
      <c r="E38" s="9" t="str">
        <f>IF(G38="","",COUNTIF(hidden_AddedSheets,TOC!G38)+1)</f>
        <v/>
      </c>
      <c r="F38" s="7"/>
      <c r="G38" s="7"/>
      <c r="H38" s="58"/>
      <c r="I38" s="45"/>
      <c r="J38" s="37"/>
      <c r="K38" s="37"/>
      <c r="L38" s="37"/>
      <c r="M38" s="37"/>
      <c r="N38" s="54"/>
      <c r="O38" s="53"/>
      <c r="P38" s="37"/>
      <c r="Q38" s="37"/>
      <c r="R38" s="37"/>
      <c r="S38" s="37"/>
      <c r="T38" s="37"/>
      <c r="U38" s="54"/>
      <c r="V38" s="54"/>
      <c r="W38" s="37"/>
      <c r="X38" s="37"/>
      <c r="Y38" s="37"/>
      <c r="Z38" s="37"/>
    </row>
    <row r="39" spans="2:26" s="6" customFormat="1" ht="16.5" hidden="1" thickTop="1" thickBot="1" x14ac:dyDescent="0.3">
      <c r="B39" s="4" t="str">
        <f t="shared" si="1"/>
        <v/>
      </c>
      <c r="D39" s="9">
        <f>COUNTIF(hidden_AddedSheets,TOC!C39)</f>
        <v>0</v>
      </c>
      <c r="E39" s="9" t="str">
        <f>IF(G39="","",COUNTIF(hidden_AddedSheets,TOC!G39)+1)</f>
        <v/>
      </c>
      <c r="F39" s="7"/>
      <c r="G39" s="7"/>
      <c r="H39" s="58"/>
      <c r="I39" s="45"/>
      <c r="J39" s="37"/>
      <c r="K39" s="37"/>
      <c r="L39" s="37"/>
      <c r="M39" s="37"/>
      <c r="N39" s="54"/>
      <c r="O39" s="53"/>
      <c r="P39" s="37"/>
      <c r="Q39" s="37"/>
      <c r="R39" s="37"/>
      <c r="S39" s="37"/>
      <c r="T39" s="37"/>
      <c r="U39" s="54"/>
      <c r="V39" s="54"/>
      <c r="W39" s="37"/>
      <c r="X39" s="37"/>
      <c r="Y39" s="37"/>
      <c r="Z39" s="37"/>
    </row>
    <row r="40" spans="2:26" s="6" customFormat="1" ht="16.5" hidden="1" thickTop="1" thickBot="1" x14ac:dyDescent="0.3">
      <c r="B40" s="4" t="str">
        <f t="shared" si="1"/>
        <v/>
      </c>
      <c r="D40" s="9">
        <f>COUNTIF(hidden_AddedSheets,TOC!C40)</f>
        <v>0</v>
      </c>
      <c r="E40" s="9" t="str">
        <f>IF(G40="","",COUNTIF(hidden_AddedSheets,TOC!G40)+1)</f>
        <v/>
      </c>
      <c r="F40" s="7"/>
      <c r="G40" s="7"/>
      <c r="H40" s="58"/>
      <c r="I40" s="45"/>
      <c r="J40" s="37"/>
      <c r="K40" s="37"/>
      <c r="L40" s="37"/>
      <c r="M40" s="37"/>
      <c r="N40" s="54"/>
      <c r="O40" s="53"/>
      <c r="P40" s="37"/>
      <c r="Q40" s="37"/>
      <c r="R40" s="37"/>
      <c r="S40" s="37"/>
      <c r="T40" s="37"/>
      <c r="U40" s="54"/>
      <c r="V40" s="54"/>
      <c r="W40" s="37"/>
      <c r="X40" s="37"/>
      <c r="Y40" s="37"/>
      <c r="Z40" s="37"/>
    </row>
    <row r="41" spans="2:26" s="6" customFormat="1" ht="16.5" hidden="1" thickTop="1" thickBot="1" x14ac:dyDescent="0.3">
      <c r="B41" s="4" t="str">
        <f t="shared" si="1"/>
        <v/>
      </c>
      <c r="D41" s="9">
        <f>COUNTIF(hidden_AddedSheets,TOC!C41)</f>
        <v>0</v>
      </c>
      <c r="E41" s="9" t="str">
        <f>IF(G41="","",COUNTIF(hidden_AddedSheets,TOC!G41)+1)</f>
        <v/>
      </c>
      <c r="F41" s="7"/>
      <c r="G41" s="7"/>
      <c r="H41" s="58"/>
      <c r="I41" s="45"/>
      <c r="J41" s="37"/>
      <c r="K41" s="37"/>
      <c r="L41" s="37"/>
      <c r="M41" s="37"/>
      <c r="N41" s="54"/>
      <c r="O41" s="53"/>
      <c r="P41" s="37"/>
      <c r="Q41" s="37"/>
      <c r="R41" s="37"/>
      <c r="S41" s="37"/>
      <c r="T41" s="37"/>
      <c r="U41" s="54"/>
      <c r="V41" s="54"/>
      <c r="W41" s="37"/>
      <c r="X41" s="37"/>
      <c r="Y41" s="37"/>
      <c r="Z41" s="37"/>
    </row>
    <row r="42" spans="2:26" s="6" customFormat="1" ht="16.5" hidden="1" thickTop="1" thickBot="1" x14ac:dyDescent="0.3">
      <c r="B42" s="4" t="str">
        <f t="shared" si="1"/>
        <v/>
      </c>
      <c r="D42" s="9">
        <f>COUNTIF(hidden_AddedSheets,TOC!C42)</f>
        <v>0</v>
      </c>
      <c r="E42" s="9" t="str">
        <f>IF(G42="","",COUNTIF(hidden_AddedSheets,TOC!G42)+1)</f>
        <v/>
      </c>
      <c r="F42" s="7"/>
      <c r="G42" s="7"/>
      <c r="H42" s="58"/>
      <c r="I42" s="45"/>
      <c r="J42" s="37"/>
      <c r="K42" s="37"/>
      <c r="L42" s="37"/>
      <c r="M42" s="37"/>
      <c r="N42" s="54"/>
      <c r="O42" s="53"/>
      <c r="P42" s="37"/>
      <c r="Q42" s="37"/>
      <c r="R42" s="37"/>
      <c r="S42" s="37"/>
      <c r="T42" s="37"/>
      <c r="U42" s="54"/>
      <c r="V42" s="54"/>
      <c r="W42" s="37"/>
      <c r="X42" s="37"/>
      <c r="Y42" s="37"/>
      <c r="Z42" s="37"/>
    </row>
    <row r="43" spans="2:26" s="6" customFormat="1" ht="16.5" hidden="1" thickTop="1" thickBot="1" x14ac:dyDescent="0.3">
      <c r="B43" s="4" t="str">
        <f t="shared" si="1"/>
        <v/>
      </c>
      <c r="D43" s="9">
        <f>COUNTIF(hidden_AddedSheets,TOC!C43)</f>
        <v>0</v>
      </c>
      <c r="E43" s="9" t="str">
        <f>IF(G43="","",COUNTIF(hidden_AddedSheets,TOC!G43)+1)</f>
        <v/>
      </c>
      <c r="F43" s="7"/>
      <c r="G43" s="7"/>
      <c r="H43" s="58"/>
      <c r="I43" s="45"/>
      <c r="J43" s="37"/>
      <c r="K43" s="37"/>
      <c r="L43" s="37"/>
      <c r="M43" s="37"/>
      <c r="N43" s="54"/>
      <c r="O43" s="53"/>
      <c r="P43" s="37"/>
      <c r="Q43" s="37"/>
      <c r="R43" s="37"/>
      <c r="S43" s="37"/>
      <c r="T43" s="37"/>
      <c r="U43" s="54"/>
      <c r="V43" s="54"/>
      <c r="W43" s="37"/>
      <c r="X43" s="37"/>
      <c r="Y43" s="37"/>
      <c r="Z43" s="37"/>
    </row>
    <row r="44" spans="2:26" s="6" customFormat="1" ht="16.5" hidden="1" thickTop="1" thickBot="1" x14ac:dyDescent="0.3">
      <c r="B44" s="4" t="str">
        <f t="shared" si="1"/>
        <v/>
      </c>
      <c r="D44" s="9">
        <f>COUNTIF(hidden_AddedSheets,TOC!C44)</f>
        <v>0</v>
      </c>
      <c r="E44" s="9" t="str">
        <f>IF(G44="","",COUNTIF(hidden_AddedSheets,TOC!G44)+1)</f>
        <v/>
      </c>
      <c r="F44" s="7"/>
      <c r="G44" s="7"/>
      <c r="H44" s="58"/>
      <c r="I44" s="45"/>
      <c r="J44" s="37"/>
      <c r="K44" s="37"/>
      <c r="L44" s="37"/>
      <c r="M44" s="37"/>
      <c r="N44" s="54"/>
      <c r="O44" s="53"/>
      <c r="P44" s="37"/>
      <c r="Q44" s="37"/>
      <c r="R44" s="37"/>
      <c r="S44" s="37"/>
      <c r="T44" s="37"/>
      <c r="U44" s="54"/>
      <c r="V44" s="54"/>
      <c r="W44" s="37"/>
      <c r="X44" s="37"/>
      <c r="Y44" s="37"/>
      <c r="Z44" s="37"/>
    </row>
    <row r="45" spans="2:26" s="6" customFormat="1" ht="16.5" hidden="1" thickTop="1" thickBot="1" x14ac:dyDescent="0.3">
      <c r="B45" s="4" t="str">
        <f t="shared" si="1"/>
        <v/>
      </c>
      <c r="D45" s="9">
        <f>COUNTIF(hidden_AddedSheets,TOC!C45)</f>
        <v>0</v>
      </c>
      <c r="E45" s="9" t="str">
        <f>IF(G45="","",COUNTIF(hidden_AddedSheets,TOC!G45)+1)</f>
        <v/>
      </c>
      <c r="F45" s="7"/>
      <c r="G45" s="7"/>
      <c r="H45" s="58"/>
      <c r="I45" s="45"/>
      <c r="J45" s="37"/>
      <c r="K45" s="37"/>
      <c r="L45" s="37"/>
      <c r="M45" s="37"/>
      <c r="N45" s="54"/>
      <c r="O45" s="53"/>
      <c r="P45" s="37"/>
      <c r="Q45" s="37"/>
      <c r="R45" s="37"/>
      <c r="S45" s="37"/>
      <c r="T45" s="37"/>
      <c r="U45" s="54"/>
      <c r="V45" s="54"/>
      <c r="W45" s="37"/>
      <c r="X45" s="37"/>
      <c r="Y45" s="37"/>
      <c r="Z45" s="37"/>
    </row>
    <row r="46" spans="2:26" s="6" customFormat="1" ht="16.5" hidden="1" thickTop="1" thickBot="1" x14ac:dyDescent="0.3">
      <c r="B46" s="4" t="str">
        <f t="shared" si="1"/>
        <v/>
      </c>
      <c r="D46" s="9">
        <f>COUNTIF(hidden_AddedSheets,TOC!C46)</f>
        <v>0</v>
      </c>
      <c r="E46" s="9" t="str">
        <f>IF(G46="","",COUNTIF(hidden_AddedSheets,TOC!G46)+1)</f>
        <v/>
      </c>
      <c r="F46" s="7"/>
      <c r="G46" s="7"/>
      <c r="H46" s="58"/>
      <c r="I46" s="45"/>
      <c r="J46" s="37"/>
      <c r="K46" s="37"/>
      <c r="L46" s="37"/>
      <c r="M46" s="37"/>
      <c r="N46" s="54"/>
      <c r="O46" s="53"/>
      <c r="P46" s="37"/>
      <c r="Q46" s="37"/>
      <c r="R46" s="37"/>
      <c r="S46" s="37"/>
      <c r="T46" s="37"/>
      <c r="U46" s="54"/>
      <c r="V46" s="54"/>
      <c r="W46" s="37"/>
      <c r="X46" s="37"/>
      <c r="Y46" s="37"/>
      <c r="Z46" s="37"/>
    </row>
    <row r="47" spans="2:26" s="6" customFormat="1" ht="16.5" hidden="1" thickTop="1" thickBot="1" x14ac:dyDescent="0.3">
      <c r="B47" s="4" t="str">
        <f t="shared" si="1"/>
        <v/>
      </c>
      <c r="D47" s="9">
        <f>COUNTIF(hidden_AddedSheets,TOC!C47)</f>
        <v>0</v>
      </c>
      <c r="E47" s="9" t="str">
        <f>IF(G47="","",COUNTIF(hidden_AddedSheets,TOC!G47)+1)</f>
        <v/>
      </c>
      <c r="F47" s="7"/>
      <c r="G47" s="7"/>
      <c r="H47" s="58"/>
      <c r="I47" s="45"/>
      <c r="J47" s="37"/>
      <c r="K47" s="37"/>
      <c r="L47" s="37"/>
      <c r="M47" s="37"/>
      <c r="N47" s="54"/>
      <c r="O47" s="53"/>
      <c r="P47" s="37"/>
      <c r="Q47" s="37"/>
      <c r="R47" s="37"/>
      <c r="S47" s="37"/>
      <c r="T47" s="37"/>
      <c r="U47" s="54"/>
      <c r="V47" s="54"/>
      <c r="W47" s="37"/>
      <c r="X47" s="37"/>
      <c r="Y47" s="37"/>
      <c r="Z47" s="37"/>
    </row>
    <row r="48" spans="2:26" s="6" customFormat="1" ht="16.5" hidden="1" thickTop="1" thickBot="1" x14ac:dyDescent="0.3">
      <c r="B48" s="4" t="str">
        <f t="shared" si="1"/>
        <v/>
      </c>
      <c r="D48" s="9">
        <f>COUNTIF(hidden_AddedSheets,TOC!C48)</f>
        <v>0</v>
      </c>
      <c r="E48" s="9" t="str">
        <f>IF(G48="","",COUNTIF(hidden_AddedSheets,TOC!G48)+1)</f>
        <v/>
      </c>
      <c r="F48" s="7"/>
      <c r="G48" s="7"/>
      <c r="H48" s="58"/>
      <c r="I48" s="45"/>
      <c r="J48" s="37"/>
      <c r="K48" s="37"/>
      <c r="L48" s="37"/>
      <c r="M48" s="37"/>
      <c r="N48" s="54"/>
      <c r="O48" s="53"/>
      <c r="P48" s="37"/>
      <c r="Q48" s="37"/>
      <c r="R48" s="37"/>
      <c r="S48" s="37"/>
      <c r="T48" s="37"/>
      <c r="U48" s="54"/>
      <c r="V48" s="54"/>
      <c r="W48" s="37"/>
      <c r="X48" s="37"/>
      <c r="Y48" s="37"/>
      <c r="Z48" s="37"/>
    </row>
    <row r="49" spans="2:26" s="6" customFormat="1" ht="16.5" hidden="1" thickTop="1" thickBot="1" x14ac:dyDescent="0.3">
      <c r="B49" s="4" t="str">
        <f t="shared" si="1"/>
        <v/>
      </c>
      <c r="D49" s="9">
        <f>COUNTIF(hidden_AddedSheets,TOC!C49)</f>
        <v>0</v>
      </c>
      <c r="E49" s="9" t="str">
        <f>IF(G49="","",COUNTIF(hidden_AddedSheets,TOC!G49)+1)</f>
        <v/>
      </c>
      <c r="F49" s="7"/>
      <c r="G49" s="7"/>
      <c r="H49" s="58"/>
      <c r="I49" s="45"/>
      <c r="J49" s="37"/>
      <c r="K49" s="37"/>
      <c r="L49" s="37"/>
      <c r="M49" s="37"/>
      <c r="N49" s="54"/>
      <c r="O49" s="53"/>
      <c r="P49" s="37"/>
      <c r="Q49" s="37"/>
      <c r="R49" s="37"/>
      <c r="S49" s="37"/>
      <c r="T49" s="37"/>
      <c r="U49" s="54"/>
      <c r="V49" s="54"/>
      <c r="W49" s="37"/>
      <c r="X49" s="37"/>
      <c r="Y49" s="37"/>
      <c r="Z49" s="37"/>
    </row>
    <row r="50" spans="2:26" s="6" customFormat="1" ht="16.5" hidden="1" thickTop="1" thickBot="1" x14ac:dyDescent="0.3">
      <c r="B50" s="4" t="str">
        <f t="shared" si="1"/>
        <v/>
      </c>
      <c r="D50" s="9">
        <f>COUNTIF(hidden_AddedSheets,TOC!C50)</f>
        <v>0</v>
      </c>
      <c r="E50" s="9" t="str">
        <f>IF(G50="","",COUNTIF(hidden_AddedSheets,TOC!G50)+1)</f>
        <v/>
      </c>
      <c r="F50" s="7"/>
      <c r="G50" s="7"/>
      <c r="H50" s="58"/>
      <c r="I50" s="45"/>
      <c r="J50" s="37"/>
      <c r="K50" s="37"/>
      <c r="L50" s="37"/>
      <c r="M50" s="37"/>
      <c r="N50" s="54"/>
      <c r="O50" s="53"/>
      <c r="P50" s="37"/>
      <c r="Q50" s="37"/>
      <c r="R50" s="37"/>
      <c r="S50" s="37"/>
      <c r="T50" s="37"/>
      <c r="U50" s="54"/>
      <c r="V50" s="54"/>
      <c r="W50" s="37"/>
      <c r="X50" s="37"/>
      <c r="Y50" s="37"/>
      <c r="Z50" s="37"/>
    </row>
    <row r="51" spans="2:26" s="6" customFormat="1" ht="16.5" hidden="1" thickTop="1" thickBot="1" x14ac:dyDescent="0.3">
      <c r="B51" s="4" t="str">
        <f t="shared" si="1"/>
        <v/>
      </c>
      <c r="D51" s="9">
        <f>COUNTIF(hidden_AddedSheets,TOC!C51)</f>
        <v>0</v>
      </c>
      <c r="E51" s="9" t="str">
        <f>IF(G51="","",COUNTIF(hidden_AddedSheets,TOC!G51)+1)</f>
        <v/>
      </c>
      <c r="F51" s="7"/>
      <c r="G51" s="7"/>
      <c r="H51" s="58"/>
      <c r="I51" s="45"/>
      <c r="J51" s="37"/>
      <c r="K51" s="37"/>
      <c r="L51" s="37"/>
      <c r="M51" s="37"/>
      <c r="N51" s="54"/>
      <c r="O51" s="53"/>
      <c r="P51" s="37"/>
      <c r="Q51" s="37"/>
      <c r="R51" s="37"/>
      <c r="S51" s="37"/>
      <c r="T51" s="37"/>
      <c r="U51" s="54"/>
      <c r="V51" s="54"/>
      <c r="W51" s="37"/>
      <c r="X51" s="37"/>
      <c r="Y51" s="37"/>
      <c r="Z51" s="37"/>
    </row>
    <row r="52" spans="2:26" s="6" customFormat="1" ht="16.5" hidden="1" thickTop="1" thickBot="1" x14ac:dyDescent="0.3">
      <c r="B52" s="4" t="str">
        <f t="shared" si="1"/>
        <v/>
      </c>
      <c r="D52" s="9">
        <f>COUNTIF(hidden_AddedSheets,TOC!C52)</f>
        <v>0</v>
      </c>
      <c r="E52" s="9" t="str">
        <f>IF(G52="","",COUNTIF(hidden_AddedSheets,TOC!G52)+1)</f>
        <v/>
      </c>
      <c r="F52" s="7"/>
      <c r="G52" s="7"/>
      <c r="H52" s="58"/>
      <c r="I52" s="45"/>
      <c r="J52" s="37"/>
      <c r="K52" s="37"/>
      <c r="L52" s="37"/>
      <c r="M52" s="37"/>
      <c r="N52" s="54"/>
      <c r="O52" s="53"/>
      <c r="P52" s="37"/>
      <c r="Q52" s="37"/>
      <c r="R52" s="37"/>
      <c r="S52" s="37"/>
      <c r="T52" s="37"/>
      <c r="U52" s="54"/>
      <c r="V52" s="54"/>
      <c r="W52" s="37"/>
      <c r="X52" s="37"/>
      <c r="Y52" s="37"/>
      <c r="Z52" s="37"/>
    </row>
    <row r="53" spans="2:26" s="6" customFormat="1" ht="16.5" hidden="1" thickTop="1" thickBot="1" x14ac:dyDescent="0.3">
      <c r="B53" s="4" t="str">
        <f t="shared" si="1"/>
        <v/>
      </c>
      <c r="D53" s="9">
        <f>COUNTIF(hidden_AddedSheets,TOC!C53)</f>
        <v>0</v>
      </c>
      <c r="E53" s="9" t="str">
        <f>IF(G53="","",COUNTIF(hidden_AddedSheets,TOC!G53)+1)</f>
        <v/>
      </c>
      <c r="F53" s="7"/>
      <c r="G53" s="7"/>
      <c r="H53" s="58"/>
      <c r="I53" s="45"/>
      <c r="J53" s="37"/>
      <c r="K53" s="37"/>
      <c r="L53" s="37"/>
      <c r="M53" s="37"/>
      <c r="N53" s="54"/>
      <c r="O53" s="53"/>
      <c r="P53" s="37"/>
      <c r="Q53" s="37"/>
      <c r="R53" s="37"/>
      <c r="S53" s="37"/>
      <c r="T53" s="37"/>
      <c r="U53" s="54"/>
      <c r="V53" s="54"/>
      <c r="W53" s="37"/>
      <c r="X53" s="37"/>
      <c r="Y53" s="37"/>
      <c r="Z53" s="37"/>
    </row>
    <row r="54" spans="2:26" s="6" customFormat="1" ht="16.5" hidden="1" thickTop="1" thickBot="1" x14ac:dyDescent="0.3">
      <c r="B54" s="4" t="str">
        <f t="shared" si="1"/>
        <v/>
      </c>
      <c r="D54" s="9">
        <f>COUNTIF(hidden_AddedSheets,TOC!C54)</f>
        <v>0</v>
      </c>
      <c r="E54" s="9" t="str">
        <f>IF(G54="","",COUNTIF(hidden_AddedSheets,TOC!G54)+1)</f>
        <v/>
      </c>
      <c r="F54" s="7"/>
      <c r="G54" s="7"/>
      <c r="H54" s="58"/>
      <c r="I54" s="45"/>
      <c r="J54" s="37"/>
      <c r="K54" s="37"/>
      <c r="L54" s="37"/>
      <c r="M54" s="37"/>
      <c r="N54" s="54"/>
      <c r="O54" s="53"/>
      <c r="P54" s="37"/>
      <c r="Q54" s="37"/>
      <c r="R54" s="37"/>
      <c r="S54" s="37"/>
      <c r="T54" s="37"/>
      <c r="U54" s="54"/>
      <c r="V54" s="54"/>
      <c r="W54" s="37"/>
      <c r="X54" s="37"/>
      <c r="Y54" s="37"/>
      <c r="Z54" s="37"/>
    </row>
    <row r="55" spans="2:26" s="6" customFormat="1" ht="16.5" hidden="1" thickTop="1" thickBot="1" x14ac:dyDescent="0.3">
      <c r="B55" s="4" t="str">
        <f t="shared" si="1"/>
        <v/>
      </c>
      <c r="D55" s="9">
        <f>COUNTIF(hidden_AddedSheets,TOC!C55)</f>
        <v>0</v>
      </c>
      <c r="E55" s="9" t="str">
        <f>IF(G55="","",COUNTIF(hidden_AddedSheets,TOC!G55)+1)</f>
        <v/>
      </c>
      <c r="F55" s="7"/>
      <c r="G55" s="7"/>
      <c r="H55" s="58"/>
      <c r="I55" s="45"/>
      <c r="J55" s="37"/>
      <c r="K55" s="37"/>
      <c r="L55" s="37"/>
      <c r="M55" s="37"/>
      <c r="N55" s="54"/>
      <c r="O55" s="53"/>
      <c r="P55" s="37"/>
      <c r="Q55" s="37"/>
      <c r="R55" s="37"/>
      <c r="S55" s="37"/>
      <c r="T55" s="37"/>
      <c r="U55" s="54"/>
      <c r="V55" s="54"/>
      <c r="W55" s="37"/>
      <c r="X55" s="37"/>
      <c r="Y55" s="37"/>
      <c r="Z55" s="37"/>
    </row>
    <row r="56" spans="2:26" s="6" customFormat="1" ht="16.5" hidden="1" thickTop="1" thickBot="1" x14ac:dyDescent="0.3">
      <c r="B56" s="4" t="str">
        <f t="shared" si="1"/>
        <v/>
      </c>
      <c r="D56" s="9">
        <f>COUNTIF(hidden_AddedSheets,TOC!C56)</f>
        <v>0</v>
      </c>
      <c r="E56" s="9" t="str">
        <f>IF(G56="","",COUNTIF(hidden_AddedSheets,TOC!G56)+1)</f>
        <v/>
      </c>
      <c r="F56" s="7"/>
      <c r="G56" s="7"/>
      <c r="H56" s="58"/>
      <c r="I56" s="45"/>
      <c r="J56" s="37"/>
      <c r="K56" s="37"/>
      <c r="L56" s="37"/>
      <c r="M56" s="37"/>
      <c r="N56" s="54"/>
      <c r="O56" s="53"/>
      <c r="P56" s="37"/>
      <c r="Q56" s="37"/>
      <c r="R56" s="37"/>
      <c r="S56" s="37"/>
      <c r="T56" s="37"/>
      <c r="U56" s="54"/>
      <c r="V56" s="54"/>
      <c r="W56" s="37"/>
      <c r="X56" s="37"/>
      <c r="Y56" s="37"/>
      <c r="Z56" s="37"/>
    </row>
    <row r="57" spans="2:26" s="6" customFormat="1" ht="16.5" hidden="1" thickTop="1" thickBot="1" x14ac:dyDescent="0.3">
      <c r="B57" s="4" t="str">
        <f t="shared" si="1"/>
        <v/>
      </c>
      <c r="D57" s="9">
        <f>COUNTIF(hidden_AddedSheets,TOC!C57)</f>
        <v>0</v>
      </c>
      <c r="E57" s="9" t="str">
        <f>IF(G57="","",COUNTIF(hidden_AddedSheets,TOC!G57)+1)</f>
        <v/>
      </c>
      <c r="F57" s="7"/>
      <c r="G57" s="7"/>
      <c r="H57" s="58"/>
      <c r="I57" s="45"/>
      <c r="J57" s="37"/>
      <c r="K57" s="37"/>
      <c r="L57" s="37"/>
      <c r="M57" s="37"/>
      <c r="N57" s="54"/>
      <c r="O57" s="53"/>
      <c r="P57" s="37"/>
      <c r="Q57" s="37"/>
      <c r="R57" s="37"/>
      <c r="S57" s="37"/>
      <c r="T57" s="37"/>
      <c r="U57" s="54"/>
      <c r="V57" s="54"/>
      <c r="W57" s="37"/>
      <c r="X57" s="37"/>
      <c r="Y57" s="37"/>
      <c r="Z57" s="37"/>
    </row>
    <row r="58" spans="2:26" s="6" customFormat="1" ht="16.5" hidden="1" thickTop="1" thickBot="1" x14ac:dyDescent="0.3">
      <c r="B58" s="4" t="str">
        <f t="shared" si="1"/>
        <v/>
      </c>
      <c r="D58" s="9">
        <f>COUNTIF(hidden_AddedSheets,TOC!C58)</f>
        <v>0</v>
      </c>
      <c r="E58" s="9" t="str">
        <f>IF(G58="","",COUNTIF(hidden_AddedSheets,TOC!G58)+1)</f>
        <v/>
      </c>
      <c r="F58" s="7"/>
      <c r="G58" s="7"/>
      <c r="H58" s="58"/>
      <c r="I58" s="45"/>
      <c r="J58" s="37"/>
      <c r="K58" s="37"/>
      <c r="L58" s="37"/>
      <c r="M58" s="37"/>
      <c r="N58" s="54"/>
      <c r="O58" s="53"/>
      <c r="P58" s="37"/>
      <c r="Q58" s="37"/>
      <c r="R58" s="37"/>
      <c r="S58" s="37"/>
      <c r="T58" s="37"/>
      <c r="U58" s="54"/>
      <c r="V58" s="54"/>
      <c r="W58" s="37"/>
      <c r="X58" s="37"/>
      <c r="Y58" s="37"/>
      <c r="Z58" s="37"/>
    </row>
    <row r="59" spans="2:26" s="6" customFormat="1" ht="16.5" hidden="1" thickTop="1" thickBot="1" x14ac:dyDescent="0.3">
      <c r="B59" s="4" t="str">
        <f t="shared" si="1"/>
        <v/>
      </c>
      <c r="D59" s="9">
        <f>COUNTIF(hidden_AddedSheets,TOC!C59)</f>
        <v>0</v>
      </c>
      <c r="E59" s="9" t="str">
        <f>IF(G59="","",COUNTIF(hidden_AddedSheets,TOC!G59)+1)</f>
        <v/>
      </c>
      <c r="F59" s="7"/>
      <c r="G59" s="7"/>
      <c r="H59" s="58"/>
      <c r="I59" s="45"/>
      <c r="J59" s="37"/>
      <c r="K59" s="37"/>
      <c r="L59" s="37"/>
      <c r="M59" s="37"/>
      <c r="N59" s="54"/>
      <c r="O59" s="53"/>
      <c r="P59" s="37"/>
      <c r="Q59" s="37"/>
      <c r="R59" s="37"/>
      <c r="S59" s="37"/>
      <c r="T59" s="37"/>
      <c r="U59" s="54"/>
      <c r="V59" s="54"/>
      <c r="W59" s="37"/>
      <c r="X59" s="37"/>
      <c r="Y59" s="37"/>
      <c r="Z59" s="37"/>
    </row>
    <row r="60" spans="2:26" s="6" customFormat="1" ht="16.5" hidden="1" thickTop="1" thickBot="1" x14ac:dyDescent="0.3">
      <c r="B60" s="4" t="str">
        <f t="shared" si="1"/>
        <v/>
      </c>
      <c r="D60" s="9">
        <f>COUNTIF(hidden_AddedSheets,TOC!C60)</f>
        <v>0</v>
      </c>
      <c r="E60" s="9" t="str">
        <f>IF(G60="","",COUNTIF(hidden_AddedSheets,TOC!G60)+1)</f>
        <v/>
      </c>
      <c r="F60" s="7"/>
      <c r="G60" s="7"/>
      <c r="H60" s="58"/>
      <c r="I60" s="45"/>
      <c r="J60" s="37"/>
      <c r="K60" s="37"/>
      <c r="L60" s="37"/>
      <c r="M60" s="37"/>
      <c r="N60" s="54"/>
      <c r="O60" s="53"/>
      <c r="P60" s="37"/>
      <c r="Q60" s="37"/>
      <c r="R60" s="37"/>
      <c r="S60" s="37"/>
      <c r="T60" s="37"/>
      <c r="U60" s="54"/>
      <c r="V60" s="54"/>
      <c r="W60" s="37"/>
      <c r="X60" s="37"/>
      <c r="Y60" s="37"/>
      <c r="Z60" s="37"/>
    </row>
    <row r="61" spans="2:26" s="6" customFormat="1" ht="16.5" hidden="1" thickTop="1" thickBot="1" x14ac:dyDescent="0.3">
      <c r="B61" s="4" t="str">
        <f t="shared" si="1"/>
        <v/>
      </c>
      <c r="D61" s="9">
        <f>COUNTIF(hidden_AddedSheets,TOC!C61)</f>
        <v>0</v>
      </c>
      <c r="E61" s="9" t="str">
        <f>IF(G61="","",COUNTIF(hidden_AddedSheets,TOC!G61)+1)</f>
        <v/>
      </c>
      <c r="F61" s="7"/>
      <c r="G61" s="7"/>
      <c r="H61" s="58"/>
      <c r="I61" s="45"/>
      <c r="J61" s="37"/>
      <c r="K61" s="37"/>
      <c r="L61" s="37"/>
      <c r="M61" s="37"/>
      <c r="N61" s="54"/>
      <c r="O61" s="53"/>
      <c r="P61" s="37"/>
      <c r="Q61" s="37"/>
      <c r="R61" s="37"/>
      <c r="S61" s="37"/>
      <c r="T61" s="37"/>
      <c r="U61" s="54"/>
      <c r="V61" s="54"/>
      <c r="W61" s="37"/>
      <c r="X61" s="37"/>
      <c r="Y61" s="37"/>
      <c r="Z61" s="37"/>
    </row>
    <row r="62" spans="2:26" s="6" customFormat="1" ht="16.5" hidden="1" thickTop="1" thickBot="1" x14ac:dyDescent="0.3">
      <c r="B62" s="4" t="str">
        <f t="shared" si="1"/>
        <v/>
      </c>
      <c r="D62" s="9">
        <f>COUNTIF(hidden_AddedSheets,TOC!C62)</f>
        <v>0</v>
      </c>
      <c r="E62" s="9" t="str">
        <f>IF(G62="","",COUNTIF(hidden_AddedSheets,TOC!G62)+1)</f>
        <v/>
      </c>
      <c r="F62" s="7"/>
      <c r="G62" s="7"/>
      <c r="H62" s="58"/>
      <c r="I62" s="45"/>
      <c r="J62" s="37"/>
      <c r="K62" s="37"/>
      <c r="L62" s="37"/>
      <c r="M62" s="37"/>
      <c r="N62" s="54"/>
      <c r="O62" s="53"/>
      <c r="P62" s="37"/>
      <c r="Q62" s="37"/>
      <c r="R62" s="37"/>
      <c r="S62" s="37"/>
      <c r="T62" s="37"/>
      <c r="U62" s="54"/>
      <c r="V62" s="54"/>
      <c r="W62" s="37"/>
      <c r="X62" s="37"/>
      <c r="Y62" s="37"/>
      <c r="Z62" s="37"/>
    </row>
    <row r="63" spans="2:26" s="6" customFormat="1" ht="16.5" hidden="1" thickTop="1" thickBot="1" x14ac:dyDescent="0.3">
      <c r="B63" s="4" t="str">
        <f t="shared" si="1"/>
        <v/>
      </c>
      <c r="D63" s="9">
        <f>COUNTIF(hidden_AddedSheets,TOC!C63)</f>
        <v>0</v>
      </c>
      <c r="E63" s="9" t="str">
        <f>IF(G63="","",COUNTIF(hidden_AddedSheets,TOC!G63)+1)</f>
        <v/>
      </c>
      <c r="F63" s="7"/>
      <c r="G63" s="7"/>
      <c r="H63" s="58"/>
      <c r="I63" s="45"/>
      <c r="J63" s="37"/>
      <c r="K63" s="37"/>
      <c r="L63" s="37"/>
      <c r="M63" s="37"/>
      <c r="N63" s="54"/>
      <c r="O63" s="53"/>
      <c r="P63" s="37"/>
      <c r="Q63" s="37"/>
      <c r="R63" s="37"/>
      <c r="S63" s="37"/>
      <c r="T63" s="37"/>
      <c r="U63" s="54"/>
      <c r="V63" s="54"/>
      <c r="W63" s="37"/>
      <c r="X63" s="37"/>
      <c r="Y63" s="37"/>
      <c r="Z63" s="37"/>
    </row>
    <row r="64" spans="2:26" s="6" customFormat="1" ht="16.5" hidden="1" thickTop="1" thickBot="1" x14ac:dyDescent="0.3">
      <c r="B64" s="4" t="str">
        <f t="shared" si="1"/>
        <v/>
      </c>
      <c r="D64" s="9">
        <f>COUNTIF(hidden_AddedSheets,TOC!C64)</f>
        <v>0</v>
      </c>
      <c r="E64" s="9" t="str">
        <f>IF(G64="","",COUNTIF(hidden_AddedSheets,TOC!G64)+1)</f>
        <v/>
      </c>
      <c r="F64" s="7"/>
      <c r="G64" s="7"/>
      <c r="H64" s="58"/>
      <c r="I64" s="45"/>
      <c r="J64" s="37"/>
      <c r="K64" s="37"/>
      <c r="L64" s="37"/>
      <c r="M64" s="37"/>
      <c r="N64" s="54"/>
      <c r="O64" s="53"/>
      <c r="P64" s="37"/>
      <c r="Q64" s="37"/>
      <c r="R64" s="37"/>
      <c r="S64" s="37"/>
      <c r="T64" s="37"/>
      <c r="U64" s="54"/>
      <c r="V64" s="54"/>
      <c r="W64" s="37"/>
      <c r="X64" s="37"/>
      <c r="Y64" s="37"/>
      <c r="Z64" s="37"/>
    </row>
    <row r="65" spans="2:26" s="6" customFormat="1" ht="16.5" hidden="1" thickTop="1" thickBot="1" x14ac:dyDescent="0.3">
      <c r="B65" s="4" t="str">
        <f t="shared" si="1"/>
        <v/>
      </c>
      <c r="D65" s="9">
        <f>COUNTIF(hidden_AddedSheets,TOC!C65)</f>
        <v>0</v>
      </c>
      <c r="E65" s="9" t="str">
        <f>IF(G65="","",COUNTIF(hidden_AddedSheets,TOC!G65)+1)</f>
        <v/>
      </c>
      <c r="F65" s="7"/>
      <c r="G65" s="7"/>
      <c r="H65" s="58"/>
      <c r="I65" s="45"/>
      <c r="J65" s="37"/>
      <c r="K65" s="37"/>
      <c r="L65" s="37"/>
      <c r="M65" s="37"/>
      <c r="N65" s="54"/>
      <c r="O65" s="53"/>
      <c r="P65" s="37"/>
      <c r="Q65" s="37"/>
      <c r="R65" s="37"/>
      <c r="S65" s="37"/>
      <c r="T65" s="37"/>
      <c r="U65" s="54"/>
      <c r="V65" s="54"/>
      <c r="W65" s="37"/>
      <c r="X65" s="37"/>
      <c r="Y65" s="37"/>
      <c r="Z65" s="37"/>
    </row>
    <row r="66" spans="2:26" s="6" customFormat="1" ht="16.5" hidden="1" thickTop="1" thickBot="1" x14ac:dyDescent="0.3">
      <c r="B66" s="4" t="str">
        <f t="shared" si="1"/>
        <v/>
      </c>
      <c r="D66" s="9">
        <f>COUNTIF(hidden_AddedSheets,TOC!C66)</f>
        <v>0</v>
      </c>
      <c r="E66" s="9" t="str">
        <f>IF(G66="","",COUNTIF(hidden_AddedSheets,TOC!G66)+1)</f>
        <v/>
      </c>
      <c r="F66" s="7"/>
      <c r="G66" s="7"/>
      <c r="H66" s="58"/>
      <c r="I66" s="45"/>
      <c r="J66" s="37"/>
      <c r="K66" s="37"/>
      <c r="L66" s="37"/>
      <c r="M66" s="37"/>
      <c r="N66" s="54"/>
      <c r="O66" s="53"/>
      <c r="P66" s="37"/>
      <c r="Q66" s="37"/>
      <c r="R66" s="37"/>
      <c r="S66" s="37"/>
      <c r="T66" s="37"/>
      <c r="U66" s="54"/>
      <c r="V66" s="54"/>
      <c r="W66" s="37"/>
      <c r="X66" s="37"/>
      <c r="Y66" s="37"/>
      <c r="Z66" s="37"/>
    </row>
    <row r="67" spans="2:26" s="6" customFormat="1" ht="16.5" hidden="1" thickTop="1" thickBot="1" x14ac:dyDescent="0.3">
      <c r="B67" s="4" t="str">
        <f t="shared" si="1"/>
        <v/>
      </c>
      <c r="D67" s="9">
        <f>COUNTIF(hidden_AddedSheets,TOC!C67)</f>
        <v>0</v>
      </c>
      <c r="E67" s="9" t="str">
        <f>IF(G67="","",COUNTIF(hidden_AddedSheets,TOC!G67)+1)</f>
        <v/>
      </c>
      <c r="F67" s="7"/>
      <c r="G67" s="7"/>
      <c r="H67" s="58"/>
      <c r="I67" s="45"/>
      <c r="J67" s="37"/>
      <c r="K67" s="37"/>
      <c r="L67" s="37"/>
      <c r="M67" s="37"/>
      <c r="N67" s="54"/>
      <c r="O67" s="53"/>
      <c r="P67" s="37"/>
      <c r="Q67" s="37"/>
      <c r="R67" s="37"/>
      <c r="S67" s="37"/>
      <c r="T67" s="37"/>
      <c r="U67" s="54"/>
      <c r="V67" s="54"/>
      <c r="W67" s="37"/>
      <c r="X67" s="37"/>
      <c r="Y67" s="37"/>
      <c r="Z67" s="37"/>
    </row>
    <row r="68" spans="2:26" s="6" customFormat="1" ht="16.5" hidden="1" thickTop="1" thickBot="1" x14ac:dyDescent="0.3">
      <c r="B68" s="4" t="str">
        <f t="shared" si="1"/>
        <v/>
      </c>
      <c r="D68" s="9">
        <f>COUNTIF(hidden_AddedSheets,TOC!C68)</f>
        <v>0</v>
      </c>
      <c r="E68" s="9" t="str">
        <f>IF(G68="","",COUNTIF(hidden_AddedSheets,TOC!G68)+1)</f>
        <v/>
      </c>
      <c r="F68" s="7"/>
      <c r="G68" s="7"/>
      <c r="H68" s="58"/>
      <c r="I68" s="45"/>
      <c r="J68" s="37"/>
      <c r="K68" s="37"/>
      <c r="L68" s="37"/>
      <c r="M68" s="37"/>
      <c r="N68" s="54"/>
      <c r="O68" s="53"/>
      <c r="P68" s="37"/>
      <c r="Q68" s="37"/>
      <c r="R68" s="37"/>
      <c r="S68" s="37"/>
      <c r="T68" s="37"/>
      <c r="U68" s="54"/>
      <c r="V68" s="54"/>
      <c r="W68" s="37"/>
      <c r="X68" s="37"/>
      <c r="Y68" s="37"/>
      <c r="Z68" s="37"/>
    </row>
    <row r="69" spans="2:26" s="6" customFormat="1" ht="16.5" hidden="1" thickTop="1" thickBot="1" x14ac:dyDescent="0.3">
      <c r="B69" s="4" t="str">
        <f t="shared" si="1"/>
        <v/>
      </c>
      <c r="D69" s="9">
        <f>COUNTIF(hidden_AddedSheets,TOC!C69)</f>
        <v>0</v>
      </c>
      <c r="E69" s="9" t="str">
        <f>IF(G69="","",COUNTIF(hidden_AddedSheets,TOC!G69)+1)</f>
        <v/>
      </c>
      <c r="F69" s="7"/>
      <c r="G69" s="7"/>
      <c r="H69" s="58"/>
      <c r="I69" s="45"/>
      <c r="J69" s="37"/>
      <c r="K69" s="37"/>
      <c r="L69" s="37"/>
      <c r="M69" s="37"/>
      <c r="N69" s="54"/>
      <c r="O69" s="53"/>
      <c r="P69" s="37"/>
      <c r="Q69" s="37"/>
      <c r="R69" s="37"/>
      <c r="S69" s="37"/>
      <c r="T69" s="37"/>
      <c r="U69" s="54"/>
      <c r="V69" s="54"/>
      <c r="W69" s="37"/>
      <c r="X69" s="37"/>
      <c r="Y69" s="37"/>
      <c r="Z69" s="37"/>
    </row>
    <row r="70" spans="2:26" s="6" customFormat="1" ht="16.5" hidden="1" thickTop="1" thickBot="1" x14ac:dyDescent="0.3">
      <c r="B70" s="4" t="str">
        <f t="shared" ref="B70:B104" si="2">IF(D70=1,"GoTo",IF(E70=1,"Create",""))</f>
        <v/>
      </c>
      <c r="D70" s="9">
        <f>COUNTIF(hidden_AddedSheets,TOC!C70)</f>
        <v>0</v>
      </c>
      <c r="E70" s="9" t="str">
        <f>IF(G70="","",COUNTIF(hidden_AddedSheets,TOC!G70)+1)</f>
        <v/>
      </c>
      <c r="F70" s="7"/>
      <c r="G70" s="7"/>
      <c r="H70" s="58"/>
      <c r="I70" s="45"/>
      <c r="J70" s="37"/>
      <c r="K70" s="37"/>
      <c r="L70" s="37"/>
      <c r="M70" s="37"/>
      <c r="N70" s="54"/>
      <c r="O70" s="53"/>
      <c r="P70" s="37"/>
      <c r="Q70" s="37"/>
      <c r="R70" s="37"/>
      <c r="S70" s="37"/>
      <c r="T70" s="37"/>
      <c r="U70" s="54"/>
      <c r="V70" s="54"/>
      <c r="W70" s="37"/>
      <c r="X70" s="37"/>
      <c r="Y70" s="37"/>
      <c r="Z70" s="37"/>
    </row>
    <row r="71" spans="2:26" s="6" customFormat="1" ht="16.5" hidden="1" thickTop="1" thickBot="1" x14ac:dyDescent="0.3">
      <c r="B71" s="4" t="str">
        <f t="shared" si="2"/>
        <v/>
      </c>
      <c r="D71" s="9">
        <f>COUNTIF(hidden_AddedSheets,TOC!C71)</f>
        <v>0</v>
      </c>
      <c r="E71" s="9" t="str">
        <f>IF(G71="","",COUNTIF(hidden_AddedSheets,TOC!G71)+1)</f>
        <v/>
      </c>
      <c r="F71" s="7"/>
      <c r="G71" s="7"/>
      <c r="H71" s="58"/>
      <c r="I71" s="45"/>
      <c r="J71" s="37"/>
      <c r="K71" s="37"/>
      <c r="L71" s="37"/>
      <c r="M71" s="37"/>
      <c r="N71" s="54"/>
      <c r="O71" s="53"/>
      <c r="P71" s="37"/>
      <c r="Q71" s="37"/>
      <c r="R71" s="37"/>
      <c r="S71" s="37"/>
      <c r="T71" s="37"/>
      <c r="U71" s="54"/>
      <c r="V71" s="54"/>
      <c r="W71" s="37"/>
      <c r="X71" s="37"/>
      <c r="Y71" s="37"/>
      <c r="Z71" s="37"/>
    </row>
    <row r="72" spans="2:26" s="6" customFormat="1" ht="16.5" hidden="1" thickTop="1" thickBot="1" x14ac:dyDescent="0.3">
      <c r="B72" s="4" t="str">
        <f t="shared" si="2"/>
        <v/>
      </c>
      <c r="D72" s="9">
        <f>COUNTIF(hidden_AddedSheets,TOC!C72)</f>
        <v>0</v>
      </c>
      <c r="E72" s="9" t="str">
        <f>IF(G72="","",COUNTIF(hidden_AddedSheets,TOC!G72)+1)</f>
        <v/>
      </c>
      <c r="F72" s="7"/>
      <c r="G72" s="7"/>
      <c r="H72" s="58"/>
      <c r="I72" s="45"/>
      <c r="J72" s="37"/>
      <c r="K72" s="37"/>
      <c r="L72" s="37"/>
      <c r="M72" s="37"/>
      <c r="N72" s="54"/>
      <c r="O72" s="53"/>
      <c r="P72" s="37"/>
      <c r="Q72" s="37"/>
      <c r="R72" s="37"/>
      <c r="S72" s="37"/>
      <c r="T72" s="37"/>
      <c r="U72" s="54"/>
      <c r="V72" s="54"/>
      <c r="W72" s="37"/>
      <c r="X72" s="37"/>
      <c r="Y72" s="37"/>
      <c r="Z72" s="37"/>
    </row>
    <row r="73" spans="2:26" s="6" customFormat="1" ht="16.5" hidden="1" thickTop="1" thickBot="1" x14ac:dyDescent="0.3">
      <c r="B73" s="4" t="str">
        <f t="shared" si="2"/>
        <v/>
      </c>
      <c r="D73" s="9">
        <f>COUNTIF(hidden_AddedSheets,TOC!C73)</f>
        <v>0</v>
      </c>
      <c r="E73" s="9" t="str">
        <f>IF(G73="","",COUNTIF(hidden_AddedSheets,TOC!G73)+1)</f>
        <v/>
      </c>
      <c r="F73" s="7"/>
      <c r="G73" s="7"/>
      <c r="H73" s="58"/>
      <c r="I73" s="45"/>
      <c r="J73" s="37"/>
      <c r="K73" s="37"/>
      <c r="L73" s="37"/>
      <c r="M73" s="37"/>
      <c r="N73" s="54"/>
      <c r="O73" s="53"/>
      <c r="P73" s="37"/>
      <c r="Q73" s="37"/>
      <c r="R73" s="37"/>
      <c r="S73" s="37"/>
      <c r="T73" s="37"/>
      <c r="U73" s="54"/>
      <c r="V73" s="54"/>
      <c r="W73" s="37"/>
      <c r="X73" s="37"/>
      <c r="Y73" s="37"/>
      <c r="Z73" s="37"/>
    </row>
    <row r="74" spans="2:26" s="6" customFormat="1" ht="16.5" hidden="1" thickTop="1" thickBot="1" x14ac:dyDescent="0.3">
      <c r="B74" s="4" t="str">
        <f t="shared" si="2"/>
        <v/>
      </c>
      <c r="D74" s="9">
        <f>COUNTIF(hidden_AddedSheets,TOC!C74)</f>
        <v>0</v>
      </c>
      <c r="E74" s="9" t="str">
        <f>IF(G74="","",COUNTIF(hidden_AddedSheets,TOC!G74)+1)</f>
        <v/>
      </c>
      <c r="F74" s="7"/>
      <c r="G74" s="7"/>
      <c r="H74" s="58"/>
      <c r="I74" s="45"/>
      <c r="J74" s="37"/>
      <c r="K74" s="37"/>
      <c r="L74" s="37"/>
      <c r="M74" s="37"/>
      <c r="N74" s="54"/>
      <c r="O74" s="53"/>
      <c r="P74" s="37"/>
      <c r="Q74" s="37"/>
      <c r="R74" s="37"/>
      <c r="S74" s="37"/>
      <c r="T74" s="37"/>
      <c r="U74" s="54"/>
      <c r="V74" s="54"/>
      <c r="W74" s="37"/>
      <c r="X74" s="37"/>
      <c r="Y74" s="37"/>
      <c r="Z74" s="37"/>
    </row>
    <row r="75" spans="2:26" s="6" customFormat="1" ht="16.5" hidden="1" thickTop="1" thickBot="1" x14ac:dyDescent="0.3">
      <c r="B75" s="4" t="str">
        <f t="shared" si="2"/>
        <v/>
      </c>
      <c r="D75" s="9">
        <f>COUNTIF(hidden_AddedSheets,TOC!C75)</f>
        <v>0</v>
      </c>
      <c r="E75" s="9" t="str">
        <f>IF(G75="","",COUNTIF(hidden_AddedSheets,TOC!G75)+1)</f>
        <v/>
      </c>
      <c r="F75" s="7"/>
      <c r="G75" s="7"/>
      <c r="H75" s="58"/>
      <c r="I75" s="45"/>
      <c r="J75" s="37"/>
      <c r="K75" s="37"/>
      <c r="L75" s="37"/>
      <c r="M75" s="37"/>
      <c r="N75" s="54"/>
      <c r="O75" s="53"/>
      <c r="P75" s="37"/>
      <c r="Q75" s="37"/>
      <c r="R75" s="37"/>
      <c r="S75" s="37"/>
      <c r="T75" s="37"/>
      <c r="U75" s="54"/>
      <c r="V75" s="54"/>
      <c r="W75" s="37"/>
      <c r="X75" s="37"/>
      <c r="Y75" s="37"/>
      <c r="Z75" s="37"/>
    </row>
    <row r="76" spans="2:26" s="6" customFormat="1" ht="16.5" hidden="1" thickTop="1" thickBot="1" x14ac:dyDescent="0.3">
      <c r="B76" s="4" t="str">
        <f t="shared" si="2"/>
        <v/>
      </c>
      <c r="D76" s="9">
        <f>COUNTIF(hidden_AddedSheets,TOC!C76)</f>
        <v>0</v>
      </c>
      <c r="E76" s="9" t="str">
        <f>IF(G76="","",COUNTIF(hidden_AddedSheets,TOC!G76)+1)</f>
        <v/>
      </c>
      <c r="F76" s="7"/>
      <c r="G76" s="7"/>
      <c r="H76" s="58"/>
      <c r="I76" s="45"/>
      <c r="J76" s="37"/>
      <c r="K76" s="37"/>
      <c r="L76" s="37"/>
      <c r="M76" s="37"/>
      <c r="N76" s="54"/>
      <c r="O76" s="53"/>
      <c r="P76" s="37"/>
      <c r="Q76" s="37"/>
      <c r="R76" s="37"/>
      <c r="S76" s="37"/>
      <c r="T76" s="37"/>
      <c r="U76" s="54"/>
      <c r="V76" s="54"/>
      <c r="W76" s="37"/>
      <c r="X76" s="37"/>
      <c r="Y76" s="37"/>
      <c r="Z76" s="37"/>
    </row>
    <row r="77" spans="2:26" s="6" customFormat="1" ht="16.5" hidden="1" thickTop="1" thickBot="1" x14ac:dyDescent="0.3">
      <c r="B77" s="4" t="str">
        <f t="shared" si="2"/>
        <v/>
      </c>
      <c r="D77" s="9">
        <f>COUNTIF(hidden_AddedSheets,TOC!C77)</f>
        <v>0</v>
      </c>
      <c r="E77" s="9" t="str">
        <f>IF(G77="","",COUNTIF(hidden_AddedSheets,TOC!G77)+1)</f>
        <v/>
      </c>
      <c r="F77" s="7"/>
      <c r="G77" s="7"/>
      <c r="H77" s="58"/>
      <c r="I77" s="45"/>
      <c r="J77" s="37"/>
      <c r="K77" s="37"/>
      <c r="L77" s="37"/>
      <c r="M77" s="37"/>
      <c r="N77" s="54"/>
      <c r="O77" s="53"/>
      <c r="P77" s="37"/>
      <c r="Q77" s="37"/>
      <c r="R77" s="37"/>
      <c r="S77" s="37"/>
      <c r="T77" s="37"/>
      <c r="U77" s="54"/>
      <c r="V77" s="54"/>
      <c r="W77" s="37"/>
      <c r="X77" s="37"/>
      <c r="Y77" s="37"/>
      <c r="Z77" s="37"/>
    </row>
    <row r="78" spans="2:26" s="6" customFormat="1" ht="16.5" hidden="1" thickTop="1" thickBot="1" x14ac:dyDescent="0.3">
      <c r="B78" s="4" t="str">
        <f t="shared" si="2"/>
        <v/>
      </c>
      <c r="D78" s="9">
        <f>COUNTIF(hidden_AddedSheets,TOC!C78)</f>
        <v>0</v>
      </c>
      <c r="E78" s="9" t="str">
        <f>IF(G78="","",COUNTIF(hidden_AddedSheets,TOC!G78)+1)</f>
        <v/>
      </c>
      <c r="F78" s="7"/>
      <c r="G78" s="7"/>
      <c r="H78" s="58"/>
      <c r="I78" s="45"/>
      <c r="J78" s="37"/>
      <c r="K78" s="37"/>
      <c r="L78" s="37"/>
      <c r="M78" s="37"/>
      <c r="N78" s="54"/>
      <c r="O78" s="53"/>
      <c r="P78" s="37"/>
      <c r="Q78" s="37"/>
      <c r="R78" s="37"/>
      <c r="S78" s="37"/>
      <c r="T78" s="37"/>
      <c r="U78" s="54"/>
      <c r="V78" s="54"/>
      <c r="W78" s="37"/>
      <c r="X78" s="37"/>
      <c r="Y78" s="37"/>
      <c r="Z78" s="37"/>
    </row>
    <row r="79" spans="2:26" s="6" customFormat="1" ht="16.5" hidden="1" thickTop="1" thickBot="1" x14ac:dyDescent="0.3">
      <c r="B79" s="4" t="str">
        <f t="shared" si="2"/>
        <v/>
      </c>
      <c r="D79" s="9">
        <f>COUNTIF(hidden_AddedSheets,TOC!C79)</f>
        <v>0</v>
      </c>
      <c r="E79" s="9" t="str">
        <f>IF(G79="","",COUNTIF(hidden_AddedSheets,TOC!G79)+1)</f>
        <v/>
      </c>
      <c r="F79" s="7"/>
      <c r="G79" s="7"/>
      <c r="H79" s="58"/>
      <c r="I79" s="45"/>
      <c r="J79" s="37"/>
      <c r="K79" s="37"/>
      <c r="L79" s="37"/>
      <c r="M79" s="37"/>
      <c r="N79" s="54"/>
      <c r="O79" s="53"/>
      <c r="P79" s="37"/>
      <c r="Q79" s="37"/>
      <c r="R79" s="37"/>
      <c r="S79" s="37"/>
      <c r="T79" s="37"/>
      <c r="U79" s="54"/>
      <c r="V79" s="54"/>
      <c r="W79" s="37"/>
      <c r="X79" s="37"/>
      <c r="Y79" s="37"/>
      <c r="Z79" s="37"/>
    </row>
    <row r="80" spans="2:26" s="6" customFormat="1" ht="16.5" hidden="1" thickTop="1" thickBot="1" x14ac:dyDescent="0.3">
      <c r="B80" s="4" t="str">
        <f t="shared" si="2"/>
        <v/>
      </c>
      <c r="D80" s="9">
        <f>COUNTIF(hidden_AddedSheets,TOC!C80)</f>
        <v>0</v>
      </c>
      <c r="E80" s="9" t="str">
        <f>IF(G80="","",COUNTIF(hidden_AddedSheets,TOC!G80)+1)</f>
        <v/>
      </c>
      <c r="F80" s="7"/>
      <c r="G80" s="7"/>
      <c r="H80" s="58"/>
      <c r="I80" s="45"/>
      <c r="J80" s="37"/>
      <c r="K80" s="37"/>
      <c r="L80" s="37"/>
      <c r="M80" s="37"/>
      <c r="N80" s="54"/>
      <c r="O80" s="53"/>
      <c r="P80" s="37"/>
      <c r="Q80" s="37"/>
      <c r="R80" s="37"/>
      <c r="S80" s="37"/>
      <c r="T80" s="37"/>
      <c r="U80" s="54"/>
      <c r="V80" s="54"/>
      <c r="W80" s="37"/>
      <c r="X80" s="37"/>
      <c r="Y80" s="37"/>
      <c r="Z80" s="37"/>
    </row>
    <row r="81" spans="2:26" s="6" customFormat="1" ht="16.5" hidden="1" thickTop="1" thickBot="1" x14ac:dyDescent="0.3">
      <c r="B81" s="4" t="str">
        <f t="shared" si="2"/>
        <v/>
      </c>
      <c r="D81" s="9">
        <f>COUNTIF(hidden_AddedSheets,TOC!C81)</f>
        <v>0</v>
      </c>
      <c r="E81" s="9" t="str">
        <f>IF(G81="","",COUNTIF(hidden_AddedSheets,TOC!G81)+1)</f>
        <v/>
      </c>
      <c r="F81" s="7"/>
      <c r="G81" s="7"/>
      <c r="H81" s="58"/>
      <c r="I81" s="45"/>
      <c r="J81" s="37"/>
      <c r="K81" s="37"/>
      <c r="L81" s="37"/>
      <c r="M81" s="37"/>
      <c r="N81" s="54"/>
      <c r="O81" s="53"/>
      <c r="P81" s="37"/>
      <c r="Q81" s="37"/>
      <c r="R81" s="37"/>
      <c r="S81" s="37"/>
      <c r="T81" s="37"/>
      <c r="U81" s="54"/>
      <c r="V81" s="54"/>
      <c r="W81" s="37"/>
      <c r="X81" s="37"/>
      <c r="Y81" s="37"/>
      <c r="Z81" s="37"/>
    </row>
    <row r="82" spans="2:26" s="6" customFormat="1" ht="16.5" hidden="1" thickTop="1" thickBot="1" x14ac:dyDescent="0.3">
      <c r="B82" s="4" t="str">
        <f t="shared" si="2"/>
        <v/>
      </c>
      <c r="D82" s="9">
        <f>COUNTIF(hidden_AddedSheets,TOC!C82)</f>
        <v>0</v>
      </c>
      <c r="E82" s="9" t="str">
        <f>IF(G82="","",COUNTIF(hidden_AddedSheets,TOC!G82)+1)</f>
        <v/>
      </c>
      <c r="F82" s="7"/>
      <c r="G82" s="7"/>
      <c r="H82" s="58"/>
      <c r="I82" s="45"/>
      <c r="J82" s="37"/>
      <c r="K82" s="37"/>
      <c r="L82" s="37"/>
      <c r="M82" s="37"/>
      <c r="N82" s="54"/>
      <c r="O82" s="53"/>
      <c r="P82" s="37"/>
      <c r="Q82" s="37"/>
      <c r="R82" s="37"/>
      <c r="S82" s="37"/>
      <c r="T82" s="37"/>
      <c r="U82" s="54"/>
      <c r="V82" s="54"/>
      <c r="W82" s="37"/>
      <c r="X82" s="37"/>
      <c r="Y82" s="37"/>
      <c r="Z82" s="37"/>
    </row>
    <row r="83" spans="2:26" s="6" customFormat="1" ht="16.5" hidden="1" thickTop="1" thickBot="1" x14ac:dyDescent="0.3">
      <c r="B83" s="4" t="str">
        <f t="shared" si="2"/>
        <v/>
      </c>
      <c r="D83" s="9">
        <f>COUNTIF(hidden_AddedSheets,TOC!C83)</f>
        <v>0</v>
      </c>
      <c r="E83" s="9" t="str">
        <f>IF(G83="","",COUNTIF(hidden_AddedSheets,TOC!G83)+1)</f>
        <v/>
      </c>
      <c r="F83" s="7"/>
      <c r="G83" s="7"/>
      <c r="H83" s="58"/>
      <c r="I83" s="45"/>
      <c r="J83" s="37"/>
      <c r="K83" s="37"/>
      <c r="L83" s="37"/>
      <c r="M83" s="37"/>
      <c r="N83" s="54"/>
      <c r="O83" s="53"/>
      <c r="P83" s="37"/>
      <c r="Q83" s="37"/>
      <c r="R83" s="37"/>
      <c r="S83" s="37"/>
      <c r="T83" s="37"/>
      <c r="U83" s="54"/>
      <c r="V83" s="54"/>
      <c r="W83" s="37"/>
      <c r="X83" s="37"/>
      <c r="Y83" s="37"/>
      <c r="Z83" s="37"/>
    </row>
    <row r="84" spans="2:26" s="6" customFormat="1" ht="16.5" hidden="1" thickTop="1" thickBot="1" x14ac:dyDescent="0.3">
      <c r="B84" s="4" t="str">
        <f t="shared" si="2"/>
        <v/>
      </c>
      <c r="D84" s="9">
        <f>COUNTIF(hidden_AddedSheets,TOC!C84)</f>
        <v>0</v>
      </c>
      <c r="E84" s="9" t="str">
        <f>IF(G84="","",COUNTIF(hidden_AddedSheets,TOC!G84)+1)</f>
        <v/>
      </c>
      <c r="F84" s="7"/>
      <c r="G84" s="7"/>
      <c r="H84" s="58"/>
      <c r="I84" s="45"/>
      <c r="J84" s="37"/>
      <c r="K84" s="37"/>
      <c r="L84" s="37"/>
      <c r="M84" s="37"/>
      <c r="N84" s="54"/>
      <c r="O84" s="53"/>
      <c r="P84" s="37"/>
      <c r="Q84" s="37"/>
      <c r="R84" s="37"/>
      <c r="S84" s="37"/>
      <c r="T84" s="37"/>
      <c r="U84" s="54"/>
      <c r="V84" s="54"/>
      <c r="W84" s="37"/>
      <c r="X84" s="37"/>
      <c r="Y84" s="37"/>
      <c r="Z84" s="37"/>
    </row>
    <row r="85" spans="2:26" s="6" customFormat="1" ht="16.5" hidden="1" thickTop="1" thickBot="1" x14ac:dyDescent="0.3">
      <c r="B85" s="4" t="str">
        <f t="shared" si="2"/>
        <v/>
      </c>
      <c r="D85" s="9">
        <f>COUNTIF(hidden_AddedSheets,TOC!C85)</f>
        <v>0</v>
      </c>
      <c r="E85" s="9" t="str">
        <f>IF(G85="","",COUNTIF(hidden_AddedSheets,TOC!G85)+1)</f>
        <v/>
      </c>
      <c r="F85" s="7"/>
      <c r="G85" s="7"/>
      <c r="H85" s="58"/>
      <c r="I85" s="45"/>
      <c r="J85" s="37"/>
      <c r="K85" s="37"/>
      <c r="L85" s="37"/>
      <c r="M85" s="37"/>
      <c r="N85" s="54"/>
      <c r="O85" s="53"/>
      <c r="P85" s="37"/>
      <c r="Q85" s="37"/>
      <c r="R85" s="37"/>
      <c r="S85" s="37"/>
      <c r="T85" s="37"/>
      <c r="U85" s="54"/>
      <c r="V85" s="54"/>
      <c r="W85" s="37"/>
      <c r="X85" s="37"/>
      <c r="Y85" s="37"/>
      <c r="Z85" s="37"/>
    </row>
    <row r="86" spans="2:26" s="6" customFormat="1" ht="16.5" hidden="1" thickTop="1" thickBot="1" x14ac:dyDescent="0.3">
      <c r="B86" s="4" t="str">
        <f t="shared" si="2"/>
        <v/>
      </c>
      <c r="D86" s="9">
        <f>COUNTIF(hidden_AddedSheets,TOC!C86)</f>
        <v>0</v>
      </c>
      <c r="E86" s="9" t="str">
        <f>IF(G86="","",COUNTIF(hidden_AddedSheets,TOC!G86)+1)</f>
        <v/>
      </c>
      <c r="F86" s="7"/>
      <c r="G86" s="7"/>
      <c r="H86" s="58"/>
      <c r="I86" s="45"/>
      <c r="J86" s="37"/>
      <c r="K86" s="37"/>
      <c r="L86" s="37"/>
      <c r="M86" s="37"/>
      <c r="N86" s="54"/>
      <c r="O86" s="53"/>
      <c r="P86" s="37"/>
      <c r="Q86" s="37"/>
      <c r="R86" s="37"/>
      <c r="S86" s="37"/>
      <c r="T86" s="37"/>
      <c r="U86" s="54"/>
      <c r="V86" s="54"/>
      <c r="W86" s="37"/>
      <c r="X86" s="37"/>
      <c r="Y86" s="37"/>
      <c r="Z86" s="37"/>
    </row>
    <row r="87" spans="2:26" s="6" customFormat="1" ht="16.5" hidden="1" thickTop="1" thickBot="1" x14ac:dyDescent="0.3">
      <c r="B87" s="4" t="str">
        <f t="shared" si="2"/>
        <v/>
      </c>
      <c r="D87" s="9">
        <f>COUNTIF(hidden_AddedSheets,TOC!C87)</f>
        <v>0</v>
      </c>
      <c r="E87" s="9" t="str">
        <f>IF(G87="","",COUNTIF(hidden_AddedSheets,TOC!G87)+1)</f>
        <v/>
      </c>
      <c r="F87" s="7"/>
      <c r="G87" s="7"/>
      <c r="H87" s="58"/>
      <c r="I87" s="45"/>
      <c r="J87" s="37"/>
      <c r="K87" s="37"/>
      <c r="L87" s="37"/>
      <c r="M87" s="37"/>
      <c r="N87" s="54"/>
      <c r="O87" s="53"/>
      <c r="P87" s="37"/>
      <c r="Q87" s="37"/>
      <c r="R87" s="37"/>
      <c r="S87" s="37"/>
      <c r="T87" s="37"/>
      <c r="U87" s="54"/>
      <c r="V87" s="54"/>
      <c r="W87" s="37"/>
      <c r="X87" s="37"/>
      <c r="Y87" s="37"/>
      <c r="Z87" s="37"/>
    </row>
    <row r="88" spans="2:26" s="6" customFormat="1" ht="16.5" hidden="1" thickTop="1" thickBot="1" x14ac:dyDescent="0.3">
      <c r="B88" s="4" t="str">
        <f t="shared" si="2"/>
        <v/>
      </c>
      <c r="D88" s="9">
        <f>COUNTIF(hidden_AddedSheets,TOC!C88)</f>
        <v>0</v>
      </c>
      <c r="E88" s="9" t="str">
        <f>IF(G88="","",COUNTIF(hidden_AddedSheets,TOC!G88)+1)</f>
        <v/>
      </c>
      <c r="F88" s="7"/>
      <c r="G88" s="7"/>
      <c r="H88" s="58"/>
      <c r="I88" s="45"/>
      <c r="J88" s="37"/>
      <c r="K88" s="37"/>
      <c r="L88" s="37"/>
      <c r="M88" s="37"/>
      <c r="N88" s="54"/>
      <c r="O88" s="53"/>
      <c r="P88" s="37"/>
      <c r="Q88" s="37"/>
      <c r="R88" s="37"/>
      <c r="S88" s="37"/>
      <c r="T88" s="37"/>
      <c r="U88" s="54"/>
      <c r="V88" s="54"/>
      <c r="W88" s="37"/>
      <c r="X88" s="37"/>
      <c r="Y88" s="37"/>
      <c r="Z88" s="37"/>
    </row>
    <row r="89" spans="2:26" s="6" customFormat="1" ht="16.5" hidden="1" thickTop="1" thickBot="1" x14ac:dyDescent="0.3">
      <c r="B89" s="4" t="str">
        <f t="shared" si="2"/>
        <v/>
      </c>
      <c r="D89" s="9">
        <f>COUNTIF(hidden_AddedSheets,TOC!C89)</f>
        <v>0</v>
      </c>
      <c r="E89" s="9" t="str">
        <f>IF(G89="","",COUNTIF(hidden_AddedSheets,TOC!G89)+1)</f>
        <v/>
      </c>
      <c r="F89" s="7"/>
      <c r="G89" s="7"/>
      <c r="H89" s="58"/>
      <c r="I89" s="45"/>
      <c r="J89" s="37"/>
      <c r="K89" s="37"/>
      <c r="L89" s="37"/>
      <c r="M89" s="37"/>
      <c r="N89" s="54"/>
      <c r="O89" s="53"/>
      <c r="P89" s="37"/>
      <c r="Q89" s="37"/>
      <c r="R89" s="37"/>
      <c r="S89" s="37"/>
      <c r="T89" s="37"/>
      <c r="U89" s="54"/>
      <c r="V89" s="54"/>
      <c r="W89" s="37"/>
      <c r="X89" s="37"/>
      <c r="Y89" s="37"/>
      <c r="Z89" s="37"/>
    </row>
    <row r="90" spans="2:26" s="6" customFormat="1" ht="16.5" hidden="1" thickTop="1" thickBot="1" x14ac:dyDescent="0.3">
      <c r="B90" s="4" t="str">
        <f t="shared" si="2"/>
        <v/>
      </c>
      <c r="D90" s="9">
        <f>COUNTIF(hidden_AddedSheets,TOC!C90)</f>
        <v>0</v>
      </c>
      <c r="E90" s="9" t="str">
        <f>IF(G90="","",COUNTIF(hidden_AddedSheets,TOC!G90)+1)</f>
        <v/>
      </c>
      <c r="F90" s="7"/>
      <c r="G90" s="7"/>
      <c r="H90" s="58"/>
      <c r="I90" s="45"/>
      <c r="J90" s="37"/>
      <c r="K90" s="37"/>
      <c r="L90" s="37"/>
      <c r="M90" s="37"/>
      <c r="N90" s="54"/>
      <c r="O90" s="53"/>
      <c r="P90" s="37"/>
      <c r="Q90" s="37"/>
      <c r="R90" s="37"/>
      <c r="S90" s="37"/>
      <c r="T90" s="37"/>
      <c r="U90" s="54"/>
      <c r="V90" s="54"/>
      <c r="W90" s="37"/>
      <c r="X90" s="37"/>
      <c r="Y90" s="37"/>
      <c r="Z90" s="37"/>
    </row>
    <row r="91" spans="2:26" s="6" customFormat="1" ht="16.5" hidden="1" thickTop="1" thickBot="1" x14ac:dyDescent="0.3">
      <c r="B91" s="4" t="str">
        <f t="shared" si="2"/>
        <v/>
      </c>
      <c r="D91" s="9">
        <f>COUNTIF(hidden_AddedSheets,TOC!C91)</f>
        <v>0</v>
      </c>
      <c r="E91" s="9" t="str">
        <f>IF(G91="","",COUNTIF(hidden_AddedSheets,TOC!G91)+1)</f>
        <v/>
      </c>
      <c r="F91" s="7"/>
      <c r="G91" s="7"/>
      <c r="H91" s="58"/>
      <c r="I91" s="45"/>
      <c r="J91" s="37"/>
      <c r="K91" s="37"/>
      <c r="L91" s="37"/>
      <c r="M91" s="37"/>
      <c r="N91" s="54"/>
      <c r="O91" s="53"/>
      <c r="P91" s="37"/>
      <c r="Q91" s="37"/>
      <c r="R91" s="37"/>
      <c r="S91" s="37"/>
      <c r="T91" s="37"/>
      <c r="U91" s="54"/>
      <c r="V91" s="54"/>
      <c r="W91" s="37"/>
      <c r="X91" s="37"/>
      <c r="Y91" s="37"/>
      <c r="Z91" s="37"/>
    </row>
    <row r="92" spans="2:26" s="6" customFormat="1" ht="16.5" hidden="1" thickTop="1" thickBot="1" x14ac:dyDescent="0.3">
      <c r="B92" s="4" t="str">
        <f t="shared" si="2"/>
        <v/>
      </c>
      <c r="D92" s="9">
        <f>COUNTIF(hidden_AddedSheets,TOC!C92)</f>
        <v>0</v>
      </c>
      <c r="E92" s="9" t="str">
        <f>IF(G92="","",COUNTIF(hidden_AddedSheets,TOC!G92)+1)</f>
        <v/>
      </c>
      <c r="F92" s="7"/>
      <c r="G92" s="7"/>
      <c r="H92" s="58"/>
      <c r="I92" s="45"/>
      <c r="J92" s="37"/>
      <c r="K92" s="37"/>
      <c r="L92" s="37"/>
      <c r="M92" s="37"/>
      <c r="N92" s="54"/>
      <c r="O92" s="53"/>
      <c r="P92" s="37"/>
      <c r="Q92" s="37"/>
      <c r="R92" s="37"/>
      <c r="S92" s="37"/>
      <c r="T92" s="37"/>
      <c r="U92" s="54"/>
      <c r="V92" s="54"/>
      <c r="W92" s="37"/>
      <c r="X92" s="37"/>
      <c r="Y92" s="37"/>
      <c r="Z92" s="37"/>
    </row>
    <row r="93" spans="2:26" s="6" customFormat="1" ht="16.5" hidden="1" thickTop="1" thickBot="1" x14ac:dyDescent="0.3">
      <c r="B93" s="4" t="str">
        <f t="shared" si="2"/>
        <v/>
      </c>
      <c r="D93" s="9">
        <f>COUNTIF(hidden_AddedSheets,TOC!C93)</f>
        <v>0</v>
      </c>
      <c r="E93" s="9" t="str">
        <f>IF(G93="","",COUNTIF(hidden_AddedSheets,TOC!G93)+1)</f>
        <v/>
      </c>
      <c r="F93" s="7"/>
      <c r="G93" s="7"/>
      <c r="H93" s="58"/>
      <c r="I93" s="45"/>
      <c r="J93" s="37"/>
      <c r="K93" s="37"/>
      <c r="L93" s="37"/>
      <c r="M93" s="37"/>
      <c r="N93" s="54"/>
      <c r="O93" s="53"/>
      <c r="P93" s="37"/>
      <c r="Q93" s="37"/>
      <c r="R93" s="37"/>
      <c r="S93" s="37"/>
      <c r="T93" s="37"/>
      <c r="U93" s="54"/>
      <c r="V93" s="54"/>
      <c r="W93" s="37"/>
      <c r="X93" s="37"/>
      <c r="Y93" s="37"/>
      <c r="Z93" s="37"/>
    </row>
    <row r="94" spans="2:26" s="6" customFormat="1" ht="16.5" hidden="1" thickTop="1" thickBot="1" x14ac:dyDescent="0.3">
      <c r="B94" s="4" t="str">
        <f t="shared" si="2"/>
        <v/>
      </c>
      <c r="D94" s="9">
        <f>COUNTIF(hidden_AddedSheets,TOC!C94)</f>
        <v>0</v>
      </c>
      <c r="E94" s="9" t="str">
        <f>IF(G94="","",COUNTIF(hidden_AddedSheets,TOC!G94)+1)</f>
        <v/>
      </c>
      <c r="F94" s="7"/>
      <c r="G94" s="7"/>
      <c r="H94" s="58"/>
      <c r="I94" s="45"/>
      <c r="J94" s="37"/>
      <c r="K94" s="37"/>
      <c r="L94" s="37"/>
      <c r="M94" s="37"/>
      <c r="N94" s="54"/>
      <c r="O94" s="53"/>
      <c r="P94" s="37"/>
      <c r="Q94" s="37"/>
      <c r="R94" s="37"/>
      <c r="S94" s="37"/>
      <c r="T94" s="37"/>
      <c r="U94" s="54"/>
      <c r="V94" s="54"/>
      <c r="W94" s="37"/>
      <c r="X94" s="37"/>
      <c r="Y94" s="37"/>
      <c r="Z94" s="37"/>
    </row>
    <row r="95" spans="2:26" s="6" customFormat="1" ht="16.5" hidden="1" thickTop="1" thickBot="1" x14ac:dyDescent="0.3">
      <c r="B95" s="4" t="str">
        <f t="shared" si="2"/>
        <v/>
      </c>
      <c r="D95" s="9">
        <f>COUNTIF(hidden_AddedSheets,TOC!C95)</f>
        <v>0</v>
      </c>
      <c r="E95" s="9" t="str">
        <f>IF(G95="","",COUNTIF(hidden_AddedSheets,TOC!G95)+1)</f>
        <v/>
      </c>
      <c r="F95" s="7"/>
      <c r="G95" s="7"/>
      <c r="H95" s="58"/>
      <c r="I95" s="45"/>
      <c r="J95" s="37"/>
      <c r="K95" s="37"/>
      <c r="L95" s="37"/>
      <c r="M95" s="37"/>
      <c r="N95" s="54"/>
      <c r="O95" s="53"/>
      <c r="P95" s="37"/>
      <c r="Q95" s="37"/>
      <c r="R95" s="37"/>
      <c r="S95" s="37"/>
      <c r="T95" s="37"/>
      <c r="U95" s="54"/>
      <c r="V95" s="54"/>
      <c r="W95" s="37"/>
      <c r="X95" s="37"/>
      <c r="Y95" s="37"/>
      <c r="Z95" s="37"/>
    </row>
    <row r="96" spans="2:26" s="6" customFormat="1" ht="16.5" hidden="1" thickTop="1" thickBot="1" x14ac:dyDescent="0.3">
      <c r="B96" s="4" t="str">
        <f t="shared" si="2"/>
        <v/>
      </c>
      <c r="D96" s="9">
        <f>COUNTIF(hidden_AddedSheets,TOC!C96)</f>
        <v>0</v>
      </c>
      <c r="E96" s="9" t="str">
        <f>IF(G96="","",COUNTIF(hidden_AddedSheets,TOC!G96)+1)</f>
        <v/>
      </c>
      <c r="F96" s="7"/>
      <c r="G96" s="7"/>
      <c r="H96" s="58"/>
      <c r="I96" s="45"/>
      <c r="J96" s="37"/>
      <c r="K96" s="37"/>
      <c r="L96" s="37"/>
      <c r="M96" s="37"/>
      <c r="N96" s="54"/>
      <c r="O96" s="53"/>
      <c r="P96" s="37"/>
      <c r="Q96" s="37"/>
      <c r="R96" s="37"/>
      <c r="S96" s="37"/>
      <c r="T96" s="37"/>
      <c r="U96" s="54"/>
      <c r="V96" s="54"/>
      <c r="W96" s="37"/>
      <c r="X96" s="37"/>
      <c r="Y96" s="37"/>
      <c r="Z96" s="37"/>
    </row>
    <row r="97" spans="2:79" s="6" customFormat="1" ht="16.5" hidden="1" thickTop="1" thickBot="1" x14ac:dyDescent="0.3">
      <c r="B97" s="4" t="str">
        <f t="shared" si="2"/>
        <v/>
      </c>
      <c r="D97" s="9">
        <f>COUNTIF(hidden_AddedSheets,TOC!C97)</f>
        <v>0</v>
      </c>
      <c r="E97" s="9" t="str">
        <f>IF(G97="","",COUNTIF(hidden_AddedSheets,TOC!G97)+1)</f>
        <v/>
      </c>
      <c r="F97" s="7"/>
      <c r="G97" s="7"/>
      <c r="H97" s="58"/>
      <c r="I97" s="45"/>
      <c r="J97" s="37"/>
      <c r="K97" s="37"/>
      <c r="L97" s="37"/>
      <c r="M97" s="37"/>
      <c r="N97" s="54"/>
      <c r="O97" s="53"/>
      <c r="P97" s="37"/>
      <c r="Q97" s="37"/>
      <c r="R97" s="37"/>
      <c r="S97" s="37"/>
      <c r="T97" s="37"/>
      <c r="U97" s="54"/>
      <c r="V97" s="54"/>
      <c r="W97" s="37"/>
      <c r="X97" s="37"/>
      <c r="Y97" s="37"/>
      <c r="Z97" s="37"/>
    </row>
    <row r="98" spans="2:79" s="6" customFormat="1" ht="16.5" hidden="1" thickTop="1" thickBot="1" x14ac:dyDescent="0.3">
      <c r="B98" s="4" t="str">
        <f t="shared" si="2"/>
        <v/>
      </c>
      <c r="D98" s="9">
        <f>COUNTIF(hidden_AddedSheets,TOC!C98)</f>
        <v>0</v>
      </c>
      <c r="E98" s="9" t="str">
        <f>IF(G98="","",COUNTIF(hidden_AddedSheets,TOC!G98)+1)</f>
        <v/>
      </c>
      <c r="F98" s="7"/>
      <c r="G98" s="7"/>
      <c r="H98" s="58"/>
      <c r="I98" s="45"/>
      <c r="J98" s="37"/>
      <c r="K98" s="37"/>
      <c r="L98" s="37"/>
      <c r="M98" s="37"/>
      <c r="N98" s="54"/>
      <c r="O98" s="53"/>
      <c r="P98" s="37"/>
      <c r="Q98" s="37"/>
      <c r="R98" s="37"/>
      <c r="S98" s="37"/>
      <c r="T98" s="37"/>
      <c r="U98" s="54"/>
      <c r="V98" s="54"/>
      <c r="W98" s="37"/>
      <c r="X98" s="37"/>
      <c r="Y98" s="37"/>
      <c r="Z98" s="37"/>
    </row>
    <row r="99" spans="2:79" s="6" customFormat="1" ht="16.5" hidden="1" thickTop="1" thickBot="1" x14ac:dyDescent="0.3">
      <c r="B99" s="4" t="str">
        <f t="shared" si="2"/>
        <v/>
      </c>
      <c r="D99" s="9">
        <f>COUNTIF(hidden_AddedSheets,TOC!C99)</f>
        <v>0</v>
      </c>
      <c r="E99" s="9" t="str">
        <f>IF(G99="","",COUNTIF(hidden_AddedSheets,TOC!G99)+1)</f>
        <v/>
      </c>
      <c r="F99" s="7"/>
      <c r="G99" s="7"/>
      <c r="H99" s="58"/>
      <c r="I99" s="45"/>
      <c r="J99" s="37"/>
      <c r="K99" s="37"/>
      <c r="L99" s="37"/>
      <c r="M99" s="37"/>
      <c r="N99" s="54"/>
      <c r="O99" s="53"/>
      <c r="P99" s="37"/>
      <c r="Q99" s="37"/>
      <c r="R99" s="37"/>
      <c r="S99" s="37"/>
      <c r="T99" s="37"/>
      <c r="U99" s="54"/>
      <c r="V99" s="54"/>
      <c r="W99" s="37"/>
      <c r="X99" s="37"/>
      <c r="Y99" s="37"/>
      <c r="Z99" s="37"/>
    </row>
    <row r="100" spans="2:79" s="6" customFormat="1" ht="16.5" hidden="1" thickTop="1" thickBot="1" x14ac:dyDescent="0.3">
      <c r="B100" s="4" t="str">
        <f t="shared" si="2"/>
        <v/>
      </c>
      <c r="D100" s="9">
        <f>COUNTIF(hidden_AddedSheets,TOC!C100)</f>
        <v>0</v>
      </c>
      <c r="E100" s="9" t="str">
        <f>IF(G100="","",COUNTIF(hidden_AddedSheets,TOC!G100)+1)</f>
        <v/>
      </c>
      <c r="F100" s="7"/>
      <c r="G100" s="7"/>
      <c r="H100" s="58"/>
      <c r="I100" s="45"/>
      <c r="J100" s="37"/>
      <c r="K100" s="37"/>
      <c r="L100" s="37"/>
      <c r="M100" s="37"/>
      <c r="N100" s="54"/>
      <c r="O100" s="53"/>
      <c r="P100" s="37"/>
      <c r="Q100" s="37"/>
      <c r="R100" s="37"/>
      <c r="S100" s="37"/>
      <c r="T100" s="37"/>
      <c r="U100" s="54"/>
      <c r="V100" s="54"/>
      <c r="W100" s="37"/>
      <c r="X100" s="37"/>
      <c r="Y100" s="37"/>
      <c r="Z100" s="37"/>
    </row>
    <row r="101" spans="2:79" s="6" customFormat="1" ht="16.5" hidden="1" thickTop="1" thickBot="1" x14ac:dyDescent="0.3">
      <c r="B101" s="4" t="str">
        <f t="shared" si="2"/>
        <v/>
      </c>
      <c r="D101" s="9">
        <f>COUNTIF(hidden_AddedSheets,TOC!C101)</f>
        <v>0</v>
      </c>
      <c r="E101" s="9" t="str">
        <f>IF(G101="","",COUNTIF(hidden_AddedSheets,TOC!G101)+1)</f>
        <v/>
      </c>
      <c r="F101" s="7"/>
      <c r="G101" s="7"/>
      <c r="H101" s="58"/>
      <c r="I101" s="45"/>
      <c r="J101" s="37"/>
      <c r="K101" s="37"/>
      <c r="L101" s="37"/>
      <c r="M101" s="37"/>
      <c r="N101" s="54"/>
      <c r="O101" s="53"/>
      <c r="P101" s="37"/>
      <c r="Q101" s="37"/>
      <c r="R101" s="37"/>
      <c r="S101" s="37"/>
      <c r="T101" s="37"/>
      <c r="U101" s="54"/>
      <c r="V101" s="54"/>
      <c r="W101" s="37"/>
      <c r="X101" s="37"/>
      <c r="Y101" s="37"/>
      <c r="Z101" s="37"/>
    </row>
    <row r="102" spans="2:79" s="6" customFormat="1" ht="16.5" hidden="1" thickTop="1" thickBot="1" x14ac:dyDescent="0.3">
      <c r="B102" s="4" t="str">
        <f t="shared" si="2"/>
        <v/>
      </c>
      <c r="D102" s="9">
        <f>COUNTIF(hidden_AddedSheets,TOC!C102)</f>
        <v>0</v>
      </c>
      <c r="E102" s="9" t="str">
        <f>IF(G102="","",COUNTIF(hidden_AddedSheets,TOC!G102)+1)</f>
        <v/>
      </c>
      <c r="F102" s="7"/>
      <c r="G102" s="7"/>
      <c r="H102" s="58"/>
      <c r="I102" s="45"/>
      <c r="J102" s="37"/>
      <c r="K102" s="37"/>
      <c r="L102" s="37"/>
      <c r="M102" s="37"/>
      <c r="N102" s="54"/>
      <c r="O102" s="53"/>
      <c r="P102" s="37"/>
      <c r="Q102" s="37"/>
      <c r="R102" s="37"/>
      <c r="S102" s="37"/>
      <c r="T102" s="37"/>
      <c r="U102" s="54"/>
      <c r="V102" s="54"/>
      <c r="W102" s="37"/>
      <c r="X102" s="37"/>
      <c r="Y102" s="37"/>
      <c r="Z102" s="37"/>
    </row>
    <row r="103" spans="2:79" s="6" customFormat="1" ht="16.5" hidden="1" thickTop="1" thickBot="1" x14ac:dyDescent="0.3">
      <c r="B103" s="4" t="str">
        <f t="shared" si="2"/>
        <v/>
      </c>
      <c r="D103" s="9">
        <f>COUNTIF(hidden_AddedSheets,TOC!C103)</f>
        <v>0</v>
      </c>
      <c r="E103" s="9" t="str">
        <f>IF(G103="","",COUNTIF(hidden_AddedSheets,TOC!G103)+1)</f>
        <v/>
      </c>
      <c r="F103" s="7"/>
      <c r="G103" s="7"/>
      <c r="H103" s="58"/>
      <c r="I103" s="45"/>
      <c r="J103" s="37"/>
      <c r="K103" s="37"/>
      <c r="L103" s="37"/>
      <c r="M103" s="37"/>
      <c r="N103" s="54"/>
      <c r="O103" s="53"/>
      <c r="P103" s="37"/>
      <c r="Q103" s="37"/>
      <c r="R103" s="37"/>
      <c r="S103" s="37"/>
      <c r="T103" s="37"/>
      <c r="U103" s="54"/>
      <c r="V103" s="54"/>
      <c r="W103" s="37"/>
      <c r="X103" s="37"/>
      <c r="Y103" s="37"/>
      <c r="Z103" s="37"/>
    </row>
    <row r="104" spans="2:79" s="6" customFormat="1" ht="16.5" hidden="1" thickTop="1" thickBot="1" x14ac:dyDescent="0.3">
      <c r="B104" s="4" t="str">
        <f t="shared" si="2"/>
        <v/>
      </c>
      <c r="D104" s="9">
        <f>COUNTIF(hidden_AddedSheets,TOC!C104)</f>
        <v>0</v>
      </c>
      <c r="E104" s="9" t="str">
        <f>IF(G104="","",COUNTIF(hidden_AddedSheets,TOC!G104)+1)</f>
        <v/>
      </c>
      <c r="F104" s="7"/>
      <c r="G104" s="7"/>
      <c r="H104" s="58"/>
      <c r="I104" s="45"/>
      <c r="J104" s="37"/>
      <c r="K104" s="37"/>
      <c r="L104" s="37"/>
      <c r="M104" s="37"/>
      <c r="N104" s="54"/>
      <c r="O104" s="53"/>
      <c r="P104" s="37"/>
      <c r="Q104" s="37"/>
      <c r="R104" s="37"/>
      <c r="S104" s="37"/>
      <c r="T104" s="37"/>
      <c r="U104" s="54"/>
      <c r="V104" s="54"/>
      <c r="W104" s="37"/>
      <c r="X104" s="37"/>
      <c r="Y104" s="37"/>
      <c r="Z104" s="37"/>
    </row>
    <row r="105" spans="2:79" s="6" customFormat="1" ht="15.75" hidden="1" thickTop="1" x14ac:dyDescent="0.25">
      <c r="H105" s="60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</row>
    <row r="106" spans="2:79" hidden="1" x14ac:dyDescent="0.25">
      <c r="H106" s="61"/>
    </row>
    <row r="107" spans="2:79" ht="15.75" thickTop="1" x14ac:dyDescent="0.25">
      <c r="H107" s="61"/>
    </row>
    <row r="108" spans="2:79" x14ac:dyDescent="0.25">
      <c r="E108"/>
      <c r="G108" s="62"/>
    </row>
  </sheetData>
  <sortState ref="B5:H8">
    <sortCondition ref="G5:G8"/>
  </sortState>
  <phoneticPr fontId="3" type="noConversion"/>
  <dataValidations count="1">
    <dataValidation type="list" allowBlank="1" showInputMessage="1" showErrorMessage="1" sqref="F5:F104">
      <formula1>"Inactive,Non-Project,Project"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oDoList"/>
  <dimension ref="B2:E1007"/>
  <sheetViews>
    <sheetView showGridLines="0" workbookViewId="0"/>
  </sheetViews>
  <sheetFormatPr defaultRowHeight="15" x14ac:dyDescent="0.25"/>
  <cols>
    <col min="1" max="1" width="3.85546875" customWidth="1"/>
    <col min="2" max="4" width="17.7109375" customWidth="1"/>
    <col min="5" max="5" width="102.7109375" customWidth="1"/>
  </cols>
  <sheetData>
    <row r="2" spans="2:5" ht="23.25" x14ac:dyDescent="0.35">
      <c r="B2" s="2" t="s">
        <v>29</v>
      </c>
    </row>
    <row r="4" spans="2:5" ht="15.75" thickBot="1" x14ac:dyDescent="0.3">
      <c r="B4" s="4" t="s">
        <v>30</v>
      </c>
    </row>
    <row r="5" spans="2:5" ht="15.75" thickTop="1" x14ac:dyDescent="0.25"/>
    <row r="6" spans="2:5" x14ac:dyDescent="0.25">
      <c r="B6" s="1" t="s">
        <v>24</v>
      </c>
      <c r="C6" s="5" t="s">
        <v>31</v>
      </c>
      <c r="D6" s="5" t="s">
        <v>32</v>
      </c>
      <c r="E6" s="47" t="s">
        <v>33</v>
      </c>
    </row>
    <row r="7" spans="2:5" x14ac:dyDescent="0.25">
      <c r="B7" s="7"/>
      <c r="C7" s="50"/>
      <c r="D7" s="49" t="str">
        <f t="shared" ref="D7:D70" si="0">IF(ISNUMBER(C7),C7-rToday,"")</f>
        <v/>
      </c>
      <c r="E7" s="45"/>
    </row>
    <row r="8" spans="2:5" hidden="1" x14ac:dyDescent="0.25">
      <c r="B8" s="7"/>
      <c r="C8" s="50">
        <v>44895</v>
      </c>
      <c r="D8" s="49">
        <f t="shared" ca="1" si="0"/>
        <v>5</v>
      </c>
      <c r="E8" s="45"/>
    </row>
    <row r="9" spans="2:5" hidden="1" x14ac:dyDescent="0.25">
      <c r="B9" s="7"/>
      <c r="C9" s="50">
        <v>44895</v>
      </c>
      <c r="D9" s="49">
        <f t="shared" ca="1" si="0"/>
        <v>5</v>
      </c>
      <c r="E9" s="45"/>
    </row>
    <row r="10" spans="2:5" hidden="1" x14ac:dyDescent="0.25">
      <c r="B10" s="7"/>
      <c r="C10" s="50">
        <v>44900</v>
      </c>
      <c r="D10" s="49">
        <f t="shared" ca="1" si="0"/>
        <v>10</v>
      </c>
      <c r="E10" s="45"/>
    </row>
    <row r="11" spans="2:5" hidden="1" x14ac:dyDescent="0.25">
      <c r="B11" s="7"/>
      <c r="C11" s="50">
        <v>44900</v>
      </c>
      <c r="D11" s="49">
        <f t="shared" ca="1" si="0"/>
        <v>10</v>
      </c>
      <c r="E11" s="45"/>
    </row>
    <row r="12" spans="2:5" hidden="1" x14ac:dyDescent="0.25">
      <c r="B12" s="7"/>
      <c r="C12" s="50">
        <v>44919</v>
      </c>
      <c r="D12" s="49">
        <f t="shared" ca="1" si="0"/>
        <v>29</v>
      </c>
      <c r="E12" s="45"/>
    </row>
    <row r="13" spans="2:5" hidden="1" x14ac:dyDescent="0.25">
      <c r="B13" s="7"/>
      <c r="C13" s="50">
        <v>44919</v>
      </c>
      <c r="D13" s="49">
        <f t="shared" ca="1" si="0"/>
        <v>29</v>
      </c>
      <c r="E13" s="45"/>
    </row>
    <row r="14" spans="2:5" hidden="1" x14ac:dyDescent="0.25">
      <c r="B14" s="7"/>
      <c r="C14" s="50">
        <v>44986</v>
      </c>
      <c r="D14" s="49">
        <f t="shared" ca="1" si="0"/>
        <v>96</v>
      </c>
      <c r="E14" s="45"/>
    </row>
    <row r="15" spans="2:5" hidden="1" x14ac:dyDescent="0.25">
      <c r="B15" s="7"/>
      <c r="C15" s="50">
        <v>44986</v>
      </c>
      <c r="D15" s="49">
        <f t="shared" ca="1" si="0"/>
        <v>96</v>
      </c>
      <c r="E15" s="45"/>
    </row>
    <row r="16" spans="2:5" hidden="1" x14ac:dyDescent="0.25">
      <c r="B16" s="7"/>
      <c r="C16" s="50">
        <v>45017</v>
      </c>
      <c r="D16" s="49">
        <f t="shared" ca="1" si="0"/>
        <v>127</v>
      </c>
      <c r="E16" s="45"/>
    </row>
    <row r="17" spans="2:5" hidden="1" x14ac:dyDescent="0.25">
      <c r="B17" s="7"/>
      <c r="C17" s="50">
        <v>45029</v>
      </c>
      <c r="D17" s="49">
        <f t="shared" ca="1" si="0"/>
        <v>139</v>
      </c>
      <c r="E17" s="45"/>
    </row>
    <row r="18" spans="2:5" hidden="1" x14ac:dyDescent="0.25">
      <c r="B18" s="7"/>
      <c r="C18" s="50">
        <v>45047</v>
      </c>
      <c r="D18" s="49">
        <f t="shared" ca="1" si="0"/>
        <v>157</v>
      </c>
      <c r="E18" s="45"/>
    </row>
    <row r="19" spans="2:5" hidden="1" x14ac:dyDescent="0.25">
      <c r="B19" s="7"/>
      <c r="C19" s="50">
        <v>45081</v>
      </c>
      <c r="D19" s="49">
        <f t="shared" ca="1" si="0"/>
        <v>191</v>
      </c>
      <c r="E19" s="45"/>
    </row>
    <row r="20" spans="2:5" hidden="1" x14ac:dyDescent="0.25">
      <c r="B20" s="7"/>
      <c r="C20" s="50">
        <v>45111</v>
      </c>
      <c r="D20" s="49">
        <f t="shared" ca="1" si="0"/>
        <v>221</v>
      </c>
      <c r="E20" s="45"/>
    </row>
    <row r="21" spans="2:5" hidden="1" x14ac:dyDescent="0.25">
      <c r="B21" s="7"/>
      <c r="C21" s="50">
        <v>45199</v>
      </c>
      <c r="D21" s="49">
        <f t="shared" ca="1" si="0"/>
        <v>309</v>
      </c>
      <c r="E21" s="45"/>
    </row>
    <row r="22" spans="2:5" hidden="1" x14ac:dyDescent="0.25">
      <c r="B22" s="7"/>
      <c r="C22" s="50">
        <v>45323</v>
      </c>
      <c r="D22" s="49">
        <f t="shared" ca="1" si="0"/>
        <v>433</v>
      </c>
      <c r="E22" s="45"/>
    </row>
    <row r="23" spans="2:5" hidden="1" x14ac:dyDescent="0.25">
      <c r="B23" s="7"/>
      <c r="C23" s="50">
        <v>45505</v>
      </c>
      <c r="D23" s="49">
        <f t="shared" ca="1" si="0"/>
        <v>615</v>
      </c>
      <c r="E23" s="45"/>
    </row>
    <row r="24" spans="2:5" hidden="1" x14ac:dyDescent="0.25">
      <c r="B24" s="7"/>
      <c r="C24" s="50">
        <v>46235</v>
      </c>
      <c r="D24" s="49">
        <f t="shared" ca="1" si="0"/>
        <v>1345</v>
      </c>
      <c r="E24" s="45"/>
    </row>
    <row r="25" spans="2:5" hidden="1" x14ac:dyDescent="0.25">
      <c r="B25" s="7"/>
      <c r="C25" s="50"/>
      <c r="D25" s="49" t="str">
        <f t="shared" si="0"/>
        <v/>
      </c>
      <c r="E25" s="45"/>
    </row>
    <row r="26" spans="2:5" hidden="1" x14ac:dyDescent="0.25">
      <c r="B26" s="7"/>
      <c r="C26" s="50">
        <v>46235</v>
      </c>
      <c r="D26" s="49">
        <f t="shared" ca="1" si="0"/>
        <v>1345</v>
      </c>
      <c r="E26" s="45"/>
    </row>
    <row r="27" spans="2:5" hidden="1" x14ac:dyDescent="0.25">
      <c r="B27" s="7"/>
      <c r="C27" s="50">
        <v>46235</v>
      </c>
      <c r="D27" s="49">
        <f t="shared" ca="1" si="0"/>
        <v>1345</v>
      </c>
      <c r="E27" s="45"/>
    </row>
    <row r="28" spans="2:5" hidden="1" x14ac:dyDescent="0.25">
      <c r="B28" s="7"/>
      <c r="C28" s="50"/>
      <c r="D28" s="49" t="str">
        <f t="shared" si="0"/>
        <v/>
      </c>
      <c r="E28" s="45"/>
    </row>
    <row r="29" spans="2:5" hidden="1" x14ac:dyDescent="0.25">
      <c r="B29" s="7"/>
      <c r="C29" s="50"/>
      <c r="D29" s="49" t="str">
        <f t="shared" si="0"/>
        <v/>
      </c>
      <c r="E29" s="45"/>
    </row>
    <row r="30" spans="2:5" hidden="1" x14ac:dyDescent="0.25">
      <c r="B30" s="7"/>
      <c r="C30" s="50">
        <v>45081</v>
      </c>
      <c r="D30" s="49">
        <f t="shared" ca="1" si="0"/>
        <v>191</v>
      </c>
      <c r="E30" s="45"/>
    </row>
    <row r="31" spans="2:5" hidden="1" x14ac:dyDescent="0.25">
      <c r="B31" s="7"/>
      <c r="C31" s="50">
        <v>45111</v>
      </c>
      <c r="D31" s="49">
        <f t="shared" ca="1" si="0"/>
        <v>221</v>
      </c>
      <c r="E31" s="45"/>
    </row>
    <row r="32" spans="2:5" hidden="1" x14ac:dyDescent="0.25">
      <c r="B32" s="7"/>
      <c r="C32" s="50">
        <v>45111</v>
      </c>
      <c r="D32" s="49">
        <f t="shared" ca="1" si="0"/>
        <v>221</v>
      </c>
      <c r="E32" s="45"/>
    </row>
    <row r="33" spans="2:5" hidden="1" x14ac:dyDescent="0.25">
      <c r="B33" s="7"/>
      <c r="C33" s="50">
        <v>45199</v>
      </c>
      <c r="D33" s="49">
        <f t="shared" ca="1" si="0"/>
        <v>309</v>
      </c>
      <c r="E33" s="45"/>
    </row>
    <row r="34" spans="2:5" hidden="1" x14ac:dyDescent="0.25">
      <c r="B34" s="7"/>
      <c r="C34" s="50">
        <v>45199</v>
      </c>
      <c r="D34" s="49">
        <f t="shared" ca="1" si="0"/>
        <v>309</v>
      </c>
      <c r="E34" s="45"/>
    </row>
    <row r="35" spans="2:5" hidden="1" x14ac:dyDescent="0.25">
      <c r="B35" s="7"/>
      <c r="C35" s="50"/>
      <c r="D35" s="49" t="str">
        <f t="shared" si="0"/>
        <v/>
      </c>
      <c r="E35" s="45"/>
    </row>
    <row r="36" spans="2:5" hidden="1" x14ac:dyDescent="0.25">
      <c r="B36" s="7"/>
      <c r="C36" s="50"/>
      <c r="D36" s="49" t="str">
        <f t="shared" si="0"/>
        <v/>
      </c>
      <c r="E36" s="45"/>
    </row>
    <row r="37" spans="2:5" hidden="1" x14ac:dyDescent="0.25">
      <c r="B37" s="7"/>
      <c r="C37" s="50"/>
      <c r="D37" s="49" t="str">
        <f t="shared" si="0"/>
        <v/>
      </c>
      <c r="E37" s="45"/>
    </row>
    <row r="38" spans="2:5" hidden="1" x14ac:dyDescent="0.25">
      <c r="B38" s="7"/>
      <c r="C38" s="50"/>
      <c r="D38" s="49" t="str">
        <f t="shared" si="0"/>
        <v/>
      </c>
      <c r="E38" s="45"/>
    </row>
    <row r="39" spans="2:5" hidden="1" x14ac:dyDescent="0.25">
      <c r="B39" s="7"/>
      <c r="C39" s="50"/>
      <c r="D39" s="49" t="str">
        <f t="shared" si="0"/>
        <v/>
      </c>
      <c r="E39" s="45"/>
    </row>
    <row r="40" spans="2:5" hidden="1" x14ac:dyDescent="0.25">
      <c r="B40" s="7"/>
      <c r="C40" s="50"/>
      <c r="D40" s="49" t="str">
        <f t="shared" si="0"/>
        <v/>
      </c>
      <c r="E40" s="45"/>
    </row>
    <row r="41" spans="2:5" hidden="1" x14ac:dyDescent="0.25">
      <c r="B41" s="7"/>
      <c r="C41" s="50"/>
      <c r="D41" s="49" t="str">
        <f t="shared" si="0"/>
        <v/>
      </c>
      <c r="E41" s="45"/>
    </row>
    <row r="42" spans="2:5" hidden="1" x14ac:dyDescent="0.25">
      <c r="B42" s="7"/>
      <c r="C42" s="50"/>
      <c r="D42" s="49" t="str">
        <f t="shared" si="0"/>
        <v/>
      </c>
      <c r="E42" s="45"/>
    </row>
    <row r="43" spans="2:5" hidden="1" x14ac:dyDescent="0.25">
      <c r="B43" s="7"/>
      <c r="C43" s="50"/>
      <c r="D43" s="49" t="str">
        <f t="shared" si="0"/>
        <v/>
      </c>
      <c r="E43" s="45"/>
    </row>
    <row r="44" spans="2:5" hidden="1" x14ac:dyDescent="0.25">
      <c r="B44" s="7"/>
      <c r="C44" s="50"/>
      <c r="D44" s="49" t="str">
        <f t="shared" si="0"/>
        <v/>
      </c>
      <c r="E44" s="45"/>
    </row>
    <row r="45" spans="2:5" hidden="1" x14ac:dyDescent="0.25">
      <c r="B45" s="7"/>
      <c r="C45" s="50"/>
      <c r="D45" s="49" t="str">
        <f t="shared" si="0"/>
        <v/>
      </c>
      <c r="E45" s="45"/>
    </row>
    <row r="46" spans="2:5" hidden="1" x14ac:dyDescent="0.25">
      <c r="B46" s="7"/>
      <c r="C46" s="50"/>
      <c r="D46" s="49" t="str">
        <f t="shared" si="0"/>
        <v/>
      </c>
      <c r="E46" s="45"/>
    </row>
    <row r="47" spans="2:5" hidden="1" x14ac:dyDescent="0.25">
      <c r="B47" s="7"/>
      <c r="C47" s="50"/>
      <c r="D47" s="49" t="str">
        <f t="shared" si="0"/>
        <v/>
      </c>
      <c r="E47" s="45"/>
    </row>
    <row r="48" spans="2:5" hidden="1" x14ac:dyDescent="0.25">
      <c r="B48" s="7"/>
      <c r="C48" s="50"/>
      <c r="D48" s="49" t="str">
        <f t="shared" si="0"/>
        <v/>
      </c>
      <c r="E48" s="45"/>
    </row>
    <row r="49" spans="2:5" hidden="1" x14ac:dyDescent="0.25">
      <c r="B49" s="7"/>
      <c r="C49" s="50"/>
      <c r="D49" s="49" t="str">
        <f t="shared" si="0"/>
        <v/>
      </c>
      <c r="E49" s="45"/>
    </row>
    <row r="50" spans="2:5" hidden="1" x14ac:dyDescent="0.25">
      <c r="B50" s="7"/>
      <c r="C50" s="50"/>
      <c r="D50" s="49" t="str">
        <f t="shared" si="0"/>
        <v/>
      </c>
      <c r="E50" s="45"/>
    </row>
    <row r="51" spans="2:5" hidden="1" x14ac:dyDescent="0.25">
      <c r="B51" s="7"/>
      <c r="C51" s="50"/>
      <c r="D51" s="49" t="str">
        <f t="shared" si="0"/>
        <v/>
      </c>
      <c r="E51" s="45"/>
    </row>
    <row r="52" spans="2:5" hidden="1" x14ac:dyDescent="0.25">
      <c r="B52" s="7"/>
      <c r="C52" s="50"/>
      <c r="D52" s="49" t="str">
        <f t="shared" si="0"/>
        <v/>
      </c>
      <c r="E52" s="45"/>
    </row>
    <row r="53" spans="2:5" hidden="1" x14ac:dyDescent="0.25">
      <c r="B53" s="7"/>
      <c r="C53" s="50"/>
      <c r="D53" s="49" t="str">
        <f t="shared" si="0"/>
        <v/>
      </c>
      <c r="E53" s="45"/>
    </row>
    <row r="54" spans="2:5" hidden="1" x14ac:dyDescent="0.25">
      <c r="B54" s="7"/>
      <c r="C54" s="50"/>
      <c r="D54" s="49" t="str">
        <f t="shared" si="0"/>
        <v/>
      </c>
      <c r="E54" s="45"/>
    </row>
    <row r="55" spans="2:5" hidden="1" x14ac:dyDescent="0.25">
      <c r="B55" s="7"/>
      <c r="C55" s="50"/>
      <c r="D55" s="49" t="str">
        <f t="shared" si="0"/>
        <v/>
      </c>
      <c r="E55" s="45"/>
    </row>
    <row r="56" spans="2:5" hidden="1" x14ac:dyDescent="0.25">
      <c r="B56" s="7"/>
      <c r="C56" s="50"/>
      <c r="D56" s="49" t="str">
        <f t="shared" si="0"/>
        <v/>
      </c>
      <c r="E56" s="45"/>
    </row>
    <row r="57" spans="2:5" hidden="1" x14ac:dyDescent="0.25">
      <c r="B57" s="7"/>
      <c r="C57" s="50"/>
      <c r="D57" s="49" t="str">
        <f t="shared" si="0"/>
        <v/>
      </c>
      <c r="E57" s="45"/>
    </row>
    <row r="58" spans="2:5" hidden="1" x14ac:dyDescent="0.25">
      <c r="B58" s="7"/>
      <c r="C58" s="50"/>
      <c r="D58" s="49" t="str">
        <f t="shared" si="0"/>
        <v/>
      </c>
      <c r="E58" s="45"/>
    </row>
    <row r="59" spans="2:5" hidden="1" x14ac:dyDescent="0.25">
      <c r="B59" s="7"/>
      <c r="C59" s="50"/>
      <c r="D59" s="49" t="str">
        <f t="shared" si="0"/>
        <v/>
      </c>
      <c r="E59" s="45"/>
    </row>
    <row r="60" spans="2:5" hidden="1" x14ac:dyDescent="0.25">
      <c r="B60" s="7"/>
      <c r="C60" s="50"/>
      <c r="D60" s="49" t="str">
        <f t="shared" si="0"/>
        <v/>
      </c>
      <c r="E60" s="45"/>
    </row>
    <row r="61" spans="2:5" hidden="1" x14ac:dyDescent="0.25">
      <c r="B61" s="7"/>
      <c r="C61" s="50"/>
      <c r="D61" s="49" t="str">
        <f t="shared" si="0"/>
        <v/>
      </c>
      <c r="E61" s="45"/>
    </row>
    <row r="62" spans="2:5" hidden="1" x14ac:dyDescent="0.25">
      <c r="B62" s="7"/>
      <c r="C62" s="50"/>
      <c r="D62" s="49" t="str">
        <f t="shared" si="0"/>
        <v/>
      </c>
      <c r="E62" s="45"/>
    </row>
    <row r="63" spans="2:5" hidden="1" x14ac:dyDescent="0.25">
      <c r="B63" s="7"/>
      <c r="C63" s="50"/>
      <c r="D63" s="49" t="str">
        <f t="shared" si="0"/>
        <v/>
      </c>
      <c r="E63" s="45"/>
    </row>
    <row r="64" spans="2:5" hidden="1" x14ac:dyDescent="0.25">
      <c r="B64" s="7"/>
      <c r="C64" s="50"/>
      <c r="D64" s="49" t="str">
        <f t="shared" si="0"/>
        <v/>
      </c>
      <c r="E64" s="45"/>
    </row>
    <row r="65" spans="2:5" hidden="1" x14ac:dyDescent="0.25">
      <c r="B65" s="7"/>
      <c r="C65" s="50"/>
      <c r="D65" s="49" t="str">
        <f t="shared" si="0"/>
        <v/>
      </c>
      <c r="E65" s="45"/>
    </row>
    <row r="66" spans="2:5" hidden="1" x14ac:dyDescent="0.25">
      <c r="B66" s="7"/>
      <c r="C66" s="50"/>
      <c r="D66" s="49" t="str">
        <f t="shared" si="0"/>
        <v/>
      </c>
      <c r="E66" s="45"/>
    </row>
    <row r="67" spans="2:5" hidden="1" x14ac:dyDescent="0.25">
      <c r="B67" s="7"/>
      <c r="C67" s="50"/>
      <c r="D67" s="49" t="str">
        <f t="shared" si="0"/>
        <v/>
      </c>
      <c r="E67" s="45"/>
    </row>
    <row r="68" spans="2:5" hidden="1" x14ac:dyDescent="0.25">
      <c r="B68" s="7"/>
      <c r="C68" s="50"/>
      <c r="D68" s="49" t="str">
        <f t="shared" si="0"/>
        <v/>
      </c>
      <c r="E68" s="45"/>
    </row>
    <row r="69" spans="2:5" hidden="1" x14ac:dyDescent="0.25">
      <c r="B69" s="7"/>
      <c r="C69" s="50"/>
      <c r="D69" s="49" t="str">
        <f t="shared" si="0"/>
        <v/>
      </c>
      <c r="E69" s="45"/>
    </row>
    <row r="70" spans="2:5" hidden="1" x14ac:dyDescent="0.25">
      <c r="B70" s="7"/>
      <c r="C70" s="50"/>
      <c r="D70" s="49" t="str">
        <f t="shared" si="0"/>
        <v/>
      </c>
      <c r="E70" s="45"/>
    </row>
    <row r="71" spans="2:5" hidden="1" x14ac:dyDescent="0.25">
      <c r="B71" s="7"/>
      <c r="C71" s="50"/>
      <c r="D71" s="49" t="str">
        <f t="shared" ref="D71:D134" si="1">IF(ISNUMBER(C71),C71-rToday,"")</f>
        <v/>
      </c>
      <c r="E71" s="45"/>
    </row>
    <row r="72" spans="2:5" hidden="1" x14ac:dyDescent="0.25">
      <c r="B72" s="7"/>
      <c r="C72" s="50"/>
      <c r="D72" s="49" t="str">
        <f t="shared" si="1"/>
        <v/>
      </c>
      <c r="E72" s="45"/>
    </row>
    <row r="73" spans="2:5" hidden="1" x14ac:dyDescent="0.25">
      <c r="B73" s="7"/>
      <c r="C73" s="50"/>
      <c r="D73" s="49" t="str">
        <f t="shared" si="1"/>
        <v/>
      </c>
      <c r="E73" s="45"/>
    </row>
    <row r="74" spans="2:5" hidden="1" x14ac:dyDescent="0.25">
      <c r="B74" s="7"/>
      <c r="C74" s="50"/>
      <c r="D74" s="49" t="str">
        <f t="shared" si="1"/>
        <v/>
      </c>
      <c r="E74" s="45"/>
    </row>
    <row r="75" spans="2:5" hidden="1" x14ac:dyDescent="0.25">
      <c r="B75" s="7"/>
      <c r="C75" s="50"/>
      <c r="D75" s="49" t="str">
        <f t="shared" si="1"/>
        <v/>
      </c>
      <c r="E75" s="45"/>
    </row>
    <row r="76" spans="2:5" hidden="1" x14ac:dyDescent="0.25">
      <c r="B76" s="7"/>
      <c r="C76" s="50"/>
      <c r="D76" s="49" t="str">
        <f t="shared" si="1"/>
        <v/>
      </c>
      <c r="E76" s="45"/>
    </row>
    <row r="77" spans="2:5" hidden="1" x14ac:dyDescent="0.25">
      <c r="B77" s="7"/>
      <c r="C77" s="50"/>
      <c r="D77" s="49" t="str">
        <f t="shared" si="1"/>
        <v/>
      </c>
      <c r="E77" s="45"/>
    </row>
    <row r="78" spans="2:5" hidden="1" x14ac:dyDescent="0.25">
      <c r="B78" s="7"/>
      <c r="C78" s="50"/>
      <c r="D78" s="49" t="str">
        <f t="shared" si="1"/>
        <v/>
      </c>
      <c r="E78" s="45"/>
    </row>
    <row r="79" spans="2:5" hidden="1" x14ac:dyDescent="0.25">
      <c r="B79" s="7"/>
      <c r="C79" s="50"/>
      <c r="D79" s="49" t="str">
        <f t="shared" si="1"/>
        <v/>
      </c>
      <c r="E79" s="45"/>
    </row>
    <row r="80" spans="2:5" hidden="1" x14ac:dyDescent="0.25">
      <c r="B80" s="7"/>
      <c r="C80" s="50"/>
      <c r="D80" s="49" t="str">
        <f t="shared" si="1"/>
        <v/>
      </c>
      <c r="E80" s="45"/>
    </row>
    <row r="81" spans="2:5" hidden="1" x14ac:dyDescent="0.25">
      <c r="B81" s="7"/>
      <c r="C81" s="50"/>
      <c r="D81" s="49" t="str">
        <f t="shared" si="1"/>
        <v/>
      </c>
      <c r="E81" s="45"/>
    </row>
    <row r="82" spans="2:5" hidden="1" x14ac:dyDescent="0.25">
      <c r="B82" s="7"/>
      <c r="C82" s="50"/>
      <c r="D82" s="49" t="str">
        <f t="shared" si="1"/>
        <v/>
      </c>
      <c r="E82" s="45"/>
    </row>
    <row r="83" spans="2:5" hidden="1" x14ac:dyDescent="0.25">
      <c r="B83" s="7"/>
      <c r="C83" s="50"/>
      <c r="D83" s="49" t="str">
        <f t="shared" si="1"/>
        <v/>
      </c>
      <c r="E83" s="45"/>
    </row>
    <row r="84" spans="2:5" hidden="1" x14ac:dyDescent="0.25">
      <c r="B84" s="7"/>
      <c r="C84" s="50"/>
      <c r="D84" s="49" t="str">
        <f t="shared" si="1"/>
        <v/>
      </c>
      <c r="E84" s="45"/>
    </row>
    <row r="85" spans="2:5" hidden="1" x14ac:dyDescent="0.25">
      <c r="B85" s="7"/>
      <c r="C85" s="50"/>
      <c r="D85" s="49" t="str">
        <f t="shared" si="1"/>
        <v/>
      </c>
      <c r="E85" s="45"/>
    </row>
    <row r="86" spans="2:5" hidden="1" x14ac:dyDescent="0.25">
      <c r="B86" s="7"/>
      <c r="C86" s="50"/>
      <c r="D86" s="49" t="str">
        <f t="shared" si="1"/>
        <v/>
      </c>
      <c r="E86" s="45"/>
    </row>
    <row r="87" spans="2:5" hidden="1" x14ac:dyDescent="0.25">
      <c r="B87" s="7"/>
      <c r="C87" s="50"/>
      <c r="D87" s="49" t="str">
        <f t="shared" si="1"/>
        <v/>
      </c>
      <c r="E87" s="45"/>
    </row>
    <row r="88" spans="2:5" hidden="1" x14ac:dyDescent="0.25">
      <c r="B88" s="7"/>
      <c r="C88" s="50"/>
      <c r="D88" s="49" t="str">
        <f t="shared" si="1"/>
        <v/>
      </c>
      <c r="E88" s="45"/>
    </row>
    <row r="89" spans="2:5" hidden="1" x14ac:dyDescent="0.25">
      <c r="B89" s="7"/>
      <c r="C89" s="50"/>
      <c r="D89" s="49" t="str">
        <f t="shared" si="1"/>
        <v/>
      </c>
      <c r="E89" s="45"/>
    </row>
    <row r="90" spans="2:5" hidden="1" x14ac:dyDescent="0.25">
      <c r="B90" s="7"/>
      <c r="C90" s="50"/>
      <c r="D90" s="49" t="str">
        <f t="shared" si="1"/>
        <v/>
      </c>
      <c r="E90" s="45"/>
    </row>
    <row r="91" spans="2:5" hidden="1" x14ac:dyDescent="0.25">
      <c r="B91" s="7"/>
      <c r="C91" s="50"/>
      <c r="D91" s="49" t="str">
        <f t="shared" si="1"/>
        <v/>
      </c>
      <c r="E91" s="45"/>
    </row>
    <row r="92" spans="2:5" hidden="1" x14ac:dyDescent="0.25">
      <c r="B92" s="7"/>
      <c r="C92" s="50"/>
      <c r="D92" s="49" t="str">
        <f t="shared" si="1"/>
        <v/>
      </c>
      <c r="E92" s="45"/>
    </row>
    <row r="93" spans="2:5" hidden="1" x14ac:dyDescent="0.25">
      <c r="B93" s="7"/>
      <c r="C93" s="50"/>
      <c r="D93" s="49" t="str">
        <f t="shared" si="1"/>
        <v/>
      </c>
      <c r="E93" s="45"/>
    </row>
    <row r="94" spans="2:5" hidden="1" x14ac:dyDescent="0.25">
      <c r="B94" s="7"/>
      <c r="C94" s="50"/>
      <c r="D94" s="49" t="str">
        <f t="shared" si="1"/>
        <v/>
      </c>
      <c r="E94" s="45"/>
    </row>
    <row r="95" spans="2:5" hidden="1" x14ac:dyDescent="0.25">
      <c r="B95" s="7"/>
      <c r="C95" s="50"/>
      <c r="D95" s="49" t="str">
        <f t="shared" si="1"/>
        <v/>
      </c>
      <c r="E95" s="45"/>
    </row>
    <row r="96" spans="2:5" hidden="1" x14ac:dyDescent="0.25">
      <c r="B96" s="7"/>
      <c r="C96" s="50"/>
      <c r="D96" s="49" t="str">
        <f t="shared" si="1"/>
        <v/>
      </c>
      <c r="E96" s="45"/>
    </row>
    <row r="97" spans="2:5" hidden="1" x14ac:dyDescent="0.25">
      <c r="B97" s="7"/>
      <c r="C97" s="50"/>
      <c r="D97" s="49" t="str">
        <f t="shared" si="1"/>
        <v/>
      </c>
      <c r="E97" s="45"/>
    </row>
    <row r="98" spans="2:5" hidden="1" x14ac:dyDescent="0.25">
      <c r="B98" s="7"/>
      <c r="C98" s="50"/>
      <c r="D98" s="49" t="str">
        <f t="shared" si="1"/>
        <v/>
      </c>
      <c r="E98" s="45"/>
    </row>
    <row r="99" spans="2:5" hidden="1" x14ac:dyDescent="0.25">
      <c r="B99" s="7"/>
      <c r="C99" s="50"/>
      <c r="D99" s="49" t="str">
        <f t="shared" si="1"/>
        <v/>
      </c>
      <c r="E99" s="45"/>
    </row>
    <row r="100" spans="2:5" hidden="1" x14ac:dyDescent="0.25">
      <c r="B100" s="7"/>
      <c r="C100" s="50"/>
      <c r="D100" s="49" t="str">
        <f t="shared" si="1"/>
        <v/>
      </c>
      <c r="E100" s="45"/>
    </row>
    <row r="101" spans="2:5" hidden="1" x14ac:dyDescent="0.25">
      <c r="B101" s="7"/>
      <c r="C101" s="50"/>
      <c r="D101" s="49" t="str">
        <f t="shared" si="1"/>
        <v/>
      </c>
      <c r="E101" s="45"/>
    </row>
    <row r="102" spans="2:5" hidden="1" x14ac:dyDescent="0.25">
      <c r="B102" s="7"/>
      <c r="C102" s="50"/>
      <c r="D102" s="49" t="str">
        <f t="shared" si="1"/>
        <v/>
      </c>
      <c r="E102" s="45"/>
    </row>
    <row r="103" spans="2:5" hidden="1" x14ac:dyDescent="0.25">
      <c r="B103" s="7"/>
      <c r="C103" s="50"/>
      <c r="D103" s="49" t="str">
        <f t="shared" si="1"/>
        <v/>
      </c>
      <c r="E103" s="45"/>
    </row>
    <row r="104" spans="2:5" hidden="1" x14ac:dyDescent="0.25">
      <c r="B104" s="7"/>
      <c r="C104" s="50"/>
      <c r="D104" s="49" t="str">
        <f t="shared" si="1"/>
        <v/>
      </c>
      <c r="E104" s="45"/>
    </row>
    <row r="105" spans="2:5" hidden="1" x14ac:dyDescent="0.25">
      <c r="B105" s="7"/>
      <c r="C105" s="50"/>
      <c r="D105" s="49" t="str">
        <f t="shared" si="1"/>
        <v/>
      </c>
      <c r="E105" s="45"/>
    </row>
    <row r="106" spans="2:5" hidden="1" x14ac:dyDescent="0.25">
      <c r="B106" s="7"/>
      <c r="C106" s="50"/>
      <c r="D106" s="49" t="str">
        <f t="shared" si="1"/>
        <v/>
      </c>
      <c r="E106" s="45"/>
    </row>
    <row r="107" spans="2:5" hidden="1" x14ac:dyDescent="0.25">
      <c r="B107" s="7"/>
      <c r="C107" s="50"/>
      <c r="D107" s="49" t="str">
        <f t="shared" si="1"/>
        <v/>
      </c>
      <c r="E107" s="45"/>
    </row>
    <row r="108" spans="2:5" hidden="1" x14ac:dyDescent="0.25">
      <c r="B108" s="7"/>
      <c r="C108" s="50"/>
      <c r="D108" s="49" t="str">
        <f t="shared" si="1"/>
        <v/>
      </c>
      <c r="E108" s="45"/>
    </row>
    <row r="109" spans="2:5" hidden="1" x14ac:dyDescent="0.25">
      <c r="B109" s="7"/>
      <c r="C109" s="50"/>
      <c r="D109" s="49" t="str">
        <f t="shared" si="1"/>
        <v/>
      </c>
      <c r="E109" s="45"/>
    </row>
    <row r="110" spans="2:5" hidden="1" x14ac:dyDescent="0.25">
      <c r="B110" s="7"/>
      <c r="C110" s="50"/>
      <c r="D110" s="49" t="str">
        <f t="shared" si="1"/>
        <v/>
      </c>
      <c r="E110" s="45"/>
    </row>
    <row r="111" spans="2:5" hidden="1" x14ac:dyDescent="0.25">
      <c r="B111" s="7"/>
      <c r="C111" s="50"/>
      <c r="D111" s="49" t="str">
        <f t="shared" si="1"/>
        <v/>
      </c>
      <c r="E111" s="45"/>
    </row>
    <row r="112" spans="2:5" hidden="1" x14ac:dyDescent="0.25">
      <c r="B112" s="7"/>
      <c r="C112" s="50"/>
      <c r="D112" s="49" t="str">
        <f t="shared" si="1"/>
        <v/>
      </c>
      <c r="E112" s="45"/>
    </row>
    <row r="113" spans="2:5" hidden="1" x14ac:dyDescent="0.25">
      <c r="B113" s="7"/>
      <c r="C113" s="50"/>
      <c r="D113" s="49" t="str">
        <f t="shared" si="1"/>
        <v/>
      </c>
      <c r="E113" s="45"/>
    </row>
    <row r="114" spans="2:5" hidden="1" x14ac:dyDescent="0.25">
      <c r="B114" s="7"/>
      <c r="C114" s="50"/>
      <c r="D114" s="49" t="str">
        <f t="shared" si="1"/>
        <v/>
      </c>
      <c r="E114" s="45"/>
    </row>
    <row r="115" spans="2:5" hidden="1" x14ac:dyDescent="0.25">
      <c r="B115" s="7"/>
      <c r="C115" s="50"/>
      <c r="D115" s="49" t="str">
        <f t="shared" si="1"/>
        <v/>
      </c>
      <c r="E115" s="45"/>
    </row>
    <row r="116" spans="2:5" hidden="1" x14ac:dyDescent="0.25">
      <c r="B116" s="7"/>
      <c r="C116" s="50"/>
      <c r="D116" s="49" t="str">
        <f t="shared" si="1"/>
        <v/>
      </c>
      <c r="E116" s="45"/>
    </row>
    <row r="117" spans="2:5" hidden="1" x14ac:dyDescent="0.25">
      <c r="B117" s="7"/>
      <c r="C117" s="50"/>
      <c r="D117" s="49" t="str">
        <f t="shared" si="1"/>
        <v/>
      </c>
      <c r="E117" s="45"/>
    </row>
    <row r="118" spans="2:5" hidden="1" x14ac:dyDescent="0.25">
      <c r="B118" s="7"/>
      <c r="C118" s="50"/>
      <c r="D118" s="49" t="str">
        <f t="shared" si="1"/>
        <v/>
      </c>
      <c r="E118" s="45"/>
    </row>
    <row r="119" spans="2:5" hidden="1" x14ac:dyDescent="0.25">
      <c r="B119" s="7"/>
      <c r="C119" s="50"/>
      <c r="D119" s="49" t="str">
        <f t="shared" si="1"/>
        <v/>
      </c>
      <c r="E119" s="45"/>
    </row>
    <row r="120" spans="2:5" hidden="1" x14ac:dyDescent="0.25">
      <c r="B120" s="7"/>
      <c r="C120" s="50"/>
      <c r="D120" s="49" t="str">
        <f t="shared" si="1"/>
        <v/>
      </c>
      <c r="E120" s="45"/>
    </row>
    <row r="121" spans="2:5" hidden="1" x14ac:dyDescent="0.25">
      <c r="B121" s="7"/>
      <c r="C121" s="50"/>
      <c r="D121" s="49" t="str">
        <f t="shared" si="1"/>
        <v/>
      </c>
      <c r="E121" s="45"/>
    </row>
    <row r="122" spans="2:5" hidden="1" x14ac:dyDescent="0.25">
      <c r="B122" s="7"/>
      <c r="C122" s="50"/>
      <c r="D122" s="49" t="str">
        <f t="shared" si="1"/>
        <v/>
      </c>
      <c r="E122" s="45"/>
    </row>
    <row r="123" spans="2:5" hidden="1" x14ac:dyDescent="0.25">
      <c r="B123" s="7"/>
      <c r="C123" s="50"/>
      <c r="D123" s="49" t="str">
        <f t="shared" si="1"/>
        <v/>
      </c>
      <c r="E123" s="45"/>
    </row>
    <row r="124" spans="2:5" hidden="1" x14ac:dyDescent="0.25">
      <c r="B124" s="7"/>
      <c r="C124" s="50"/>
      <c r="D124" s="49" t="str">
        <f t="shared" si="1"/>
        <v/>
      </c>
      <c r="E124" s="45"/>
    </row>
    <row r="125" spans="2:5" hidden="1" x14ac:dyDescent="0.25">
      <c r="B125" s="7"/>
      <c r="C125" s="50"/>
      <c r="D125" s="49" t="str">
        <f t="shared" si="1"/>
        <v/>
      </c>
      <c r="E125" s="45"/>
    </row>
    <row r="126" spans="2:5" hidden="1" x14ac:dyDescent="0.25">
      <c r="B126" s="7"/>
      <c r="C126" s="50"/>
      <c r="D126" s="49" t="str">
        <f t="shared" si="1"/>
        <v/>
      </c>
      <c r="E126" s="45"/>
    </row>
    <row r="127" spans="2:5" hidden="1" x14ac:dyDescent="0.25">
      <c r="B127" s="7"/>
      <c r="C127" s="50"/>
      <c r="D127" s="49" t="str">
        <f t="shared" si="1"/>
        <v/>
      </c>
      <c r="E127" s="45"/>
    </row>
    <row r="128" spans="2:5" hidden="1" x14ac:dyDescent="0.25">
      <c r="B128" s="7"/>
      <c r="C128" s="50"/>
      <c r="D128" s="49" t="str">
        <f t="shared" si="1"/>
        <v/>
      </c>
      <c r="E128" s="45"/>
    </row>
    <row r="129" spans="2:5" hidden="1" x14ac:dyDescent="0.25">
      <c r="B129" s="7"/>
      <c r="C129" s="50"/>
      <c r="D129" s="49" t="str">
        <f t="shared" si="1"/>
        <v/>
      </c>
      <c r="E129" s="45"/>
    </row>
    <row r="130" spans="2:5" hidden="1" x14ac:dyDescent="0.25">
      <c r="B130" s="7"/>
      <c r="C130" s="50"/>
      <c r="D130" s="49" t="str">
        <f t="shared" si="1"/>
        <v/>
      </c>
      <c r="E130" s="45"/>
    </row>
    <row r="131" spans="2:5" hidden="1" x14ac:dyDescent="0.25">
      <c r="B131" s="7"/>
      <c r="C131" s="50"/>
      <c r="D131" s="49" t="str">
        <f t="shared" si="1"/>
        <v/>
      </c>
      <c r="E131" s="45"/>
    </row>
    <row r="132" spans="2:5" hidden="1" x14ac:dyDescent="0.25">
      <c r="B132" s="7"/>
      <c r="C132" s="50"/>
      <c r="D132" s="49" t="str">
        <f t="shared" si="1"/>
        <v/>
      </c>
      <c r="E132" s="45"/>
    </row>
    <row r="133" spans="2:5" hidden="1" x14ac:dyDescent="0.25">
      <c r="B133" s="7"/>
      <c r="C133" s="50"/>
      <c r="D133" s="49" t="str">
        <f t="shared" si="1"/>
        <v/>
      </c>
      <c r="E133" s="45"/>
    </row>
    <row r="134" spans="2:5" hidden="1" x14ac:dyDescent="0.25">
      <c r="B134" s="7"/>
      <c r="C134" s="50"/>
      <c r="D134" s="49" t="str">
        <f t="shared" si="1"/>
        <v/>
      </c>
      <c r="E134" s="45"/>
    </row>
    <row r="135" spans="2:5" hidden="1" x14ac:dyDescent="0.25">
      <c r="B135" s="7"/>
      <c r="C135" s="50"/>
      <c r="D135" s="49" t="str">
        <f t="shared" ref="D135:D198" si="2">IF(ISNUMBER(C135),C135-rToday,"")</f>
        <v/>
      </c>
      <c r="E135" s="45"/>
    </row>
    <row r="136" spans="2:5" hidden="1" x14ac:dyDescent="0.25">
      <c r="B136" s="7"/>
      <c r="C136" s="50"/>
      <c r="D136" s="49" t="str">
        <f t="shared" si="2"/>
        <v/>
      </c>
      <c r="E136" s="45"/>
    </row>
    <row r="137" spans="2:5" hidden="1" x14ac:dyDescent="0.25">
      <c r="B137" s="7"/>
      <c r="C137" s="50"/>
      <c r="D137" s="49" t="str">
        <f t="shared" si="2"/>
        <v/>
      </c>
      <c r="E137" s="45"/>
    </row>
    <row r="138" spans="2:5" hidden="1" x14ac:dyDescent="0.25">
      <c r="B138" s="7"/>
      <c r="C138" s="50"/>
      <c r="D138" s="49" t="str">
        <f t="shared" si="2"/>
        <v/>
      </c>
      <c r="E138" s="45"/>
    </row>
    <row r="139" spans="2:5" hidden="1" x14ac:dyDescent="0.25">
      <c r="B139" s="7"/>
      <c r="C139" s="50"/>
      <c r="D139" s="49" t="str">
        <f t="shared" si="2"/>
        <v/>
      </c>
      <c r="E139" s="45"/>
    </row>
    <row r="140" spans="2:5" hidden="1" x14ac:dyDescent="0.25">
      <c r="B140" s="7"/>
      <c r="C140" s="50"/>
      <c r="D140" s="49" t="str">
        <f t="shared" si="2"/>
        <v/>
      </c>
      <c r="E140" s="45"/>
    </row>
    <row r="141" spans="2:5" hidden="1" x14ac:dyDescent="0.25">
      <c r="B141" s="7"/>
      <c r="C141" s="50"/>
      <c r="D141" s="49" t="str">
        <f t="shared" si="2"/>
        <v/>
      </c>
      <c r="E141" s="45"/>
    </row>
    <row r="142" spans="2:5" hidden="1" x14ac:dyDescent="0.25">
      <c r="B142" s="7"/>
      <c r="C142" s="50"/>
      <c r="D142" s="49" t="str">
        <f t="shared" si="2"/>
        <v/>
      </c>
      <c r="E142" s="45"/>
    </row>
    <row r="143" spans="2:5" hidden="1" x14ac:dyDescent="0.25">
      <c r="B143" s="7"/>
      <c r="C143" s="50"/>
      <c r="D143" s="49" t="str">
        <f t="shared" si="2"/>
        <v/>
      </c>
      <c r="E143" s="45"/>
    </row>
    <row r="144" spans="2:5" hidden="1" x14ac:dyDescent="0.25">
      <c r="B144" s="7"/>
      <c r="C144" s="50"/>
      <c r="D144" s="49" t="str">
        <f t="shared" si="2"/>
        <v/>
      </c>
      <c r="E144" s="45"/>
    </row>
    <row r="145" spans="2:5" hidden="1" x14ac:dyDescent="0.25">
      <c r="B145" s="7"/>
      <c r="C145" s="50"/>
      <c r="D145" s="49" t="str">
        <f t="shared" si="2"/>
        <v/>
      </c>
      <c r="E145" s="45"/>
    </row>
    <row r="146" spans="2:5" hidden="1" x14ac:dyDescent="0.25">
      <c r="B146" s="7"/>
      <c r="C146" s="50"/>
      <c r="D146" s="49" t="str">
        <f t="shared" si="2"/>
        <v/>
      </c>
      <c r="E146" s="45"/>
    </row>
    <row r="147" spans="2:5" hidden="1" x14ac:dyDescent="0.25">
      <c r="B147" s="7"/>
      <c r="C147" s="50"/>
      <c r="D147" s="49" t="str">
        <f t="shared" si="2"/>
        <v/>
      </c>
      <c r="E147" s="45"/>
    </row>
    <row r="148" spans="2:5" hidden="1" x14ac:dyDescent="0.25">
      <c r="B148" s="7"/>
      <c r="C148" s="50"/>
      <c r="D148" s="49" t="str">
        <f t="shared" si="2"/>
        <v/>
      </c>
      <c r="E148" s="45"/>
    </row>
    <row r="149" spans="2:5" hidden="1" x14ac:dyDescent="0.25">
      <c r="B149" s="7"/>
      <c r="C149" s="50"/>
      <c r="D149" s="49" t="str">
        <f t="shared" si="2"/>
        <v/>
      </c>
      <c r="E149" s="45"/>
    </row>
    <row r="150" spans="2:5" hidden="1" x14ac:dyDescent="0.25">
      <c r="B150" s="7"/>
      <c r="C150" s="50"/>
      <c r="D150" s="49" t="str">
        <f t="shared" si="2"/>
        <v/>
      </c>
      <c r="E150" s="45"/>
    </row>
    <row r="151" spans="2:5" hidden="1" x14ac:dyDescent="0.25">
      <c r="B151" s="7"/>
      <c r="C151" s="50"/>
      <c r="D151" s="49" t="str">
        <f t="shared" si="2"/>
        <v/>
      </c>
      <c r="E151" s="45"/>
    </row>
    <row r="152" spans="2:5" hidden="1" x14ac:dyDescent="0.25">
      <c r="B152" s="7"/>
      <c r="C152" s="50"/>
      <c r="D152" s="49" t="str">
        <f t="shared" si="2"/>
        <v/>
      </c>
      <c r="E152" s="45"/>
    </row>
    <row r="153" spans="2:5" hidden="1" x14ac:dyDescent="0.25">
      <c r="B153" s="7"/>
      <c r="C153" s="50"/>
      <c r="D153" s="49" t="str">
        <f t="shared" si="2"/>
        <v/>
      </c>
      <c r="E153" s="45"/>
    </row>
    <row r="154" spans="2:5" hidden="1" x14ac:dyDescent="0.25">
      <c r="B154" s="7"/>
      <c r="C154" s="50"/>
      <c r="D154" s="49" t="str">
        <f t="shared" si="2"/>
        <v/>
      </c>
      <c r="E154" s="45"/>
    </row>
    <row r="155" spans="2:5" hidden="1" x14ac:dyDescent="0.25">
      <c r="B155" s="7"/>
      <c r="C155" s="50"/>
      <c r="D155" s="49" t="str">
        <f t="shared" si="2"/>
        <v/>
      </c>
      <c r="E155" s="45"/>
    </row>
    <row r="156" spans="2:5" hidden="1" x14ac:dyDescent="0.25">
      <c r="B156" s="7"/>
      <c r="C156" s="50"/>
      <c r="D156" s="49" t="str">
        <f t="shared" si="2"/>
        <v/>
      </c>
      <c r="E156" s="45"/>
    </row>
    <row r="157" spans="2:5" hidden="1" x14ac:dyDescent="0.25">
      <c r="B157" s="7"/>
      <c r="C157" s="50"/>
      <c r="D157" s="49" t="str">
        <f t="shared" si="2"/>
        <v/>
      </c>
      <c r="E157" s="45"/>
    </row>
    <row r="158" spans="2:5" hidden="1" x14ac:dyDescent="0.25">
      <c r="B158" s="7"/>
      <c r="C158" s="50"/>
      <c r="D158" s="49" t="str">
        <f t="shared" si="2"/>
        <v/>
      </c>
      <c r="E158" s="45"/>
    </row>
    <row r="159" spans="2:5" hidden="1" x14ac:dyDescent="0.25">
      <c r="B159" s="7"/>
      <c r="C159" s="50"/>
      <c r="D159" s="49" t="str">
        <f t="shared" si="2"/>
        <v/>
      </c>
      <c r="E159" s="45"/>
    </row>
    <row r="160" spans="2:5" hidden="1" x14ac:dyDescent="0.25">
      <c r="B160" s="7"/>
      <c r="C160" s="50"/>
      <c r="D160" s="49" t="str">
        <f t="shared" si="2"/>
        <v/>
      </c>
      <c r="E160" s="45"/>
    </row>
    <row r="161" spans="2:5" hidden="1" x14ac:dyDescent="0.25">
      <c r="B161" s="7"/>
      <c r="C161" s="50"/>
      <c r="D161" s="49" t="str">
        <f t="shared" si="2"/>
        <v/>
      </c>
      <c r="E161" s="45"/>
    </row>
    <row r="162" spans="2:5" hidden="1" x14ac:dyDescent="0.25">
      <c r="B162" s="7"/>
      <c r="C162" s="50"/>
      <c r="D162" s="49" t="str">
        <f t="shared" si="2"/>
        <v/>
      </c>
      <c r="E162" s="45"/>
    </row>
    <row r="163" spans="2:5" hidden="1" x14ac:dyDescent="0.25">
      <c r="B163" s="7"/>
      <c r="C163" s="50"/>
      <c r="D163" s="49" t="str">
        <f t="shared" si="2"/>
        <v/>
      </c>
      <c r="E163" s="45"/>
    </row>
    <row r="164" spans="2:5" hidden="1" x14ac:dyDescent="0.25">
      <c r="B164" s="7"/>
      <c r="C164" s="50"/>
      <c r="D164" s="49" t="str">
        <f t="shared" si="2"/>
        <v/>
      </c>
      <c r="E164" s="45"/>
    </row>
    <row r="165" spans="2:5" hidden="1" x14ac:dyDescent="0.25">
      <c r="B165" s="7"/>
      <c r="C165" s="50"/>
      <c r="D165" s="49" t="str">
        <f t="shared" si="2"/>
        <v/>
      </c>
      <c r="E165" s="45"/>
    </row>
    <row r="166" spans="2:5" hidden="1" x14ac:dyDescent="0.25">
      <c r="B166" s="7"/>
      <c r="C166" s="50"/>
      <c r="D166" s="49" t="str">
        <f t="shared" si="2"/>
        <v/>
      </c>
      <c r="E166" s="45"/>
    </row>
    <row r="167" spans="2:5" hidden="1" x14ac:dyDescent="0.25">
      <c r="B167" s="7"/>
      <c r="C167" s="50"/>
      <c r="D167" s="49" t="str">
        <f t="shared" si="2"/>
        <v/>
      </c>
      <c r="E167" s="45"/>
    </row>
    <row r="168" spans="2:5" hidden="1" x14ac:dyDescent="0.25">
      <c r="B168" s="7"/>
      <c r="C168" s="50"/>
      <c r="D168" s="49" t="str">
        <f t="shared" si="2"/>
        <v/>
      </c>
      <c r="E168" s="45"/>
    </row>
    <row r="169" spans="2:5" hidden="1" x14ac:dyDescent="0.25">
      <c r="B169" s="7"/>
      <c r="C169" s="50"/>
      <c r="D169" s="49" t="str">
        <f t="shared" si="2"/>
        <v/>
      </c>
      <c r="E169" s="45"/>
    </row>
    <row r="170" spans="2:5" hidden="1" x14ac:dyDescent="0.25">
      <c r="B170" s="7"/>
      <c r="C170" s="50"/>
      <c r="D170" s="49" t="str">
        <f t="shared" si="2"/>
        <v/>
      </c>
      <c r="E170" s="45"/>
    </row>
    <row r="171" spans="2:5" hidden="1" x14ac:dyDescent="0.25">
      <c r="B171" s="7"/>
      <c r="C171" s="50"/>
      <c r="D171" s="49" t="str">
        <f t="shared" si="2"/>
        <v/>
      </c>
      <c r="E171" s="45"/>
    </row>
    <row r="172" spans="2:5" hidden="1" x14ac:dyDescent="0.25">
      <c r="B172" s="7"/>
      <c r="C172" s="50"/>
      <c r="D172" s="49" t="str">
        <f t="shared" si="2"/>
        <v/>
      </c>
      <c r="E172" s="45"/>
    </row>
    <row r="173" spans="2:5" hidden="1" x14ac:dyDescent="0.25">
      <c r="B173" s="7"/>
      <c r="C173" s="50"/>
      <c r="D173" s="49" t="str">
        <f t="shared" si="2"/>
        <v/>
      </c>
      <c r="E173" s="45"/>
    </row>
    <row r="174" spans="2:5" hidden="1" x14ac:dyDescent="0.25">
      <c r="B174" s="7"/>
      <c r="C174" s="50"/>
      <c r="D174" s="49" t="str">
        <f t="shared" si="2"/>
        <v/>
      </c>
      <c r="E174" s="45"/>
    </row>
    <row r="175" spans="2:5" hidden="1" x14ac:dyDescent="0.25">
      <c r="B175" s="7"/>
      <c r="C175" s="50"/>
      <c r="D175" s="49" t="str">
        <f t="shared" si="2"/>
        <v/>
      </c>
      <c r="E175" s="45"/>
    </row>
    <row r="176" spans="2:5" hidden="1" x14ac:dyDescent="0.25">
      <c r="B176" s="7"/>
      <c r="C176" s="50"/>
      <c r="D176" s="49" t="str">
        <f t="shared" si="2"/>
        <v/>
      </c>
      <c r="E176" s="45"/>
    </row>
    <row r="177" spans="2:5" hidden="1" x14ac:dyDescent="0.25">
      <c r="B177" s="7"/>
      <c r="C177" s="50"/>
      <c r="D177" s="49" t="str">
        <f t="shared" si="2"/>
        <v/>
      </c>
      <c r="E177" s="45"/>
    </row>
    <row r="178" spans="2:5" hidden="1" x14ac:dyDescent="0.25">
      <c r="B178" s="7"/>
      <c r="C178" s="50"/>
      <c r="D178" s="49" t="str">
        <f t="shared" si="2"/>
        <v/>
      </c>
      <c r="E178" s="45"/>
    </row>
    <row r="179" spans="2:5" hidden="1" x14ac:dyDescent="0.25">
      <c r="B179" s="7"/>
      <c r="C179" s="50"/>
      <c r="D179" s="49" t="str">
        <f t="shared" si="2"/>
        <v/>
      </c>
      <c r="E179" s="45"/>
    </row>
    <row r="180" spans="2:5" hidden="1" x14ac:dyDescent="0.25">
      <c r="B180" s="7"/>
      <c r="C180" s="50"/>
      <c r="D180" s="49" t="str">
        <f t="shared" si="2"/>
        <v/>
      </c>
      <c r="E180" s="45"/>
    </row>
    <row r="181" spans="2:5" hidden="1" x14ac:dyDescent="0.25">
      <c r="B181" s="7"/>
      <c r="C181" s="50"/>
      <c r="D181" s="49" t="str">
        <f t="shared" si="2"/>
        <v/>
      </c>
      <c r="E181" s="45"/>
    </row>
    <row r="182" spans="2:5" hidden="1" x14ac:dyDescent="0.25">
      <c r="B182" s="7"/>
      <c r="C182" s="50"/>
      <c r="D182" s="49" t="str">
        <f t="shared" si="2"/>
        <v/>
      </c>
      <c r="E182" s="45"/>
    </row>
    <row r="183" spans="2:5" hidden="1" x14ac:dyDescent="0.25">
      <c r="B183" s="7"/>
      <c r="C183" s="50"/>
      <c r="D183" s="49" t="str">
        <f t="shared" si="2"/>
        <v/>
      </c>
      <c r="E183" s="45"/>
    </row>
    <row r="184" spans="2:5" hidden="1" x14ac:dyDescent="0.25">
      <c r="B184" s="7"/>
      <c r="C184" s="50"/>
      <c r="D184" s="49" t="str">
        <f t="shared" si="2"/>
        <v/>
      </c>
      <c r="E184" s="45"/>
    </row>
    <row r="185" spans="2:5" hidden="1" x14ac:dyDescent="0.25">
      <c r="B185" s="7"/>
      <c r="C185" s="50"/>
      <c r="D185" s="49" t="str">
        <f t="shared" si="2"/>
        <v/>
      </c>
      <c r="E185" s="45"/>
    </row>
    <row r="186" spans="2:5" hidden="1" x14ac:dyDescent="0.25">
      <c r="B186" s="7"/>
      <c r="C186" s="50"/>
      <c r="D186" s="49" t="str">
        <f t="shared" si="2"/>
        <v/>
      </c>
      <c r="E186" s="45"/>
    </row>
    <row r="187" spans="2:5" hidden="1" x14ac:dyDescent="0.25">
      <c r="B187" s="7"/>
      <c r="C187" s="50"/>
      <c r="D187" s="49" t="str">
        <f t="shared" si="2"/>
        <v/>
      </c>
      <c r="E187" s="45"/>
    </row>
    <row r="188" spans="2:5" hidden="1" x14ac:dyDescent="0.25">
      <c r="B188" s="7"/>
      <c r="C188" s="50"/>
      <c r="D188" s="49" t="str">
        <f t="shared" si="2"/>
        <v/>
      </c>
      <c r="E188" s="45"/>
    </row>
    <row r="189" spans="2:5" hidden="1" x14ac:dyDescent="0.25">
      <c r="B189" s="7"/>
      <c r="C189" s="50"/>
      <c r="D189" s="49" t="str">
        <f t="shared" si="2"/>
        <v/>
      </c>
      <c r="E189" s="45"/>
    </row>
    <row r="190" spans="2:5" hidden="1" x14ac:dyDescent="0.25">
      <c r="B190" s="7"/>
      <c r="C190" s="50"/>
      <c r="D190" s="49" t="str">
        <f t="shared" si="2"/>
        <v/>
      </c>
      <c r="E190" s="45"/>
    </row>
    <row r="191" spans="2:5" hidden="1" x14ac:dyDescent="0.25">
      <c r="B191" s="7"/>
      <c r="C191" s="50"/>
      <c r="D191" s="49" t="str">
        <f t="shared" si="2"/>
        <v/>
      </c>
      <c r="E191" s="45"/>
    </row>
    <row r="192" spans="2:5" hidden="1" x14ac:dyDescent="0.25">
      <c r="B192" s="7"/>
      <c r="C192" s="50"/>
      <c r="D192" s="49" t="str">
        <f t="shared" si="2"/>
        <v/>
      </c>
      <c r="E192" s="45"/>
    </row>
    <row r="193" spans="2:5" hidden="1" x14ac:dyDescent="0.25">
      <c r="B193" s="7"/>
      <c r="C193" s="50"/>
      <c r="D193" s="49" t="str">
        <f t="shared" si="2"/>
        <v/>
      </c>
      <c r="E193" s="45"/>
    </row>
    <row r="194" spans="2:5" hidden="1" x14ac:dyDescent="0.25">
      <c r="B194" s="7"/>
      <c r="C194" s="50"/>
      <c r="D194" s="49" t="str">
        <f t="shared" si="2"/>
        <v/>
      </c>
      <c r="E194" s="45"/>
    </row>
    <row r="195" spans="2:5" hidden="1" x14ac:dyDescent="0.25">
      <c r="B195" s="7"/>
      <c r="C195" s="50"/>
      <c r="D195" s="49" t="str">
        <f t="shared" si="2"/>
        <v/>
      </c>
      <c r="E195" s="45"/>
    </row>
    <row r="196" spans="2:5" hidden="1" x14ac:dyDescent="0.25">
      <c r="B196" s="7"/>
      <c r="C196" s="50"/>
      <c r="D196" s="49" t="str">
        <f t="shared" si="2"/>
        <v/>
      </c>
      <c r="E196" s="45"/>
    </row>
    <row r="197" spans="2:5" hidden="1" x14ac:dyDescent="0.25">
      <c r="B197" s="7"/>
      <c r="C197" s="50"/>
      <c r="D197" s="49" t="str">
        <f t="shared" si="2"/>
        <v/>
      </c>
      <c r="E197" s="45"/>
    </row>
    <row r="198" spans="2:5" hidden="1" x14ac:dyDescent="0.25">
      <c r="B198" s="7"/>
      <c r="C198" s="50"/>
      <c r="D198" s="49" t="str">
        <f t="shared" si="2"/>
        <v/>
      </c>
      <c r="E198" s="45"/>
    </row>
    <row r="199" spans="2:5" hidden="1" x14ac:dyDescent="0.25">
      <c r="B199" s="7"/>
      <c r="C199" s="50"/>
      <c r="D199" s="49" t="str">
        <f t="shared" ref="D199:D262" si="3">IF(ISNUMBER(C199),C199-rToday,"")</f>
        <v/>
      </c>
      <c r="E199" s="45"/>
    </row>
    <row r="200" spans="2:5" hidden="1" x14ac:dyDescent="0.25">
      <c r="B200" s="7"/>
      <c r="C200" s="50"/>
      <c r="D200" s="49" t="str">
        <f t="shared" si="3"/>
        <v/>
      </c>
      <c r="E200" s="45"/>
    </row>
    <row r="201" spans="2:5" hidden="1" x14ac:dyDescent="0.25">
      <c r="B201" s="7"/>
      <c r="C201" s="50"/>
      <c r="D201" s="49" t="str">
        <f t="shared" si="3"/>
        <v/>
      </c>
      <c r="E201" s="45"/>
    </row>
    <row r="202" spans="2:5" hidden="1" x14ac:dyDescent="0.25">
      <c r="B202" s="7"/>
      <c r="C202" s="50"/>
      <c r="D202" s="49" t="str">
        <f t="shared" si="3"/>
        <v/>
      </c>
      <c r="E202" s="45"/>
    </row>
    <row r="203" spans="2:5" hidden="1" x14ac:dyDescent="0.25">
      <c r="B203" s="7"/>
      <c r="C203" s="50"/>
      <c r="D203" s="49" t="str">
        <f t="shared" si="3"/>
        <v/>
      </c>
      <c r="E203" s="45"/>
    </row>
    <row r="204" spans="2:5" hidden="1" x14ac:dyDescent="0.25">
      <c r="B204" s="7"/>
      <c r="C204" s="50"/>
      <c r="D204" s="49" t="str">
        <f t="shared" si="3"/>
        <v/>
      </c>
      <c r="E204" s="45"/>
    </row>
    <row r="205" spans="2:5" hidden="1" x14ac:dyDescent="0.25">
      <c r="B205" s="7"/>
      <c r="C205" s="50"/>
      <c r="D205" s="49" t="str">
        <f t="shared" si="3"/>
        <v/>
      </c>
      <c r="E205" s="45"/>
    </row>
    <row r="206" spans="2:5" hidden="1" x14ac:dyDescent="0.25">
      <c r="B206" s="7"/>
      <c r="C206" s="50"/>
      <c r="D206" s="49" t="str">
        <f t="shared" si="3"/>
        <v/>
      </c>
      <c r="E206" s="45"/>
    </row>
    <row r="207" spans="2:5" hidden="1" x14ac:dyDescent="0.25">
      <c r="B207" s="7"/>
      <c r="C207" s="50"/>
      <c r="D207" s="49" t="str">
        <f t="shared" si="3"/>
        <v/>
      </c>
      <c r="E207" s="45"/>
    </row>
    <row r="208" spans="2:5" hidden="1" x14ac:dyDescent="0.25">
      <c r="B208" s="7"/>
      <c r="C208" s="50"/>
      <c r="D208" s="49" t="str">
        <f t="shared" si="3"/>
        <v/>
      </c>
      <c r="E208" s="45"/>
    </row>
    <row r="209" spans="2:5" hidden="1" x14ac:dyDescent="0.25">
      <c r="B209" s="7"/>
      <c r="C209" s="50"/>
      <c r="D209" s="49" t="str">
        <f t="shared" si="3"/>
        <v/>
      </c>
      <c r="E209" s="45"/>
    </row>
    <row r="210" spans="2:5" hidden="1" x14ac:dyDescent="0.25">
      <c r="B210" s="7"/>
      <c r="C210" s="50"/>
      <c r="D210" s="49" t="str">
        <f t="shared" si="3"/>
        <v/>
      </c>
      <c r="E210" s="45"/>
    </row>
    <row r="211" spans="2:5" hidden="1" x14ac:dyDescent="0.25">
      <c r="B211" s="7"/>
      <c r="C211" s="50"/>
      <c r="D211" s="49" t="str">
        <f t="shared" si="3"/>
        <v/>
      </c>
      <c r="E211" s="45"/>
    </row>
    <row r="212" spans="2:5" hidden="1" x14ac:dyDescent="0.25">
      <c r="B212" s="7"/>
      <c r="C212" s="50"/>
      <c r="D212" s="49" t="str">
        <f t="shared" si="3"/>
        <v/>
      </c>
      <c r="E212" s="45"/>
    </row>
    <row r="213" spans="2:5" hidden="1" x14ac:dyDescent="0.25">
      <c r="B213" s="7"/>
      <c r="C213" s="50"/>
      <c r="D213" s="49" t="str">
        <f t="shared" si="3"/>
        <v/>
      </c>
      <c r="E213" s="45"/>
    </row>
    <row r="214" spans="2:5" hidden="1" x14ac:dyDescent="0.25">
      <c r="B214" s="7"/>
      <c r="C214" s="50"/>
      <c r="D214" s="49" t="str">
        <f t="shared" si="3"/>
        <v/>
      </c>
      <c r="E214" s="45"/>
    </row>
    <row r="215" spans="2:5" hidden="1" x14ac:dyDescent="0.25">
      <c r="B215" s="7"/>
      <c r="C215" s="50"/>
      <c r="D215" s="49" t="str">
        <f t="shared" si="3"/>
        <v/>
      </c>
      <c r="E215" s="45"/>
    </row>
    <row r="216" spans="2:5" hidden="1" x14ac:dyDescent="0.25">
      <c r="B216" s="7"/>
      <c r="C216" s="50"/>
      <c r="D216" s="49" t="str">
        <f t="shared" si="3"/>
        <v/>
      </c>
      <c r="E216" s="45"/>
    </row>
    <row r="217" spans="2:5" hidden="1" x14ac:dyDescent="0.25">
      <c r="B217" s="7"/>
      <c r="C217" s="50"/>
      <c r="D217" s="49" t="str">
        <f t="shared" si="3"/>
        <v/>
      </c>
      <c r="E217" s="45"/>
    </row>
    <row r="218" spans="2:5" hidden="1" x14ac:dyDescent="0.25">
      <c r="B218" s="7"/>
      <c r="C218" s="50"/>
      <c r="D218" s="49" t="str">
        <f t="shared" si="3"/>
        <v/>
      </c>
      <c r="E218" s="45"/>
    </row>
    <row r="219" spans="2:5" hidden="1" x14ac:dyDescent="0.25">
      <c r="B219" s="7"/>
      <c r="C219" s="50"/>
      <c r="D219" s="49" t="str">
        <f t="shared" si="3"/>
        <v/>
      </c>
      <c r="E219" s="45"/>
    </row>
    <row r="220" spans="2:5" hidden="1" x14ac:dyDescent="0.25">
      <c r="B220" s="7"/>
      <c r="C220" s="50"/>
      <c r="D220" s="49" t="str">
        <f t="shared" si="3"/>
        <v/>
      </c>
      <c r="E220" s="45"/>
    </row>
    <row r="221" spans="2:5" hidden="1" x14ac:dyDescent="0.25">
      <c r="B221" s="7"/>
      <c r="C221" s="50"/>
      <c r="D221" s="49" t="str">
        <f t="shared" si="3"/>
        <v/>
      </c>
      <c r="E221" s="45"/>
    </row>
    <row r="222" spans="2:5" hidden="1" x14ac:dyDescent="0.25">
      <c r="B222" s="7"/>
      <c r="C222" s="50"/>
      <c r="D222" s="49" t="str">
        <f t="shared" si="3"/>
        <v/>
      </c>
      <c r="E222" s="45"/>
    </row>
    <row r="223" spans="2:5" hidden="1" x14ac:dyDescent="0.25">
      <c r="B223" s="7"/>
      <c r="C223" s="50"/>
      <c r="D223" s="49" t="str">
        <f t="shared" si="3"/>
        <v/>
      </c>
      <c r="E223" s="45"/>
    </row>
    <row r="224" spans="2:5" hidden="1" x14ac:dyDescent="0.25">
      <c r="B224" s="7"/>
      <c r="C224" s="50"/>
      <c r="D224" s="49" t="str">
        <f t="shared" si="3"/>
        <v/>
      </c>
      <c r="E224" s="45"/>
    </row>
    <row r="225" spans="2:5" hidden="1" x14ac:dyDescent="0.25">
      <c r="B225" s="7"/>
      <c r="C225" s="50"/>
      <c r="D225" s="49" t="str">
        <f t="shared" si="3"/>
        <v/>
      </c>
      <c r="E225" s="45"/>
    </row>
    <row r="226" spans="2:5" hidden="1" x14ac:dyDescent="0.25">
      <c r="B226" s="7"/>
      <c r="C226" s="50"/>
      <c r="D226" s="49" t="str">
        <f t="shared" si="3"/>
        <v/>
      </c>
      <c r="E226" s="45"/>
    </row>
    <row r="227" spans="2:5" hidden="1" x14ac:dyDescent="0.25">
      <c r="B227" s="7"/>
      <c r="C227" s="50"/>
      <c r="D227" s="49" t="str">
        <f t="shared" si="3"/>
        <v/>
      </c>
      <c r="E227" s="45"/>
    </row>
    <row r="228" spans="2:5" hidden="1" x14ac:dyDescent="0.25">
      <c r="B228" s="7"/>
      <c r="C228" s="50"/>
      <c r="D228" s="49" t="str">
        <f t="shared" si="3"/>
        <v/>
      </c>
      <c r="E228" s="45"/>
    </row>
    <row r="229" spans="2:5" hidden="1" x14ac:dyDescent="0.25">
      <c r="B229" s="7"/>
      <c r="C229" s="50"/>
      <c r="D229" s="49" t="str">
        <f t="shared" si="3"/>
        <v/>
      </c>
      <c r="E229" s="45"/>
    </row>
    <row r="230" spans="2:5" hidden="1" x14ac:dyDescent="0.25">
      <c r="B230" s="7"/>
      <c r="C230" s="50"/>
      <c r="D230" s="49" t="str">
        <f t="shared" si="3"/>
        <v/>
      </c>
      <c r="E230" s="45"/>
    </row>
    <row r="231" spans="2:5" hidden="1" x14ac:dyDescent="0.25">
      <c r="B231" s="7"/>
      <c r="C231" s="50"/>
      <c r="D231" s="49" t="str">
        <f t="shared" si="3"/>
        <v/>
      </c>
      <c r="E231" s="45"/>
    </row>
    <row r="232" spans="2:5" hidden="1" x14ac:dyDescent="0.25">
      <c r="B232" s="7"/>
      <c r="C232" s="50"/>
      <c r="D232" s="49" t="str">
        <f t="shared" si="3"/>
        <v/>
      </c>
      <c r="E232" s="45"/>
    </row>
    <row r="233" spans="2:5" hidden="1" x14ac:dyDescent="0.25">
      <c r="B233" s="7"/>
      <c r="C233" s="50"/>
      <c r="D233" s="49" t="str">
        <f t="shared" si="3"/>
        <v/>
      </c>
      <c r="E233" s="45"/>
    </row>
    <row r="234" spans="2:5" hidden="1" x14ac:dyDescent="0.25">
      <c r="B234" s="7"/>
      <c r="C234" s="50"/>
      <c r="D234" s="49" t="str">
        <f t="shared" si="3"/>
        <v/>
      </c>
      <c r="E234" s="45"/>
    </row>
    <row r="235" spans="2:5" hidden="1" x14ac:dyDescent="0.25">
      <c r="B235" s="7"/>
      <c r="C235" s="50"/>
      <c r="D235" s="49" t="str">
        <f t="shared" si="3"/>
        <v/>
      </c>
      <c r="E235" s="45"/>
    </row>
    <row r="236" spans="2:5" hidden="1" x14ac:dyDescent="0.25">
      <c r="B236" s="7"/>
      <c r="C236" s="50"/>
      <c r="D236" s="49" t="str">
        <f t="shared" si="3"/>
        <v/>
      </c>
      <c r="E236" s="45"/>
    </row>
    <row r="237" spans="2:5" hidden="1" x14ac:dyDescent="0.25">
      <c r="B237" s="7"/>
      <c r="C237" s="50"/>
      <c r="D237" s="49" t="str">
        <f t="shared" si="3"/>
        <v/>
      </c>
      <c r="E237" s="45"/>
    </row>
    <row r="238" spans="2:5" hidden="1" x14ac:dyDescent="0.25">
      <c r="B238" s="7"/>
      <c r="C238" s="50"/>
      <c r="D238" s="49" t="str">
        <f t="shared" si="3"/>
        <v/>
      </c>
      <c r="E238" s="45"/>
    </row>
    <row r="239" spans="2:5" hidden="1" x14ac:dyDescent="0.25">
      <c r="B239" s="7"/>
      <c r="C239" s="50"/>
      <c r="D239" s="49" t="str">
        <f t="shared" si="3"/>
        <v/>
      </c>
      <c r="E239" s="45"/>
    </row>
    <row r="240" spans="2:5" hidden="1" x14ac:dyDescent="0.25">
      <c r="B240" s="7"/>
      <c r="C240" s="50"/>
      <c r="D240" s="49" t="str">
        <f t="shared" si="3"/>
        <v/>
      </c>
      <c r="E240" s="45"/>
    </row>
    <row r="241" spans="2:5" hidden="1" x14ac:dyDescent="0.25">
      <c r="B241" s="7"/>
      <c r="C241" s="50"/>
      <c r="D241" s="49" t="str">
        <f t="shared" si="3"/>
        <v/>
      </c>
      <c r="E241" s="45"/>
    </row>
    <row r="242" spans="2:5" hidden="1" x14ac:dyDescent="0.25">
      <c r="B242" s="7"/>
      <c r="C242" s="50"/>
      <c r="D242" s="49" t="str">
        <f t="shared" si="3"/>
        <v/>
      </c>
      <c r="E242" s="45"/>
    </row>
    <row r="243" spans="2:5" hidden="1" x14ac:dyDescent="0.25">
      <c r="B243" s="7"/>
      <c r="C243" s="50"/>
      <c r="D243" s="49" t="str">
        <f t="shared" si="3"/>
        <v/>
      </c>
      <c r="E243" s="45"/>
    </row>
    <row r="244" spans="2:5" hidden="1" x14ac:dyDescent="0.25">
      <c r="B244" s="7"/>
      <c r="C244" s="50"/>
      <c r="D244" s="49" t="str">
        <f t="shared" si="3"/>
        <v/>
      </c>
      <c r="E244" s="45"/>
    </row>
    <row r="245" spans="2:5" hidden="1" x14ac:dyDescent="0.25">
      <c r="B245" s="7"/>
      <c r="C245" s="50"/>
      <c r="D245" s="49" t="str">
        <f t="shared" si="3"/>
        <v/>
      </c>
      <c r="E245" s="45"/>
    </row>
    <row r="246" spans="2:5" hidden="1" x14ac:dyDescent="0.25">
      <c r="B246" s="7"/>
      <c r="C246" s="50"/>
      <c r="D246" s="49" t="str">
        <f t="shared" si="3"/>
        <v/>
      </c>
      <c r="E246" s="45"/>
    </row>
    <row r="247" spans="2:5" hidden="1" x14ac:dyDescent="0.25">
      <c r="B247" s="7"/>
      <c r="C247" s="50"/>
      <c r="D247" s="49" t="str">
        <f t="shared" si="3"/>
        <v/>
      </c>
      <c r="E247" s="45"/>
    </row>
    <row r="248" spans="2:5" hidden="1" x14ac:dyDescent="0.25">
      <c r="B248" s="7"/>
      <c r="C248" s="50"/>
      <c r="D248" s="49" t="str">
        <f t="shared" si="3"/>
        <v/>
      </c>
      <c r="E248" s="45"/>
    </row>
    <row r="249" spans="2:5" hidden="1" x14ac:dyDescent="0.25">
      <c r="B249" s="7"/>
      <c r="C249" s="50"/>
      <c r="D249" s="49" t="str">
        <f t="shared" si="3"/>
        <v/>
      </c>
      <c r="E249" s="45"/>
    </row>
    <row r="250" spans="2:5" hidden="1" x14ac:dyDescent="0.25">
      <c r="B250" s="7"/>
      <c r="C250" s="50"/>
      <c r="D250" s="49" t="str">
        <f t="shared" si="3"/>
        <v/>
      </c>
      <c r="E250" s="45"/>
    </row>
    <row r="251" spans="2:5" hidden="1" x14ac:dyDescent="0.25">
      <c r="B251" s="7"/>
      <c r="C251" s="50"/>
      <c r="D251" s="49" t="str">
        <f t="shared" si="3"/>
        <v/>
      </c>
      <c r="E251" s="45"/>
    </row>
    <row r="252" spans="2:5" hidden="1" x14ac:dyDescent="0.25">
      <c r="B252" s="7"/>
      <c r="C252" s="50"/>
      <c r="D252" s="49" t="str">
        <f t="shared" si="3"/>
        <v/>
      </c>
      <c r="E252" s="45"/>
    </row>
    <row r="253" spans="2:5" hidden="1" x14ac:dyDescent="0.25">
      <c r="B253" s="7"/>
      <c r="C253" s="50"/>
      <c r="D253" s="49" t="str">
        <f t="shared" si="3"/>
        <v/>
      </c>
      <c r="E253" s="45"/>
    </row>
    <row r="254" spans="2:5" hidden="1" x14ac:dyDescent="0.25">
      <c r="B254" s="7"/>
      <c r="C254" s="50"/>
      <c r="D254" s="49" t="str">
        <f t="shared" si="3"/>
        <v/>
      </c>
      <c r="E254" s="45"/>
    </row>
    <row r="255" spans="2:5" hidden="1" x14ac:dyDescent="0.25">
      <c r="B255" s="7"/>
      <c r="C255" s="50"/>
      <c r="D255" s="49" t="str">
        <f t="shared" si="3"/>
        <v/>
      </c>
      <c r="E255" s="45"/>
    </row>
    <row r="256" spans="2:5" hidden="1" x14ac:dyDescent="0.25">
      <c r="B256" s="7"/>
      <c r="C256" s="50"/>
      <c r="D256" s="49" t="str">
        <f t="shared" si="3"/>
        <v/>
      </c>
      <c r="E256" s="45"/>
    </row>
    <row r="257" spans="2:5" hidden="1" x14ac:dyDescent="0.25">
      <c r="B257" s="7"/>
      <c r="C257" s="50"/>
      <c r="D257" s="49" t="str">
        <f t="shared" si="3"/>
        <v/>
      </c>
      <c r="E257" s="45"/>
    </row>
    <row r="258" spans="2:5" hidden="1" x14ac:dyDescent="0.25">
      <c r="B258" s="7"/>
      <c r="C258" s="50"/>
      <c r="D258" s="49" t="str">
        <f t="shared" si="3"/>
        <v/>
      </c>
      <c r="E258" s="45"/>
    </row>
    <row r="259" spans="2:5" hidden="1" x14ac:dyDescent="0.25">
      <c r="B259" s="7"/>
      <c r="C259" s="50"/>
      <c r="D259" s="49" t="str">
        <f t="shared" si="3"/>
        <v/>
      </c>
      <c r="E259" s="45"/>
    </row>
    <row r="260" spans="2:5" hidden="1" x14ac:dyDescent="0.25">
      <c r="B260" s="7"/>
      <c r="C260" s="50"/>
      <c r="D260" s="49" t="str">
        <f t="shared" si="3"/>
        <v/>
      </c>
      <c r="E260" s="45"/>
    </row>
    <row r="261" spans="2:5" hidden="1" x14ac:dyDescent="0.25">
      <c r="B261" s="7"/>
      <c r="C261" s="50"/>
      <c r="D261" s="49" t="str">
        <f t="shared" si="3"/>
        <v/>
      </c>
      <c r="E261" s="45"/>
    </row>
    <row r="262" spans="2:5" hidden="1" x14ac:dyDescent="0.25">
      <c r="B262" s="7"/>
      <c r="C262" s="50"/>
      <c r="D262" s="49" t="str">
        <f t="shared" si="3"/>
        <v/>
      </c>
      <c r="E262" s="45"/>
    </row>
    <row r="263" spans="2:5" hidden="1" x14ac:dyDescent="0.25">
      <c r="B263" s="7"/>
      <c r="C263" s="50"/>
      <c r="D263" s="49" t="str">
        <f t="shared" ref="D263:D326" si="4">IF(ISNUMBER(C263),C263-rToday,"")</f>
        <v/>
      </c>
      <c r="E263" s="45"/>
    </row>
    <row r="264" spans="2:5" hidden="1" x14ac:dyDescent="0.25">
      <c r="B264" s="7"/>
      <c r="C264" s="50"/>
      <c r="D264" s="49" t="str">
        <f t="shared" si="4"/>
        <v/>
      </c>
      <c r="E264" s="45"/>
    </row>
    <row r="265" spans="2:5" hidden="1" x14ac:dyDescent="0.25">
      <c r="B265" s="7"/>
      <c r="C265" s="50"/>
      <c r="D265" s="49" t="str">
        <f t="shared" si="4"/>
        <v/>
      </c>
      <c r="E265" s="45"/>
    </row>
    <row r="266" spans="2:5" hidden="1" x14ac:dyDescent="0.25">
      <c r="B266" s="7"/>
      <c r="C266" s="50"/>
      <c r="D266" s="49" t="str">
        <f t="shared" si="4"/>
        <v/>
      </c>
      <c r="E266" s="45"/>
    </row>
    <row r="267" spans="2:5" hidden="1" x14ac:dyDescent="0.25">
      <c r="B267" s="7"/>
      <c r="C267" s="50"/>
      <c r="D267" s="49" t="str">
        <f t="shared" si="4"/>
        <v/>
      </c>
      <c r="E267" s="45"/>
    </row>
    <row r="268" spans="2:5" hidden="1" x14ac:dyDescent="0.25">
      <c r="B268" s="7"/>
      <c r="C268" s="50"/>
      <c r="D268" s="49" t="str">
        <f t="shared" si="4"/>
        <v/>
      </c>
      <c r="E268" s="45"/>
    </row>
    <row r="269" spans="2:5" hidden="1" x14ac:dyDescent="0.25">
      <c r="B269" s="7"/>
      <c r="C269" s="50"/>
      <c r="D269" s="49" t="str">
        <f t="shared" si="4"/>
        <v/>
      </c>
      <c r="E269" s="45"/>
    </row>
    <row r="270" spans="2:5" hidden="1" x14ac:dyDescent="0.25">
      <c r="B270" s="7"/>
      <c r="C270" s="50"/>
      <c r="D270" s="49" t="str">
        <f t="shared" si="4"/>
        <v/>
      </c>
      <c r="E270" s="45"/>
    </row>
    <row r="271" spans="2:5" hidden="1" x14ac:dyDescent="0.25">
      <c r="B271" s="7"/>
      <c r="C271" s="50"/>
      <c r="D271" s="49" t="str">
        <f t="shared" si="4"/>
        <v/>
      </c>
      <c r="E271" s="45"/>
    </row>
    <row r="272" spans="2:5" hidden="1" x14ac:dyDescent="0.25">
      <c r="B272" s="7"/>
      <c r="C272" s="50"/>
      <c r="D272" s="49" t="str">
        <f t="shared" si="4"/>
        <v/>
      </c>
      <c r="E272" s="45"/>
    </row>
    <row r="273" spans="2:5" hidden="1" x14ac:dyDescent="0.25">
      <c r="B273" s="7"/>
      <c r="C273" s="50"/>
      <c r="D273" s="49" t="str">
        <f t="shared" si="4"/>
        <v/>
      </c>
      <c r="E273" s="45"/>
    </row>
    <row r="274" spans="2:5" hidden="1" x14ac:dyDescent="0.25">
      <c r="B274" s="7"/>
      <c r="C274" s="50"/>
      <c r="D274" s="49" t="str">
        <f t="shared" si="4"/>
        <v/>
      </c>
      <c r="E274" s="45"/>
    </row>
    <row r="275" spans="2:5" hidden="1" x14ac:dyDescent="0.25">
      <c r="B275" s="7"/>
      <c r="C275" s="50"/>
      <c r="D275" s="49" t="str">
        <f t="shared" si="4"/>
        <v/>
      </c>
      <c r="E275" s="45"/>
    </row>
    <row r="276" spans="2:5" hidden="1" x14ac:dyDescent="0.25">
      <c r="B276" s="7"/>
      <c r="C276" s="50"/>
      <c r="D276" s="49" t="str">
        <f t="shared" si="4"/>
        <v/>
      </c>
      <c r="E276" s="45"/>
    </row>
    <row r="277" spans="2:5" hidden="1" x14ac:dyDescent="0.25">
      <c r="B277" s="7"/>
      <c r="C277" s="50"/>
      <c r="D277" s="49" t="str">
        <f t="shared" si="4"/>
        <v/>
      </c>
      <c r="E277" s="45"/>
    </row>
    <row r="278" spans="2:5" hidden="1" x14ac:dyDescent="0.25">
      <c r="B278" s="7"/>
      <c r="C278" s="50"/>
      <c r="D278" s="49" t="str">
        <f t="shared" si="4"/>
        <v/>
      </c>
      <c r="E278" s="45"/>
    </row>
    <row r="279" spans="2:5" hidden="1" x14ac:dyDescent="0.25">
      <c r="B279" s="7"/>
      <c r="C279" s="50"/>
      <c r="D279" s="49" t="str">
        <f t="shared" si="4"/>
        <v/>
      </c>
      <c r="E279" s="45"/>
    </row>
    <row r="280" spans="2:5" hidden="1" x14ac:dyDescent="0.25">
      <c r="B280" s="7"/>
      <c r="C280" s="50"/>
      <c r="D280" s="49" t="str">
        <f t="shared" si="4"/>
        <v/>
      </c>
      <c r="E280" s="45"/>
    </row>
    <row r="281" spans="2:5" hidden="1" x14ac:dyDescent="0.25">
      <c r="B281" s="7"/>
      <c r="C281" s="50"/>
      <c r="D281" s="49" t="str">
        <f t="shared" si="4"/>
        <v/>
      </c>
      <c r="E281" s="45"/>
    </row>
    <row r="282" spans="2:5" hidden="1" x14ac:dyDescent="0.25">
      <c r="B282" s="7"/>
      <c r="C282" s="50"/>
      <c r="D282" s="49" t="str">
        <f t="shared" si="4"/>
        <v/>
      </c>
      <c r="E282" s="45"/>
    </row>
    <row r="283" spans="2:5" hidden="1" x14ac:dyDescent="0.25">
      <c r="B283" s="7"/>
      <c r="C283" s="50"/>
      <c r="D283" s="49" t="str">
        <f t="shared" si="4"/>
        <v/>
      </c>
      <c r="E283" s="45"/>
    </row>
    <row r="284" spans="2:5" hidden="1" x14ac:dyDescent="0.25">
      <c r="B284" s="7"/>
      <c r="C284" s="50"/>
      <c r="D284" s="49" t="str">
        <f t="shared" si="4"/>
        <v/>
      </c>
      <c r="E284" s="45"/>
    </row>
    <row r="285" spans="2:5" hidden="1" x14ac:dyDescent="0.25">
      <c r="B285" s="7"/>
      <c r="C285" s="50"/>
      <c r="D285" s="49" t="str">
        <f t="shared" si="4"/>
        <v/>
      </c>
      <c r="E285" s="45"/>
    </row>
    <row r="286" spans="2:5" hidden="1" x14ac:dyDescent="0.25">
      <c r="B286" s="7"/>
      <c r="C286" s="50"/>
      <c r="D286" s="49" t="str">
        <f t="shared" si="4"/>
        <v/>
      </c>
      <c r="E286" s="45"/>
    </row>
    <row r="287" spans="2:5" hidden="1" x14ac:dyDescent="0.25">
      <c r="B287" s="7"/>
      <c r="C287" s="50"/>
      <c r="D287" s="49" t="str">
        <f t="shared" si="4"/>
        <v/>
      </c>
      <c r="E287" s="45"/>
    </row>
    <row r="288" spans="2:5" hidden="1" x14ac:dyDescent="0.25">
      <c r="B288" s="7"/>
      <c r="C288" s="50"/>
      <c r="D288" s="49" t="str">
        <f t="shared" si="4"/>
        <v/>
      </c>
      <c r="E288" s="45"/>
    </row>
    <row r="289" spans="2:5" hidden="1" x14ac:dyDescent="0.25">
      <c r="B289" s="7"/>
      <c r="C289" s="50"/>
      <c r="D289" s="49" t="str">
        <f t="shared" si="4"/>
        <v/>
      </c>
      <c r="E289" s="45"/>
    </row>
    <row r="290" spans="2:5" hidden="1" x14ac:dyDescent="0.25">
      <c r="B290" s="7"/>
      <c r="C290" s="50"/>
      <c r="D290" s="49" t="str">
        <f t="shared" si="4"/>
        <v/>
      </c>
      <c r="E290" s="45"/>
    </row>
    <row r="291" spans="2:5" hidden="1" x14ac:dyDescent="0.25">
      <c r="B291" s="7"/>
      <c r="C291" s="50"/>
      <c r="D291" s="49" t="str">
        <f t="shared" si="4"/>
        <v/>
      </c>
      <c r="E291" s="45"/>
    </row>
    <row r="292" spans="2:5" hidden="1" x14ac:dyDescent="0.25">
      <c r="B292" s="7"/>
      <c r="C292" s="50"/>
      <c r="D292" s="49" t="str">
        <f t="shared" si="4"/>
        <v/>
      </c>
      <c r="E292" s="45"/>
    </row>
    <row r="293" spans="2:5" hidden="1" x14ac:dyDescent="0.25">
      <c r="B293" s="7"/>
      <c r="C293" s="50"/>
      <c r="D293" s="49" t="str">
        <f t="shared" si="4"/>
        <v/>
      </c>
      <c r="E293" s="45"/>
    </row>
    <row r="294" spans="2:5" hidden="1" x14ac:dyDescent="0.25">
      <c r="B294" s="7"/>
      <c r="C294" s="50"/>
      <c r="D294" s="49" t="str">
        <f t="shared" si="4"/>
        <v/>
      </c>
      <c r="E294" s="45"/>
    </row>
    <row r="295" spans="2:5" hidden="1" x14ac:dyDescent="0.25">
      <c r="B295" s="7"/>
      <c r="C295" s="50"/>
      <c r="D295" s="49" t="str">
        <f t="shared" si="4"/>
        <v/>
      </c>
      <c r="E295" s="45"/>
    </row>
    <row r="296" spans="2:5" hidden="1" x14ac:dyDescent="0.25">
      <c r="B296" s="7"/>
      <c r="C296" s="50"/>
      <c r="D296" s="49" t="str">
        <f t="shared" si="4"/>
        <v/>
      </c>
      <c r="E296" s="45"/>
    </row>
    <row r="297" spans="2:5" hidden="1" x14ac:dyDescent="0.25">
      <c r="B297" s="7"/>
      <c r="C297" s="50"/>
      <c r="D297" s="49" t="str">
        <f t="shared" si="4"/>
        <v/>
      </c>
      <c r="E297" s="45"/>
    </row>
    <row r="298" spans="2:5" hidden="1" x14ac:dyDescent="0.25">
      <c r="B298" s="7"/>
      <c r="C298" s="50"/>
      <c r="D298" s="49" t="str">
        <f t="shared" si="4"/>
        <v/>
      </c>
      <c r="E298" s="45"/>
    </row>
    <row r="299" spans="2:5" hidden="1" x14ac:dyDescent="0.25">
      <c r="B299" s="7"/>
      <c r="C299" s="50"/>
      <c r="D299" s="49" t="str">
        <f t="shared" si="4"/>
        <v/>
      </c>
      <c r="E299" s="45"/>
    </row>
    <row r="300" spans="2:5" hidden="1" x14ac:dyDescent="0.25">
      <c r="B300" s="7"/>
      <c r="C300" s="50"/>
      <c r="D300" s="49" t="str">
        <f t="shared" si="4"/>
        <v/>
      </c>
      <c r="E300" s="45"/>
    </row>
    <row r="301" spans="2:5" hidden="1" x14ac:dyDescent="0.25">
      <c r="B301" s="7"/>
      <c r="C301" s="50"/>
      <c r="D301" s="49" t="str">
        <f t="shared" si="4"/>
        <v/>
      </c>
      <c r="E301" s="45"/>
    </row>
    <row r="302" spans="2:5" hidden="1" x14ac:dyDescent="0.25">
      <c r="B302" s="7"/>
      <c r="C302" s="50"/>
      <c r="D302" s="49" t="str">
        <f t="shared" si="4"/>
        <v/>
      </c>
      <c r="E302" s="45"/>
    </row>
    <row r="303" spans="2:5" hidden="1" x14ac:dyDescent="0.25">
      <c r="B303" s="7"/>
      <c r="C303" s="50"/>
      <c r="D303" s="49" t="str">
        <f t="shared" si="4"/>
        <v/>
      </c>
      <c r="E303" s="45"/>
    </row>
    <row r="304" spans="2:5" hidden="1" x14ac:dyDescent="0.25">
      <c r="B304" s="7"/>
      <c r="C304" s="50"/>
      <c r="D304" s="49" t="str">
        <f t="shared" si="4"/>
        <v/>
      </c>
      <c r="E304" s="45"/>
    </row>
    <row r="305" spans="2:5" hidden="1" x14ac:dyDescent="0.25">
      <c r="B305" s="7"/>
      <c r="C305" s="50"/>
      <c r="D305" s="49" t="str">
        <f t="shared" si="4"/>
        <v/>
      </c>
      <c r="E305" s="45"/>
    </row>
    <row r="306" spans="2:5" hidden="1" x14ac:dyDescent="0.25">
      <c r="B306" s="7"/>
      <c r="C306" s="50"/>
      <c r="D306" s="49" t="str">
        <f t="shared" si="4"/>
        <v/>
      </c>
      <c r="E306" s="45"/>
    </row>
    <row r="307" spans="2:5" hidden="1" x14ac:dyDescent="0.25">
      <c r="B307" s="7"/>
      <c r="C307" s="50"/>
      <c r="D307" s="49" t="str">
        <f t="shared" si="4"/>
        <v/>
      </c>
      <c r="E307" s="45"/>
    </row>
    <row r="308" spans="2:5" hidden="1" x14ac:dyDescent="0.25">
      <c r="B308" s="7"/>
      <c r="C308" s="50"/>
      <c r="D308" s="49" t="str">
        <f t="shared" si="4"/>
        <v/>
      </c>
      <c r="E308" s="45"/>
    </row>
    <row r="309" spans="2:5" hidden="1" x14ac:dyDescent="0.25">
      <c r="B309" s="7"/>
      <c r="C309" s="50"/>
      <c r="D309" s="49" t="str">
        <f t="shared" si="4"/>
        <v/>
      </c>
      <c r="E309" s="45"/>
    </row>
    <row r="310" spans="2:5" hidden="1" x14ac:dyDescent="0.25">
      <c r="B310" s="7"/>
      <c r="C310" s="50"/>
      <c r="D310" s="49" t="str">
        <f t="shared" si="4"/>
        <v/>
      </c>
      <c r="E310" s="45"/>
    </row>
    <row r="311" spans="2:5" hidden="1" x14ac:dyDescent="0.25">
      <c r="B311" s="7"/>
      <c r="C311" s="50"/>
      <c r="D311" s="49" t="str">
        <f t="shared" si="4"/>
        <v/>
      </c>
      <c r="E311" s="45"/>
    </row>
    <row r="312" spans="2:5" hidden="1" x14ac:dyDescent="0.25">
      <c r="B312" s="7"/>
      <c r="C312" s="50"/>
      <c r="D312" s="49" t="str">
        <f t="shared" si="4"/>
        <v/>
      </c>
      <c r="E312" s="45"/>
    </row>
    <row r="313" spans="2:5" hidden="1" x14ac:dyDescent="0.25">
      <c r="B313" s="7"/>
      <c r="C313" s="50"/>
      <c r="D313" s="49" t="str">
        <f t="shared" si="4"/>
        <v/>
      </c>
      <c r="E313" s="45"/>
    </row>
    <row r="314" spans="2:5" hidden="1" x14ac:dyDescent="0.25">
      <c r="B314" s="7"/>
      <c r="C314" s="50"/>
      <c r="D314" s="49" t="str">
        <f t="shared" si="4"/>
        <v/>
      </c>
      <c r="E314" s="45"/>
    </row>
    <row r="315" spans="2:5" hidden="1" x14ac:dyDescent="0.25">
      <c r="B315" s="7"/>
      <c r="C315" s="50"/>
      <c r="D315" s="49" t="str">
        <f t="shared" si="4"/>
        <v/>
      </c>
      <c r="E315" s="45"/>
    </row>
    <row r="316" spans="2:5" hidden="1" x14ac:dyDescent="0.25">
      <c r="B316" s="7"/>
      <c r="C316" s="50"/>
      <c r="D316" s="49" t="str">
        <f t="shared" si="4"/>
        <v/>
      </c>
      <c r="E316" s="45"/>
    </row>
    <row r="317" spans="2:5" hidden="1" x14ac:dyDescent="0.25">
      <c r="B317" s="7"/>
      <c r="C317" s="50"/>
      <c r="D317" s="49" t="str">
        <f t="shared" si="4"/>
        <v/>
      </c>
      <c r="E317" s="45"/>
    </row>
    <row r="318" spans="2:5" hidden="1" x14ac:dyDescent="0.25">
      <c r="B318" s="7"/>
      <c r="C318" s="50"/>
      <c r="D318" s="49" t="str">
        <f t="shared" si="4"/>
        <v/>
      </c>
      <c r="E318" s="45"/>
    </row>
    <row r="319" spans="2:5" hidden="1" x14ac:dyDescent="0.25">
      <c r="B319" s="7"/>
      <c r="C319" s="50"/>
      <c r="D319" s="49" t="str">
        <f t="shared" si="4"/>
        <v/>
      </c>
      <c r="E319" s="45"/>
    </row>
    <row r="320" spans="2:5" hidden="1" x14ac:dyDescent="0.25">
      <c r="B320" s="7"/>
      <c r="C320" s="50"/>
      <c r="D320" s="49" t="str">
        <f t="shared" si="4"/>
        <v/>
      </c>
      <c r="E320" s="45"/>
    </row>
    <row r="321" spans="2:5" hidden="1" x14ac:dyDescent="0.25">
      <c r="B321" s="7"/>
      <c r="C321" s="50"/>
      <c r="D321" s="49" t="str">
        <f t="shared" si="4"/>
        <v/>
      </c>
      <c r="E321" s="45"/>
    </row>
    <row r="322" spans="2:5" hidden="1" x14ac:dyDescent="0.25">
      <c r="B322" s="7"/>
      <c r="C322" s="50"/>
      <c r="D322" s="49" t="str">
        <f t="shared" si="4"/>
        <v/>
      </c>
      <c r="E322" s="45"/>
    </row>
    <row r="323" spans="2:5" hidden="1" x14ac:dyDescent="0.25">
      <c r="B323" s="7"/>
      <c r="C323" s="50"/>
      <c r="D323" s="49" t="str">
        <f t="shared" si="4"/>
        <v/>
      </c>
      <c r="E323" s="45"/>
    </row>
    <row r="324" spans="2:5" hidden="1" x14ac:dyDescent="0.25">
      <c r="B324" s="7"/>
      <c r="C324" s="50"/>
      <c r="D324" s="49" t="str">
        <f t="shared" si="4"/>
        <v/>
      </c>
      <c r="E324" s="45"/>
    </row>
    <row r="325" spans="2:5" hidden="1" x14ac:dyDescent="0.25">
      <c r="B325" s="7"/>
      <c r="C325" s="50"/>
      <c r="D325" s="49" t="str">
        <f t="shared" si="4"/>
        <v/>
      </c>
      <c r="E325" s="45"/>
    </row>
    <row r="326" spans="2:5" hidden="1" x14ac:dyDescent="0.25">
      <c r="B326" s="7"/>
      <c r="C326" s="50"/>
      <c r="D326" s="49" t="str">
        <f t="shared" si="4"/>
        <v/>
      </c>
      <c r="E326" s="45"/>
    </row>
    <row r="327" spans="2:5" hidden="1" x14ac:dyDescent="0.25">
      <c r="B327" s="7"/>
      <c r="C327" s="50"/>
      <c r="D327" s="49" t="str">
        <f t="shared" ref="D327:D390" si="5">IF(ISNUMBER(C327),C327-rToday,"")</f>
        <v/>
      </c>
      <c r="E327" s="45"/>
    </row>
    <row r="328" spans="2:5" hidden="1" x14ac:dyDescent="0.25">
      <c r="B328" s="7"/>
      <c r="C328" s="50"/>
      <c r="D328" s="49" t="str">
        <f t="shared" si="5"/>
        <v/>
      </c>
      <c r="E328" s="45"/>
    </row>
    <row r="329" spans="2:5" hidden="1" x14ac:dyDescent="0.25">
      <c r="B329" s="7"/>
      <c r="C329" s="50"/>
      <c r="D329" s="49" t="str">
        <f t="shared" si="5"/>
        <v/>
      </c>
      <c r="E329" s="45"/>
    </row>
    <row r="330" spans="2:5" hidden="1" x14ac:dyDescent="0.25">
      <c r="B330" s="7"/>
      <c r="C330" s="50"/>
      <c r="D330" s="49" t="str">
        <f t="shared" si="5"/>
        <v/>
      </c>
      <c r="E330" s="45"/>
    </row>
    <row r="331" spans="2:5" hidden="1" x14ac:dyDescent="0.25">
      <c r="B331" s="7"/>
      <c r="C331" s="50"/>
      <c r="D331" s="49" t="str">
        <f t="shared" si="5"/>
        <v/>
      </c>
      <c r="E331" s="45"/>
    </row>
    <row r="332" spans="2:5" hidden="1" x14ac:dyDescent="0.25">
      <c r="B332" s="7"/>
      <c r="C332" s="50"/>
      <c r="D332" s="49" t="str">
        <f t="shared" si="5"/>
        <v/>
      </c>
      <c r="E332" s="45"/>
    </row>
    <row r="333" spans="2:5" hidden="1" x14ac:dyDescent="0.25">
      <c r="B333" s="7"/>
      <c r="C333" s="50"/>
      <c r="D333" s="49" t="str">
        <f t="shared" si="5"/>
        <v/>
      </c>
      <c r="E333" s="45"/>
    </row>
    <row r="334" spans="2:5" hidden="1" x14ac:dyDescent="0.25">
      <c r="B334" s="7"/>
      <c r="C334" s="50"/>
      <c r="D334" s="49" t="str">
        <f t="shared" si="5"/>
        <v/>
      </c>
      <c r="E334" s="45"/>
    </row>
    <row r="335" spans="2:5" hidden="1" x14ac:dyDescent="0.25">
      <c r="B335" s="7"/>
      <c r="C335" s="50"/>
      <c r="D335" s="49" t="str">
        <f t="shared" si="5"/>
        <v/>
      </c>
      <c r="E335" s="45"/>
    </row>
    <row r="336" spans="2:5" hidden="1" x14ac:dyDescent="0.25">
      <c r="B336" s="7"/>
      <c r="C336" s="50"/>
      <c r="D336" s="49" t="str">
        <f t="shared" si="5"/>
        <v/>
      </c>
      <c r="E336" s="45"/>
    </row>
    <row r="337" spans="2:5" hidden="1" x14ac:dyDescent="0.25">
      <c r="B337" s="7"/>
      <c r="C337" s="50"/>
      <c r="D337" s="49" t="str">
        <f t="shared" si="5"/>
        <v/>
      </c>
      <c r="E337" s="45"/>
    </row>
    <row r="338" spans="2:5" hidden="1" x14ac:dyDescent="0.25">
      <c r="B338" s="7"/>
      <c r="C338" s="50"/>
      <c r="D338" s="49" t="str">
        <f t="shared" si="5"/>
        <v/>
      </c>
      <c r="E338" s="45"/>
    </row>
    <row r="339" spans="2:5" hidden="1" x14ac:dyDescent="0.25">
      <c r="B339" s="7"/>
      <c r="C339" s="50"/>
      <c r="D339" s="49" t="str">
        <f t="shared" si="5"/>
        <v/>
      </c>
      <c r="E339" s="45"/>
    </row>
    <row r="340" spans="2:5" hidden="1" x14ac:dyDescent="0.25">
      <c r="B340" s="7"/>
      <c r="C340" s="50"/>
      <c r="D340" s="49" t="str">
        <f t="shared" si="5"/>
        <v/>
      </c>
      <c r="E340" s="45"/>
    </row>
    <row r="341" spans="2:5" hidden="1" x14ac:dyDescent="0.25">
      <c r="B341" s="7"/>
      <c r="C341" s="50"/>
      <c r="D341" s="49" t="str">
        <f t="shared" si="5"/>
        <v/>
      </c>
      <c r="E341" s="45"/>
    </row>
    <row r="342" spans="2:5" hidden="1" x14ac:dyDescent="0.25">
      <c r="B342" s="7"/>
      <c r="C342" s="50"/>
      <c r="D342" s="49" t="str">
        <f t="shared" si="5"/>
        <v/>
      </c>
      <c r="E342" s="45"/>
    </row>
    <row r="343" spans="2:5" hidden="1" x14ac:dyDescent="0.25">
      <c r="B343" s="7"/>
      <c r="C343" s="50"/>
      <c r="D343" s="49" t="str">
        <f t="shared" si="5"/>
        <v/>
      </c>
      <c r="E343" s="45"/>
    </row>
    <row r="344" spans="2:5" hidden="1" x14ac:dyDescent="0.25">
      <c r="B344" s="7"/>
      <c r="C344" s="50"/>
      <c r="D344" s="49" t="str">
        <f t="shared" si="5"/>
        <v/>
      </c>
      <c r="E344" s="45"/>
    </row>
    <row r="345" spans="2:5" hidden="1" x14ac:dyDescent="0.25">
      <c r="B345" s="7"/>
      <c r="C345" s="50"/>
      <c r="D345" s="49" t="str">
        <f t="shared" si="5"/>
        <v/>
      </c>
      <c r="E345" s="45"/>
    </row>
    <row r="346" spans="2:5" hidden="1" x14ac:dyDescent="0.25">
      <c r="B346" s="7"/>
      <c r="C346" s="50"/>
      <c r="D346" s="49" t="str">
        <f t="shared" si="5"/>
        <v/>
      </c>
      <c r="E346" s="45"/>
    </row>
    <row r="347" spans="2:5" hidden="1" x14ac:dyDescent="0.25">
      <c r="B347" s="7"/>
      <c r="C347" s="50"/>
      <c r="D347" s="49" t="str">
        <f t="shared" si="5"/>
        <v/>
      </c>
      <c r="E347" s="45"/>
    </row>
    <row r="348" spans="2:5" hidden="1" x14ac:dyDescent="0.25">
      <c r="B348" s="7"/>
      <c r="C348" s="50"/>
      <c r="D348" s="49" t="str">
        <f t="shared" si="5"/>
        <v/>
      </c>
      <c r="E348" s="45"/>
    </row>
    <row r="349" spans="2:5" hidden="1" x14ac:dyDescent="0.25">
      <c r="B349" s="7"/>
      <c r="C349" s="50"/>
      <c r="D349" s="49" t="str">
        <f t="shared" si="5"/>
        <v/>
      </c>
      <c r="E349" s="45"/>
    </row>
    <row r="350" spans="2:5" hidden="1" x14ac:dyDescent="0.25">
      <c r="B350" s="7"/>
      <c r="C350" s="50"/>
      <c r="D350" s="49" t="str">
        <f t="shared" si="5"/>
        <v/>
      </c>
      <c r="E350" s="45"/>
    </row>
    <row r="351" spans="2:5" hidden="1" x14ac:dyDescent="0.25">
      <c r="B351" s="7"/>
      <c r="C351" s="50"/>
      <c r="D351" s="49" t="str">
        <f t="shared" si="5"/>
        <v/>
      </c>
      <c r="E351" s="45"/>
    </row>
    <row r="352" spans="2:5" hidden="1" x14ac:dyDescent="0.25">
      <c r="B352" s="7"/>
      <c r="C352" s="50"/>
      <c r="D352" s="49" t="str">
        <f t="shared" si="5"/>
        <v/>
      </c>
      <c r="E352" s="45"/>
    </row>
    <row r="353" spans="2:5" hidden="1" x14ac:dyDescent="0.25">
      <c r="B353" s="7"/>
      <c r="C353" s="50"/>
      <c r="D353" s="49" t="str">
        <f t="shared" si="5"/>
        <v/>
      </c>
      <c r="E353" s="45"/>
    </row>
    <row r="354" spans="2:5" hidden="1" x14ac:dyDescent="0.25">
      <c r="B354" s="7"/>
      <c r="C354" s="50"/>
      <c r="D354" s="49" t="str">
        <f t="shared" si="5"/>
        <v/>
      </c>
      <c r="E354" s="45"/>
    </row>
    <row r="355" spans="2:5" hidden="1" x14ac:dyDescent="0.25">
      <c r="B355" s="7"/>
      <c r="C355" s="50"/>
      <c r="D355" s="49" t="str">
        <f t="shared" si="5"/>
        <v/>
      </c>
      <c r="E355" s="45"/>
    </row>
    <row r="356" spans="2:5" hidden="1" x14ac:dyDescent="0.25">
      <c r="B356" s="7"/>
      <c r="C356" s="50"/>
      <c r="D356" s="49" t="str">
        <f t="shared" si="5"/>
        <v/>
      </c>
      <c r="E356" s="45"/>
    </row>
    <row r="357" spans="2:5" hidden="1" x14ac:dyDescent="0.25">
      <c r="B357" s="7"/>
      <c r="C357" s="50"/>
      <c r="D357" s="49" t="str">
        <f t="shared" si="5"/>
        <v/>
      </c>
      <c r="E357" s="45"/>
    </row>
    <row r="358" spans="2:5" hidden="1" x14ac:dyDescent="0.25">
      <c r="B358" s="7"/>
      <c r="C358" s="50"/>
      <c r="D358" s="49" t="str">
        <f t="shared" si="5"/>
        <v/>
      </c>
      <c r="E358" s="45"/>
    </row>
    <row r="359" spans="2:5" hidden="1" x14ac:dyDescent="0.25">
      <c r="B359" s="7"/>
      <c r="C359" s="50"/>
      <c r="D359" s="49" t="str">
        <f t="shared" si="5"/>
        <v/>
      </c>
      <c r="E359" s="45"/>
    </row>
    <row r="360" spans="2:5" hidden="1" x14ac:dyDescent="0.25">
      <c r="B360" s="7"/>
      <c r="C360" s="50"/>
      <c r="D360" s="49" t="str">
        <f t="shared" si="5"/>
        <v/>
      </c>
      <c r="E360" s="45"/>
    </row>
    <row r="361" spans="2:5" hidden="1" x14ac:dyDescent="0.25">
      <c r="B361" s="7"/>
      <c r="C361" s="50"/>
      <c r="D361" s="49" t="str">
        <f t="shared" si="5"/>
        <v/>
      </c>
      <c r="E361" s="45"/>
    </row>
    <row r="362" spans="2:5" hidden="1" x14ac:dyDescent="0.25">
      <c r="B362" s="7"/>
      <c r="C362" s="50"/>
      <c r="D362" s="49" t="str">
        <f t="shared" si="5"/>
        <v/>
      </c>
      <c r="E362" s="45"/>
    </row>
    <row r="363" spans="2:5" hidden="1" x14ac:dyDescent="0.25">
      <c r="B363" s="7"/>
      <c r="C363" s="50"/>
      <c r="D363" s="49" t="str">
        <f t="shared" si="5"/>
        <v/>
      </c>
      <c r="E363" s="45"/>
    </row>
    <row r="364" spans="2:5" hidden="1" x14ac:dyDescent="0.25">
      <c r="B364" s="7"/>
      <c r="C364" s="50"/>
      <c r="D364" s="49" t="str">
        <f t="shared" si="5"/>
        <v/>
      </c>
      <c r="E364" s="45"/>
    </row>
    <row r="365" spans="2:5" hidden="1" x14ac:dyDescent="0.25">
      <c r="B365" s="7"/>
      <c r="C365" s="50"/>
      <c r="D365" s="49" t="str">
        <f t="shared" si="5"/>
        <v/>
      </c>
      <c r="E365" s="45"/>
    </row>
    <row r="366" spans="2:5" hidden="1" x14ac:dyDescent="0.25">
      <c r="B366" s="7"/>
      <c r="C366" s="50"/>
      <c r="D366" s="49" t="str">
        <f t="shared" si="5"/>
        <v/>
      </c>
      <c r="E366" s="45"/>
    </row>
    <row r="367" spans="2:5" hidden="1" x14ac:dyDescent="0.25">
      <c r="B367" s="7"/>
      <c r="C367" s="50"/>
      <c r="D367" s="49" t="str">
        <f t="shared" si="5"/>
        <v/>
      </c>
      <c r="E367" s="45"/>
    </row>
    <row r="368" spans="2:5" hidden="1" x14ac:dyDescent="0.25">
      <c r="B368" s="7"/>
      <c r="C368" s="50"/>
      <c r="D368" s="49" t="str">
        <f t="shared" si="5"/>
        <v/>
      </c>
      <c r="E368" s="45"/>
    </row>
    <row r="369" spans="2:5" hidden="1" x14ac:dyDescent="0.25">
      <c r="B369" s="7"/>
      <c r="C369" s="50"/>
      <c r="D369" s="49" t="str">
        <f t="shared" si="5"/>
        <v/>
      </c>
      <c r="E369" s="45"/>
    </row>
    <row r="370" spans="2:5" hidden="1" x14ac:dyDescent="0.25">
      <c r="B370" s="7"/>
      <c r="C370" s="50"/>
      <c r="D370" s="49" t="str">
        <f t="shared" si="5"/>
        <v/>
      </c>
      <c r="E370" s="45"/>
    </row>
    <row r="371" spans="2:5" hidden="1" x14ac:dyDescent="0.25">
      <c r="B371" s="7"/>
      <c r="C371" s="50"/>
      <c r="D371" s="49" t="str">
        <f t="shared" si="5"/>
        <v/>
      </c>
      <c r="E371" s="45"/>
    </row>
    <row r="372" spans="2:5" hidden="1" x14ac:dyDescent="0.25">
      <c r="B372" s="7"/>
      <c r="C372" s="50"/>
      <c r="D372" s="49" t="str">
        <f t="shared" si="5"/>
        <v/>
      </c>
      <c r="E372" s="45"/>
    </row>
    <row r="373" spans="2:5" hidden="1" x14ac:dyDescent="0.25">
      <c r="B373" s="7"/>
      <c r="C373" s="50"/>
      <c r="D373" s="49" t="str">
        <f t="shared" si="5"/>
        <v/>
      </c>
      <c r="E373" s="45"/>
    </row>
    <row r="374" spans="2:5" hidden="1" x14ac:dyDescent="0.25">
      <c r="B374" s="7"/>
      <c r="C374" s="50"/>
      <c r="D374" s="49" t="str">
        <f t="shared" si="5"/>
        <v/>
      </c>
      <c r="E374" s="45"/>
    </row>
    <row r="375" spans="2:5" hidden="1" x14ac:dyDescent="0.25">
      <c r="B375" s="7"/>
      <c r="C375" s="50"/>
      <c r="D375" s="49" t="str">
        <f t="shared" si="5"/>
        <v/>
      </c>
      <c r="E375" s="45"/>
    </row>
    <row r="376" spans="2:5" hidden="1" x14ac:dyDescent="0.25">
      <c r="B376" s="7"/>
      <c r="C376" s="50"/>
      <c r="D376" s="49" t="str">
        <f t="shared" si="5"/>
        <v/>
      </c>
      <c r="E376" s="45"/>
    </row>
    <row r="377" spans="2:5" hidden="1" x14ac:dyDescent="0.25">
      <c r="B377" s="7"/>
      <c r="C377" s="50"/>
      <c r="D377" s="49" t="str">
        <f t="shared" si="5"/>
        <v/>
      </c>
      <c r="E377" s="45"/>
    </row>
    <row r="378" spans="2:5" hidden="1" x14ac:dyDescent="0.25">
      <c r="B378" s="7"/>
      <c r="C378" s="50"/>
      <c r="D378" s="49" t="str">
        <f t="shared" si="5"/>
        <v/>
      </c>
      <c r="E378" s="45"/>
    </row>
    <row r="379" spans="2:5" hidden="1" x14ac:dyDescent="0.25">
      <c r="B379" s="7"/>
      <c r="C379" s="50"/>
      <c r="D379" s="49" t="str">
        <f t="shared" si="5"/>
        <v/>
      </c>
      <c r="E379" s="45"/>
    </row>
    <row r="380" spans="2:5" hidden="1" x14ac:dyDescent="0.25">
      <c r="B380" s="7"/>
      <c r="C380" s="50"/>
      <c r="D380" s="49" t="str">
        <f t="shared" si="5"/>
        <v/>
      </c>
      <c r="E380" s="45"/>
    </row>
    <row r="381" spans="2:5" hidden="1" x14ac:dyDescent="0.25">
      <c r="B381" s="7"/>
      <c r="C381" s="50"/>
      <c r="D381" s="49" t="str">
        <f t="shared" si="5"/>
        <v/>
      </c>
      <c r="E381" s="45"/>
    </row>
    <row r="382" spans="2:5" hidden="1" x14ac:dyDescent="0.25">
      <c r="B382" s="7"/>
      <c r="C382" s="50"/>
      <c r="D382" s="49" t="str">
        <f t="shared" si="5"/>
        <v/>
      </c>
      <c r="E382" s="45"/>
    </row>
    <row r="383" spans="2:5" hidden="1" x14ac:dyDescent="0.25">
      <c r="B383" s="7"/>
      <c r="C383" s="50"/>
      <c r="D383" s="49" t="str">
        <f t="shared" si="5"/>
        <v/>
      </c>
      <c r="E383" s="45"/>
    </row>
    <row r="384" spans="2:5" hidden="1" x14ac:dyDescent="0.25">
      <c r="B384" s="7"/>
      <c r="C384" s="50"/>
      <c r="D384" s="49" t="str">
        <f t="shared" si="5"/>
        <v/>
      </c>
      <c r="E384" s="45"/>
    </row>
    <row r="385" spans="2:5" hidden="1" x14ac:dyDescent="0.25">
      <c r="B385" s="7"/>
      <c r="C385" s="50"/>
      <c r="D385" s="49" t="str">
        <f t="shared" si="5"/>
        <v/>
      </c>
      <c r="E385" s="45"/>
    </row>
    <row r="386" spans="2:5" hidden="1" x14ac:dyDescent="0.25">
      <c r="B386" s="7"/>
      <c r="C386" s="50"/>
      <c r="D386" s="49" t="str">
        <f t="shared" si="5"/>
        <v/>
      </c>
      <c r="E386" s="45"/>
    </row>
    <row r="387" spans="2:5" hidden="1" x14ac:dyDescent="0.25">
      <c r="B387" s="7"/>
      <c r="C387" s="50"/>
      <c r="D387" s="49" t="str">
        <f t="shared" si="5"/>
        <v/>
      </c>
      <c r="E387" s="45"/>
    </row>
    <row r="388" spans="2:5" hidden="1" x14ac:dyDescent="0.25">
      <c r="B388" s="7"/>
      <c r="C388" s="50"/>
      <c r="D388" s="49" t="str">
        <f t="shared" si="5"/>
        <v/>
      </c>
      <c r="E388" s="45"/>
    </row>
    <row r="389" spans="2:5" hidden="1" x14ac:dyDescent="0.25">
      <c r="B389" s="7"/>
      <c r="C389" s="50"/>
      <c r="D389" s="49" t="str">
        <f t="shared" si="5"/>
        <v/>
      </c>
      <c r="E389" s="45"/>
    </row>
    <row r="390" spans="2:5" hidden="1" x14ac:dyDescent="0.25">
      <c r="B390" s="7"/>
      <c r="C390" s="50"/>
      <c r="D390" s="49" t="str">
        <f t="shared" si="5"/>
        <v/>
      </c>
      <c r="E390" s="45"/>
    </row>
    <row r="391" spans="2:5" hidden="1" x14ac:dyDescent="0.25">
      <c r="B391" s="7"/>
      <c r="C391" s="50"/>
      <c r="D391" s="49" t="str">
        <f t="shared" ref="D391:D454" si="6">IF(ISNUMBER(C391),C391-rToday,"")</f>
        <v/>
      </c>
      <c r="E391" s="45"/>
    </row>
    <row r="392" spans="2:5" hidden="1" x14ac:dyDescent="0.25">
      <c r="B392" s="7"/>
      <c r="C392" s="50"/>
      <c r="D392" s="49" t="str">
        <f t="shared" si="6"/>
        <v/>
      </c>
      <c r="E392" s="45"/>
    </row>
    <row r="393" spans="2:5" hidden="1" x14ac:dyDescent="0.25">
      <c r="B393" s="7"/>
      <c r="C393" s="50"/>
      <c r="D393" s="49" t="str">
        <f t="shared" si="6"/>
        <v/>
      </c>
      <c r="E393" s="45"/>
    </row>
    <row r="394" spans="2:5" hidden="1" x14ac:dyDescent="0.25">
      <c r="B394" s="7"/>
      <c r="C394" s="50"/>
      <c r="D394" s="49" t="str">
        <f t="shared" si="6"/>
        <v/>
      </c>
      <c r="E394" s="45"/>
    </row>
    <row r="395" spans="2:5" hidden="1" x14ac:dyDescent="0.25">
      <c r="B395" s="7"/>
      <c r="C395" s="50"/>
      <c r="D395" s="49" t="str">
        <f t="shared" si="6"/>
        <v/>
      </c>
      <c r="E395" s="45"/>
    </row>
    <row r="396" spans="2:5" hidden="1" x14ac:dyDescent="0.25">
      <c r="B396" s="7"/>
      <c r="C396" s="50"/>
      <c r="D396" s="49" t="str">
        <f t="shared" si="6"/>
        <v/>
      </c>
      <c r="E396" s="45"/>
    </row>
    <row r="397" spans="2:5" hidden="1" x14ac:dyDescent="0.25">
      <c r="B397" s="7"/>
      <c r="C397" s="50"/>
      <c r="D397" s="49" t="str">
        <f t="shared" si="6"/>
        <v/>
      </c>
      <c r="E397" s="45"/>
    </row>
    <row r="398" spans="2:5" hidden="1" x14ac:dyDescent="0.25">
      <c r="B398" s="7"/>
      <c r="C398" s="50"/>
      <c r="D398" s="49" t="str">
        <f t="shared" si="6"/>
        <v/>
      </c>
      <c r="E398" s="45"/>
    </row>
    <row r="399" spans="2:5" hidden="1" x14ac:dyDescent="0.25">
      <c r="B399" s="7"/>
      <c r="C399" s="50"/>
      <c r="D399" s="49" t="str">
        <f t="shared" si="6"/>
        <v/>
      </c>
      <c r="E399" s="45"/>
    </row>
    <row r="400" spans="2:5" hidden="1" x14ac:dyDescent="0.25">
      <c r="B400" s="7"/>
      <c r="C400" s="50"/>
      <c r="D400" s="49" t="str">
        <f t="shared" si="6"/>
        <v/>
      </c>
      <c r="E400" s="45"/>
    </row>
    <row r="401" spans="2:5" hidden="1" x14ac:dyDescent="0.25">
      <c r="B401" s="7"/>
      <c r="C401" s="50"/>
      <c r="D401" s="49" t="str">
        <f t="shared" si="6"/>
        <v/>
      </c>
      <c r="E401" s="45"/>
    </row>
    <row r="402" spans="2:5" hidden="1" x14ac:dyDescent="0.25">
      <c r="B402" s="7"/>
      <c r="C402" s="50"/>
      <c r="D402" s="49" t="str">
        <f t="shared" si="6"/>
        <v/>
      </c>
      <c r="E402" s="45"/>
    </row>
    <row r="403" spans="2:5" hidden="1" x14ac:dyDescent="0.25">
      <c r="B403" s="7"/>
      <c r="C403" s="50"/>
      <c r="D403" s="49" t="str">
        <f t="shared" si="6"/>
        <v/>
      </c>
      <c r="E403" s="45"/>
    </row>
    <row r="404" spans="2:5" hidden="1" x14ac:dyDescent="0.25">
      <c r="B404" s="7"/>
      <c r="C404" s="50"/>
      <c r="D404" s="49" t="str">
        <f t="shared" si="6"/>
        <v/>
      </c>
      <c r="E404" s="45"/>
    </row>
    <row r="405" spans="2:5" hidden="1" x14ac:dyDescent="0.25">
      <c r="B405" s="7"/>
      <c r="C405" s="50"/>
      <c r="D405" s="49" t="str">
        <f t="shared" si="6"/>
        <v/>
      </c>
      <c r="E405" s="45"/>
    </row>
    <row r="406" spans="2:5" hidden="1" x14ac:dyDescent="0.25">
      <c r="B406" s="7"/>
      <c r="C406" s="50"/>
      <c r="D406" s="49" t="str">
        <f t="shared" si="6"/>
        <v/>
      </c>
      <c r="E406" s="45"/>
    </row>
    <row r="407" spans="2:5" hidden="1" x14ac:dyDescent="0.25">
      <c r="B407" s="7"/>
      <c r="C407" s="50"/>
      <c r="D407" s="49" t="str">
        <f t="shared" si="6"/>
        <v/>
      </c>
      <c r="E407" s="45"/>
    </row>
    <row r="408" spans="2:5" hidden="1" x14ac:dyDescent="0.25">
      <c r="B408" s="7"/>
      <c r="C408" s="50"/>
      <c r="D408" s="49" t="str">
        <f t="shared" si="6"/>
        <v/>
      </c>
      <c r="E408" s="45"/>
    </row>
    <row r="409" spans="2:5" hidden="1" x14ac:dyDescent="0.25">
      <c r="B409" s="7"/>
      <c r="C409" s="50"/>
      <c r="D409" s="49" t="str">
        <f t="shared" si="6"/>
        <v/>
      </c>
      <c r="E409" s="45"/>
    </row>
    <row r="410" spans="2:5" hidden="1" x14ac:dyDescent="0.25">
      <c r="B410" s="7"/>
      <c r="C410" s="50"/>
      <c r="D410" s="49" t="str">
        <f t="shared" si="6"/>
        <v/>
      </c>
      <c r="E410" s="45"/>
    </row>
    <row r="411" spans="2:5" hidden="1" x14ac:dyDescent="0.25">
      <c r="B411" s="7"/>
      <c r="C411" s="50"/>
      <c r="D411" s="49" t="str">
        <f t="shared" si="6"/>
        <v/>
      </c>
      <c r="E411" s="45"/>
    </row>
    <row r="412" spans="2:5" hidden="1" x14ac:dyDescent="0.25">
      <c r="B412" s="7"/>
      <c r="C412" s="50"/>
      <c r="D412" s="49" t="str">
        <f t="shared" si="6"/>
        <v/>
      </c>
      <c r="E412" s="45"/>
    </row>
    <row r="413" spans="2:5" hidden="1" x14ac:dyDescent="0.25">
      <c r="B413" s="7"/>
      <c r="C413" s="50"/>
      <c r="D413" s="49" t="str">
        <f t="shared" si="6"/>
        <v/>
      </c>
      <c r="E413" s="45"/>
    </row>
    <row r="414" spans="2:5" hidden="1" x14ac:dyDescent="0.25">
      <c r="B414" s="7"/>
      <c r="C414" s="50"/>
      <c r="D414" s="49" t="str">
        <f t="shared" si="6"/>
        <v/>
      </c>
      <c r="E414" s="45"/>
    </row>
    <row r="415" spans="2:5" hidden="1" x14ac:dyDescent="0.25">
      <c r="B415" s="7"/>
      <c r="C415" s="50"/>
      <c r="D415" s="49" t="str">
        <f t="shared" si="6"/>
        <v/>
      </c>
      <c r="E415" s="45"/>
    </row>
    <row r="416" spans="2:5" hidden="1" x14ac:dyDescent="0.25">
      <c r="B416" s="7"/>
      <c r="C416" s="50"/>
      <c r="D416" s="49" t="str">
        <f t="shared" si="6"/>
        <v/>
      </c>
      <c r="E416" s="45"/>
    </row>
    <row r="417" spans="2:5" hidden="1" x14ac:dyDescent="0.25">
      <c r="B417" s="7"/>
      <c r="C417" s="50"/>
      <c r="D417" s="49" t="str">
        <f t="shared" si="6"/>
        <v/>
      </c>
      <c r="E417" s="45"/>
    </row>
    <row r="418" spans="2:5" hidden="1" x14ac:dyDescent="0.25">
      <c r="B418" s="7"/>
      <c r="C418" s="50"/>
      <c r="D418" s="49" t="str">
        <f t="shared" si="6"/>
        <v/>
      </c>
      <c r="E418" s="45"/>
    </row>
    <row r="419" spans="2:5" hidden="1" x14ac:dyDescent="0.25">
      <c r="B419" s="7"/>
      <c r="C419" s="50"/>
      <c r="D419" s="49" t="str">
        <f t="shared" si="6"/>
        <v/>
      </c>
      <c r="E419" s="45"/>
    </row>
    <row r="420" spans="2:5" hidden="1" x14ac:dyDescent="0.25">
      <c r="B420" s="7"/>
      <c r="C420" s="50"/>
      <c r="D420" s="49" t="str">
        <f t="shared" si="6"/>
        <v/>
      </c>
      <c r="E420" s="45"/>
    </row>
    <row r="421" spans="2:5" hidden="1" x14ac:dyDescent="0.25">
      <c r="B421" s="7"/>
      <c r="C421" s="50"/>
      <c r="D421" s="49" t="str">
        <f t="shared" si="6"/>
        <v/>
      </c>
      <c r="E421" s="45"/>
    </row>
    <row r="422" spans="2:5" hidden="1" x14ac:dyDescent="0.25">
      <c r="B422" s="7"/>
      <c r="C422" s="50"/>
      <c r="D422" s="49" t="str">
        <f t="shared" si="6"/>
        <v/>
      </c>
      <c r="E422" s="45"/>
    </row>
    <row r="423" spans="2:5" hidden="1" x14ac:dyDescent="0.25">
      <c r="B423" s="7"/>
      <c r="C423" s="50"/>
      <c r="D423" s="49" t="str">
        <f t="shared" si="6"/>
        <v/>
      </c>
      <c r="E423" s="45"/>
    </row>
    <row r="424" spans="2:5" hidden="1" x14ac:dyDescent="0.25">
      <c r="B424" s="7"/>
      <c r="C424" s="50"/>
      <c r="D424" s="49" t="str">
        <f t="shared" si="6"/>
        <v/>
      </c>
      <c r="E424" s="45"/>
    </row>
    <row r="425" spans="2:5" hidden="1" x14ac:dyDescent="0.25">
      <c r="B425" s="7"/>
      <c r="C425" s="50"/>
      <c r="D425" s="49" t="str">
        <f t="shared" si="6"/>
        <v/>
      </c>
      <c r="E425" s="45"/>
    </row>
    <row r="426" spans="2:5" hidden="1" x14ac:dyDescent="0.25">
      <c r="B426" s="7"/>
      <c r="C426" s="50"/>
      <c r="D426" s="49" t="str">
        <f t="shared" si="6"/>
        <v/>
      </c>
      <c r="E426" s="45"/>
    </row>
    <row r="427" spans="2:5" hidden="1" x14ac:dyDescent="0.25">
      <c r="B427" s="7"/>
      <c r="C427" s="50"/>
      <c r="D427" s="49" t="str">
        <f t="shared" si="6"/>
        <v/>
      </c>
      <c r="E427" s="45"/>
    </row>
    <row r="428" spans="2:5" hidden="1" x14ac:dyDescent="0.25">
      <c r="B428" s="7"/>
      <c r="C428" s="50"/>
      <c r="D428" s="49" t="str">
        <f t="shared" si="6"/>
        <v/>
      </c>
      <c r="E428" s="45"/>
    </row>
    <row r="429" spans="2:5" hidden="1" x14ac:dyDescent="0.25">
      <c r="B429" s="7"/>
      <c r="C429" s="50"/>
      <c r="D429" s="49" t="str">
        <f t="shared" si="6"/>
        <v/>
      </c>
      <c r="E429" s="45"/>
    </row>
    <row r="430" spans="2:5" hidden="1" x14ac:dyDescent="0.25">
      <c r="B430" s="7"/>
      <c r="C430" s="50"/>
      <c r="D430" s="49" t="str">
        <f t="shared" si="6"/>
        <v/>
      </c>
      <c r="E430" s="45"/>
    </row>
    <row r="431" spans="2:5" hidden="1" x14ac:dyDescent="0.25">
      <c r="B431" s="7"/>
      <c r="C431" s="50"/>
      <c r="D431" s="49" t="str">
        <f t="shared" si="6"/>
        <v/>
      </c>
      <c r="E431" s="45"/>
    </row>
    <row r="432" spans="2:5" hidden="1" x14ac:dyDescent="0.25">
      <c r="B432" s="7"/>
      <c r="C432" s="50"/>
      <c r="D432" s="49" t="str">
        <f t="shared" si="6"/>
        <v/>
      </c>
      <c r="E432" s="45"/>
    </row>
    <row r="433" spans="2:5" hidden="1" x14ac:dyDescent="0.25">
      <c r="B433" s="7"/>
      <c r="C433" s="50"/>
      <c r="D433" s="49" t="str">
        <f t="shared" si="6"/>
        <v/>
      </c>
      <c r="E433" s="45"/>
    </row>
    <row r="434" spans="2:5" hidden="1" x14ac:dyDescent="0.25">
      <c r="B434" s="7"/>
      <c r="C434" s="50"/>
      <c r="D434" s="49" t="str">
        <f t="shared" si="6"/>
        <v/>
      </c>
      <c r="E434" s="45"/>
    </row>
    <row r="435" spans="2:5" hidden="1" x14ac:dyDescent="0.25">
      <c r="B435" s="7"/>
      <c r="C435" s="50"/>
      <c r="D435" s="49" t="str">
        <f t="shared" si="6"/>
        <v/>
      </c>
      <c r="E435" s="45"/>
    </row>
    <row r="436" spans="2:5" hidden="1" x14ac:dyDescent="0.25">
      <c r="B436" s="7"/>
      <c r="C436" s="50"/>
      <c r="D436" s="49" t="str">
        <f t="shared" si="6"/>
        <v/>
      </c>
      <c r="E436" s="45"/>
    </row>
    <row r="437" spans="2:5" hidden="1" x14ac:dyDescent="0.25">
      <c r="B437" s="7"/>
      <c r="C437" s="50"/>
      <c r="D437" s="49" t="str">
        <f t="shared" si="6"/>
        <v/>
      </c>
      <c r="E437" s="45"/>
    </row>
    <row r="438" spans="2:5" hidden="1" x14ac:dyDescent="0.25">
      <c r="B438" s="7"/>
      <c r="C438" s="50"/>
      <c r="D438" s="49" t="str">
        <f t="shared" si="6"/>
        <v/>
      </c>
      <c r="E438" s="45"/>
    </row>
    <row r="439" spans="2:5" hidden="1" x14ac:dyDescent="0.25">
      <c r="B439" s="7"/>
      <c r="C439" s="50"/>
      <c r="D439" s="49" t="str">
        <f t="shared" si="6"/>
        <v/>
      </c>
      <c r="E439" s="45"/>
    </row>
    <row r="440" spans="2:5" hidden="1" x14ac:dyDescent="0.25">
      <c r="B440" s="7"/>
      <c r="C440" s="50"/>
      <c r="D440" s="49" t="str">
        <f t="shared" si="6"/>
        <v/>
      </c>
      <c r="E440" s="45"/>
    </row>
    <row r="441" spans="2:5" hidden="1" x14ac:dyDescent="0.25">
      <c r="B441" s="7"/>
      <c r="C441" s="50"/>
      <c r="D441" s="49" t="str">
        <f t="shared" si="6"/>
        <v/>
      </c>
      <c r="E441" s="45"/>
    </row>
    <row r="442" spans="2:5" hidden="1" x14ac:dyDescent="0.25">
      <c r="B442" s="7"/>
      <c r="C442" s="50"/>
      <c r="D442" s="49" t="str">
        <f t="shared" si="6"/>
        <v/>
      </c>
      <c r="E442" s="45"/>
    </row>
    <row r="443" spans="2:5" hidden="1" x14ac:dyDescent="0.25">
      <c r="B443" s="7"/>
      <c r="C443" s="50"/>
      <c r="D443" s="49" t="str">
        <f t="shared" si="6"/>
        <v/>
      </c>
      <c r="E443" s="45"/>
    </row>
    <row r="444" spans="2:5" hidden="1" x14ac:dyDescent="0.25">
      <c r="B444" s="7"/>
      <c r="C444" s="50"/>
      <c r="D444" s="49" t="str">
        <f t="shared" si="6"/>
        <v/>
      </c>
      <c r="E444" s="45"/>
    </row>
    <row r="445" spans="2:5" hidden="1" x14ac:dyDescent="0.25">
      <c r="B445" s="7"/>
      <c r="C445" s="50"/>
      <c r="D445" s="49" t="str">
        <f t="shared" si="6"/>
        <v/>
      </c>
      <c r="E445" s="45"/>
    </row>
    <row r="446" spans="2:5" hidden="1" x14ac:dyDescent="0.25">
      <c r="B446" s="7"/>
      <c r="C446" s="50"/>
      <c r="D446" s="49" t="str">
        <f t="shared" si="6"/>
        <v/>
      </c>
      <c r="E446" s="45"/>
    </row>
    <row r="447" spans="2:5" hidden="1" x14ac:dyDescent="0.25">
      <c r="B447" s="7"/>
      <c r="C447" s="50"/>
      <c r="D447" s="49" t="str">
        <f t="shared" si="6"/>
        <v/>
      </c>
      <c r="E447" s="45"/>
    </row>
    <row r="448" spans="2:5" hidden="1" x14ac:dyDescent="0.25">
      <c r="B448" s="7"/>
      <c r="C448" s="50"/>
      <c r="D448" s="49" t="str">
        <f t="shared" si="6"/>
        <v/>
      </c>
      <c r="E448" s="45"/>
    </row>
    <row r="449" spans="2:5" hidden="1" x14ac:dyDescent="0.25">
      <c r="B449" s="7"/>
      <c r="C449" s="50"/>
      <c r="D449" s="49" t="str">
        <f t="shared" si="6"/>
        <v/>
      </c>
      <c r="E449" s="45"/>
    </row>
    <row r="450" spans="2:5" hidden="1" x14ac:dyDescent="0.25">
      <c r="B450" s="7"/>
      <c r="C450" s="50"/>
      <c r="D450" s="49" t="str">
        <f t="shared" si="6"/>
        <v/>
      </c>
      <c r="E450" s="45"/>
    </row>
    <row r="451" spans="2:5" hidden="1" x14ac:dyDescent="0.25">
      <c r="B451" s="7"/>
      <c r="C451" s="50"/>
      <c r="D451" s="49" t="str">
        <f t="shared" si="6"/>
        <v/>
      </c>
      <c r="E451" s="45"/>
    </row>
    <row r="452" spans="2:5" hidden="1" x14ac:dyDescent="0.25">
      <c r="B452" s="7"/>
      <c r="C452" s="50"/>
      <c r="D452" s="49" t="str">
        <f t="shared" si="6"/>
        <v/>
      </c>
      <c r="E452" s="45"/>
    </row>
    <row r="453" spans="2:5" hidden="1" x14ac:dyDescent="0.25">
      <c r="B453" s="7"/>
      <c r="C453" s="50"/>
      <c r="D453" s="49" t="str">
        <f t="shared" si="6"/>
        <v/>
      </c>
      <c r="E453" s="45"/>
    </row>
    <row r="454" spans="2:5" hidden="1" x14ac:dyDescent="0.25">
      <c r="B454" s="7"/>
      <c r="C454" s="50"/>
      <c r="D454" s="49" t="str">
        <f t="shared" si="6"/>
        <v/>
      </c>
      <c r="E454" s="45"/>
    </row>
    <row r="455" spans="2:5" hidden="1" x14ac:dyDescent="0.25">
      <c r="B455" s="7"/>
      <c r="C455" s="50"/>
      <c r="D455" s="49" t="str">
        <f t="shared" ref="D455:D518" si="7">IF(ISNUMBER(C455),C455-rToday,"")</f>
        <v/>
      </c>
      <c r="E455" s="45"/>
    </row>
    <row r="456" spans="2:5" hidden="1" x14ac:dyDescent="0.25">
      <c r="B456" s="7"/>
      <c r="C456" s="50"/>
      <c r="D456" s="49" t="str">
        <f t="shared" si="7"/>
        <v/>
      </c>
      <c r="E456" s="45"/>
    </row>
    <row r="457" spans="2:5" hidden="1" x14ac:dyDescent="0.25">
      <c r="B457" s="7"/>
      <c r="C457" s="50"/>
      <c r="D457" s="49" t="str">
        <f t="shared" si="7"/>
        <v/>
      </c>
      <c r="E457" s="45"/>
    </row>
    <row r="458" spans="2:5" hidden="1" x14ac:dyDescent="0.25">
      <c r="B458" s="7"/>
      <c r="C458" s="50"/>
      <c r="D458" s="49" t="str">
        <f t="shared" si="7"/>
        <v/>
      </c>
      <c r="E458" s="45"/>
    </row>
    <row r="459" spans="2:5" hidden="1" x14ac:dyDescent="0.25">
      <c r="B459" s="7"/>
      <c r="C459" s="50"/>
      <c r="D459" s="49" t="str">
        <f t="shared" si="7"/>
        <v/>
      </c>
      <c r="E459" s="45"/>
    </row>
    <row r="460" spans="2:5" hidden="1" x14ac:dyDescent="0.25">
      <c r="B460" s="7"/>
      <c r="C460" s="50"/>
      <c r="D460" s="49" t="str">
        <f t="shared" si="7"/>
        <v/>
      </c>
      <c r="E460" s="45"/>
    </row>
    <row r="461" spans="2:5" hidden="1" x14ac:dyDescent="0.25">
      <c r="B461" s="7"/>
      <c r="C461" s="50"/>
      <c r="D461" s="49" t="str">
        <f t="shared" si="7"/>
        <v/>
      </c>
      <c r="E461" s="45"/>
    </row>
    <row r="462" spans="2:5" hidden="1" x14ac:dyDescent="0.25">
      <c r="B462" s="7"/>
      <c r="C462" s="50"/>
      <c r="D462" s="49" t="str">
        <f t="shared" si="7"/>
        <v/>
      </c>
      <c r="E462" s="45"/>
    </row>
    <row r="463" spans="2:5" hidden="1" x14ac:dyDescent="0.25">
      <c r="B463" s="7"/>
      <c r="C463" s="50"/>
      <c r="D463" s="49" t="str">
        <f t="shared" si="7"/>
        <v/>
      </c>
      <c r="E463" s="45"/>
    </row>
    <row r="464" spans="2:5" hidden="1" x14ac:dyDescent="0.25">
      <c r="B464" s="7"/>
      <c r="C464" s="50"/>
      <c r="D464" s="49" t="str">
        <f t="shared" si="7"/>
        <v/>
      </c>
      <c r="E464" s="45"/>
    </row>
    <row r="465" spans="2:5" hidden="1" x14ac:dyDescent="0.25">
      <c r="B465" s="7"/>
      <c r="C465" s="50"/>
      <c r="D465" s="49" t="str">
        <f t="shared" si="7"/>
        <v/>
      </c>
      <c r="E465" s="45"/>
    </row>
    <row r="466" spans="2:5" hidden="1" x14ac:dyDescent="0.25">
      <c r="B466" s="7"/>
      <c r="C466" s="50"/>
      <c r="D466" s="49" t="str">
        <f t="shared" si="7"/>
        <v/>
      </c>
      <c r="E466" s="45"/>
    </row>
    <row r="467" spans="2:5" hidden="1" x14ac:dyDescent="0.25">
      <c r="B467" s="7"/>
      <c r="C467" s="50"/>
      <c r="D467" s="49" t="str">
        <f t="shared" si="7"/>
        <v/>
      </c>
      <c r="E467" s="45"/>
    </row>
    <row r="468" spans="2:5" hidden="1" x14ac:dyDescent="0.25">
      <c r="B468" s="7"/>
      <c r="C468" s="50"/>
      <c r="D468" s="49" t="str">
        <f t="shared" si="7"/>
        <v/>
      </c>
      <c r="E468" s="45"/>
    </row>
    <row r="469" spans="2:5" hidden="1" x14ac:dyDescent="0.25">
      <c r="B469" s="7"/>
      <c r="C469" s="50"/>
      <c r="D469" s="49" t="str">
        <f t="shared" si="7"/>
        <v/>
      </c>
      <c r="E469" s="45"/>
    </row>
    <row r="470" spans="2:5" hidden="1" x14ac:dyDescent="0.25">
      <c r="B470" s="7"/>
      <c r="C470" s="50"/>
      <c r="D470" s="49" t="str">
        <f t="shared" si="7"/>
        <v/>
      </c>
      <c r="E470" s="45"/>
    </row>
    <row r="471" spans="2:5" hidden="1" x14ac:dyDescent="0.25">
      <c r="B471" s="7"/>
      <c r="C471" s="50"/>
      <c r="D471" s="49" t="str">
        <f t="shared" si="7"/>
        <v/>
      </c>
      <c r="E471" s="45"/>
    </row>
    <row r="472" spans="2:5" hidden="1" x14ac:dyDescent="0.25">
      <c r="B472" s="7"/>
      <c r="C472" s="50"/>
      <c r="D472" s="49" t="str">
        <f t="shared" si="7"/>
        <v/>
      </c>
      <c r="E472" s="45"/>
    </row>
    <row r="473" spans="2:5" hidden="1" x14ac:dyDescent="0.25">
      <c r="B473" s="7"/>
      <c r="C473" s="50"/>
      <c r="D473" s="49" t="str">
        <f t="shared" si="7"/>
        <v/>
      </c>
      <c r="E473" s="45"/>
    </row>
    <row r="474" spans="2:5" hidden="1" x14ac:dyDescent="0.25">
      <c r="B474" s="7"/>
      <c r="C474" s="50"/>
      <c r="D474" s="49" t="str">
        <f t="shared" si="7"/>
        <v/>
      </c>
      <c r="E474" s="45"/>
    </row>
    <row r="475" spans="2:5" hidden="1" x14ac:dyDescent="0.25">
      <c r="B475" s="7"/>
      <c r="C475" s="50"/>
      <c r="D475" s="49" t="str">
        <f t="shared" si="7"/>
        <v/>
      </c>
      <c r="E475" s="45"/>
    </row>
    <row r="476" spans="2:5" hidden="1" x14ac:dyDescent="0.25">
      <c r="B476" s="7"/>
      <c r="C476" s="50"/>
      <c r="D476" s="49" t="str">
        <f t="shared" si="7"/>
        <v/>
      </c>
      <c r="E476" s="45"/>
    </row>
    <row r="477" spans="2:5" hidden="1" x14ac:dyDescent="0.25">
      <c r="B477" s="7"/>
      <c r="C477" s="50"/>
      <c r="D477" s="49" t="str">
        <f t="shared" si="7"/>
        <v/>
      </c>
      <c r="E477" s="45"/>
    </row>
    <row r="478" spans="2:5" hidden="1" x14ac:dyDescent="0.25">
      <c r="B478" s="7"/>
      <c r="C478" s="50"/>
      <c r="D478" s="49" t="str">
        <f t="shared" si="7"/>
        <v/>
      </c>
      <c r="E478" s="45"/>
    </row>
    <row r="479" spans="2:5" hidden="1" x14ac:dyDescent="0.25">
      <c r="B479" s="7"/>
      <c r="C479" s="50"/>
      <c r="D479" s="49" t="str">
        <f t="shared" si="7"/>
        <v/>
      </c>
      <c r="E479" s="45"/>
    </row>
    <row r="480" spans="2:5" hidden="1" x14ac:dyDescent="0.25">
      <c r="B480" s="7"/>
      <c r="C480" s="50"/>
      <c r="D480" s="49" t="str">
        <f t="shared" si="7"/>
        <v/>
      </c>
      <c r="E480" s="45"/>
    </row>
    <row r="481" spans="2:5" hidden="1" x14ac:dyDescent="0.25">
      <c r="B481" s="7"/>
      <c r="C481" s="50"/>
      <c r="D481" s="49" t="str">
        <f t="shared" si="7"/>
        <v/>
      </c>
      <c r="E481" s="45"/>
    </row>
    <row r="482" spans="2:5" hidden="1" x14ac:dyDescent="0.25">
      <c r="B482" s="7"/>
      <c r="C482" s="50"/>
      <c r="D482" s="49" t="str">
        <f t="shared" si="7"/>
        <v/>
      </c>
      <c r="E482" s="45"/>
    </row>
    <row r="483" spans="2:5" hidden="1" x14ac:dyDescent="0.25">
      <c r="B483" s="7"/>
      <c r="C483" s="50"/>
      <c r="D483" s="49" t="str">
        <f t="shared" si="7"/>
        <v/>
      </c>
      <c r="E483" s="45"/>
    </row>
    <row r="484" spans="2:5" hidden="1" x14ac:dyDescent="0.25">
      <c r="B484" s="7"/>
      <c r="C484" s="50"/>
      <c r="D484" s="49" t="str">
        <f t="shared" si="7"/>
        <v/>
      </c>
      <c r="E484" s="45"/>
    </row>
    <row r="485" spans="2:5" hidden="1" x14ac:dyDescent="0.25">
      <c r="B485" s="7"/>
      <c r="C485" s="50"/>
      <c r="D485" s="49" t="str">
        <f t="shared" si="7"/>
        <v/>
      </c>
      <c r="E485" s="45"/>
    </row>
    <row r="486" spans="2:5" hidden="1" x14ac:dyDescent="0.25">
      <c r="B486" s="7"/>
      <c r="C486" s="50"/>
      <c r="D486" s="49" t="str">
        <f t="shared" si="7"/>
        <v/>
      </c>
      <c r="E486" s="45"/>
    </row>
    <row r="487" spans="2:5" hidden="1" x14ac:dyDescent="0.25">
      <c r="B487" s="7"/>
      <c r="C487" s="50"/>
      <c r="D487" s="49" t="str">
        <f t="shared" si="7"/>
        <v/>
      </c>
      <c r="E487" s="45"/>
    </row>
    <row r="488" spans="2:5" hidden="1" x14ac:dyDescent="0.25">
      <c r="B488" s="7"/>
      <c r="C488" s="50"/>
      <c r="D488" s="49" t="str">
        <f t="shared" si="7"/>
        <v/>
      </c>
      <c r="E488" s="45"/>
    </row>
    <row r="489" spans="2:5" hidden="1" x14ac:dyDescent="0.25">
      <c r="B489" s="7"/>
      <c r="C489" s="50"/>
      <c r="D489" s="49" t="str">
        <f t="shared" si="7"/>
        <v/>
      </c>
      <c r="E489" s="45"/>
    </row>
    <row r="490" spans="2:5" hidden="1" x14ac:dyDescent="0.25">
      <c r="B490" s="7"/>
      <c r="C490" s="50"/>
      <c r="D490" s="49" t="str">
        <f t="shared" si="7"/>
        <v/>
      </c>
      <c r="E490" s="45"/>
    </row>
    <row r="491" spans="2:5" hidden="1" x14ac:dyDescent="0.25">
      <c r="B491" s="7"/>
      <c r="C491" s="50"/>
      <c r="D491" s="49" t="str">
        <f t="shared" si="7"/>
        <v/>
      </c>
      <c r="E491" s="45"/>
    </row>
    <row r="492" spans="2:5" hidden="1" x14ac:dyDescent="0.25">
      <c r="B492" s="7"/>
      <c r="C492" s="50"/>
      <c r="D492" s="49" t="str">
        <f t="shared" si="7"/>
        <v/>
      </c>
      <c r="E492" s="45"/>
    </row>
    <row r="493" spans="2:5" hidden="1" x14ac:dyDescent="0.25">
      <c r="B493" s="7"/>
      <c r="C493" s="50"/>
      <c r="D493" s="49" t="str">
        <f t="shared" si="7"/>
        <v/>
      </c>
      <c r="E493" s="45"/>
    </row>
    <row r="494" spans="2:5" hidden="1" x14ac:dyDescent="0.25">
      <c r="B494" s="7"/>
      <c r="C494" s="50"/>
      <c r="D494" s="49" t="str">
        <f t="shared" si="7"/>
        <v/>
      </c>
      <c r="E494" s="45"/>
    </row>
    <row r="495" spans="2:5" hidden="1" x14ac:dyDescent="0.25">
      <c r="B495" s="7"/>
      <c r="C495" s="50"/>
      <c r="D495" s="49" t="str">
        <f t="shared" si="7"/>
        <v/>
      </c>
      <c r="E495" s="45"/>
    </row>
    <row r="496" spans="2:5" hidden="1" x14ac:dyDescent="0.25">
      <c r="B496" s="7"/>
      <c r="C496" s="50"/>
      <c r="D496" s="49" t="str">
        <f t="shared" si="7"/>
        <v/>
      </c>
      <c r="E496" s="45"/>
    </row>
    <row r="497" spans="2:5" hidden="1" x14ac:dyDescent="0.25">
      <c r="B497" s="7"/>
      <c r="C497" s="50"/>
      <c r="D497" s="49" t="str">
        <f t="shared" si="7"/>
        <v/>
      </c>
      <c r="E497" s="45"/>
    </row>
    <row r="498" spans="2:5" hidden="1" x14ac:dyDescent="0.25">
      <c r="B498" s="7"/>
      <c r="C498" s="50"/>
      <c r="D498" s="49" t="str">
        <f t="shared" si="7"/>
        <v/>
      </c>
      <c r="E498" s="45"/>
    </row>
    <row r="499" spans="2:5" hidden="1" x14ac:dyDescent="0.25">
      <c r="B499" s="7"/>
      <c r="C499" s="50"/>
      <c r="D499" s="49" t="str">
        <f t="shared" si="7"/>
        <v/>
      </c>
      <c r="E499" s="45"/>
    </row>
    <row r="500" spans="2:5" hidden="1" x14ac:dyDescent="0.25">
      <c r="B500" s="7"/>
      <c r="C500" s="50"/>
      <c r="D500" s="49" t="str">
        <f t="shared" si="7"/>
        <v/>
      </c>
      <c r="E500" s="45"/>
    </row>
    <row r="501" spans="2:5" hidden="1" x14ac:dyDescent="0.25">
      <c r="B501" s="7"/>
      <c r="C501" s="50"/>
      <c r="D501" s="49" t="str">
        <f t="shared" si="7"/>
        <v/>
      </c>
      <c r="E501" s="45"/>
    </row>
    <row r="502" spans="2:5" hidden="1" x14ac:dyDescent="0.25">
      <c r="B502" s="7"/>
      <c r="C502" s="50"/>
      <c r="D502" s="49" t="str">
        <f t="shared" si="7"/>
        <v/>
      </c>
      <c r="E502" s="45"/>
    </row>
    <row r="503" spans="2:5" hidden="1" x14ac:dyDescent="0.25">
      <c r="B503" s="7"/>
      <c r="C503" s="50"/>
      <c r="D503" s="49" t="str">
        <f t="shared" si="7"/>
        <v/>
      </c>
      <c r="E503" s="45"/>
    </row>
    <row r="504" spans="2:5" hidden="1" x14ac:dyDescent="0.25">
      <c r="B504" s="7"/>
      <c r="C504" s="50"/>
      <c r="D504" s="49" t="str">
        <f t="shared" si="7"/>
        <v/>
      </c>
      <c r="E504" s="45"/>
    </row>
    <row r="505" spans="2:5" hidden="1" x14ac:dyDescent="0.25">
      <c r="B505" s="7"/>
      <c r="C505" s="50"/>
      <c r="D505" s="49" t="str">
        <f t="shared" si="7"/>
        <v/>
      </c>
      <c r="E505" s="45"/>
    </row>
    <row r="506" spans="2:5" hidden="1" x14ac:dyDescent="0.25">
      <c r="B506" s="7"/>
      <c r="C506" s="50"/>
      <c r="D506" s="49" t="str">
        <f t="shared" si="7"/>
        <v/>
      </c>
      <c r="E506" s="45"/>
    </row>
    <row r="507" spans="2:5" hidden="1" x14ac:dyDescent="0.25">
      <c r="B507" s="7"/>
      <c r="C507" s="50"/>
      <c r="D507" s="49" t="str">
        <f t="shared" si="7"/>
        <v/>
      </c>
      <c r="E507" s="45"/>
    </row>
    <row r="508" spans="2:5" hidden="1" x14ac:dyDescent="0.25">
      <c r="B508" s="7"/>
      <c r="C508" s="50"/>
      <c r="D508" s="49" t="str">
        <f t="shared" si="7"/>
        <v/>
      </c>
      <c r="E508" s="45"/>
    </row>
    <row r="509" spans="2:5" hidden="1" x14ac:dyDescent="0.25">
      <c r="B509" s="7"/>
      <c r="C509" s="50"/>
      <c r="D509" s="49" t="str">
        <f t="shared" si="7"/>
        <v/>
      </c>
      <c r="E509" s="45"/>
    </row>
    <row r="510" spans="2:5" hidden="1" x14ac:dyDescent="0.25">
      <c r="B510" s="7"/>
      <c r="C510" s="50"/>
      <c r="D510" s="49" t="str">
        <f t="shared" si="7"/>
        <v/>
      </c>
      <c r="E510" s="45"/>
    </row>
    <row r="511" spans="2:5" hidden="1" x14ac:dyDescent="0.25">
      <c r="B511" s="7"/>
      <c r="C511" s="50"/>
      <c r="D511" s="49" t="str">
        <f t="shared" si="7"/>
        <v/>
      </c>
      <c r="E511" s="45"/>
    </row>
    <row r="512" spans="2:5" hidden="1" x14ac:dyDescent="0.25">
      <c r="B512" s="7"/>
      <c r="C512" s="50"/>
      <c r="D512" s="49" t="str">
        <f t="shared" si="7"/>
        <v/>
      </c>
      <c r="E512" s="45"/>
    </row>
    <row r="513" spans="2:5" hidden="1" x14ac:dyDescent="0.25">
      <c r="B513" s="7"/>
      <c r="C513" s="50"/>
      <c r="D513" s="49" t="str">
        <f t="shared" si="7"/>
        <v/>
      </c>
      <c r="E513" s="45"/>
    </row>
    <row r="514" spans="2:5" hidden="1" x14ac:dyDescent="0.25">
      <c r="B514" s="7"/>
      <c r="C514" s="50"/>
      <c r="D514" s="49" t="str">
        <f t="shared" si="7"/>
        <v/>
      </c>
      <c r="E514" s="45"/>
    </row>
    <row r="515" spans="2:5" hidden="1" x14ac:dyDescent="0.25">
      <c r="B515" s="7"/>
      <c r="C515" s="50"/>
      <c r="D515" s="49" t="str">
        <f t="shared" si="7"/>
        <v/>
      </c>
      <c r="E515" s="45"/>
    </row>
    <row r="516" spans="2:5" hidden="1" x14ac:dyDescent="0.25">
      <c r="B516" s="7"/>
      <c r="C516" s="50"/>
      <c r="D516" s="49" t="str">
        <f t="shared" si="7"/>
        <v/>
      </c>
      <c r="E516" s="45"/>
    </row>
    <row r="517" spans="2:5" hidden="1" x14ac:dyDescent="0.25">
      <c r="B517" s="7"/>
      <c r="C517" s="50"/>
      <c r="D517" s="49" t="str">
        <f t="shared" si="7"/>
        <v/>
      </c>
      <c r="E517" s="45"/>
    </row>
    <row r="518" spans="2:5" hidden="1" x14ac:dyDescent="0.25">
      <c r="B518" s="7"/>
      <c r="C518" s="50"/>
      <c r="D518" s="49" t="str">
        <f t="shared" si="7"/>
        <v/>
      </c>
      <c r="E518" s="45"/>
    </row>
    <row r="519" spans="2:5" hidden="1" x14ac:dyDescent="0.25">
      <c r="B519" s="7"/>
      <c r="C519" s="50"/>
      <c r="D519" s="49" t="str">
        <f t="shared" ref="D519:D582" si="8">IF(ISNUMBER(C519),C519-rToday,"")</f>
        <v/>
      </c>
      <c r="E519" s="45"/>
    </row>
    <row r="520" spans="2:5" hidden="1" x14ac:dyDescent="0.25">
      <c r="B520" s="7"/>
      <c r="C520" s="50"/>
      <c r="D520" s="49" t="str">
        <f t="shared" si="8"/>
        <v/>
      </c>
      <c r="E520" s="45"/>
    </row>
    <row r="521" spans="2:5" hidden="1" x14ac:dyDescent="0.25">
      <c r="B521" s="7"/>
      <c r="C521" s="50"/>
      <c r="D521" s="49" t="str">
        <f t="shared" si="8"/>
        <v/>
      </c>
      <c r="E521" s="45"/>
    </row>
    <row r="522" spans="2:5" hidden="1" x14ac:dyDescent="0.25">
      <c r="B522" s="7"/>
      <c r="C522" s="50"/>
      <c r="D522" s="49" t="str">
        <f t="shared" si="8"/>
        <v/>
      </c>
      <c r="E522" s="45"/>
    </row>
    <row r="523" spans="2:5" hidden="1" x14ac:dyDescent="0.25">
      <c r="B523" s="7"/>
      <c r="C523" s="50"/>
      <c r="D523" s="49" t="str">
        <f t="shared" si="8"/>
        <v/>
      </c>
      <c r="E523" s="45"/>
    </row>
    <row r="524" spans="2:5" hidden="1" x14ac:dyDescent="0.25">
      <c r="B524" s="7"/>
      <c r="C524" s="50"/>
      <c r="D524" s="49" t="str">
        <f t="shared" si="8"/>
        <v/>
      </c>
      <c r="E524" s="45"/>
    </row>
    <row r="525" spans="2:5" hidden="1" x14ac:dyDescent="0.25">
      <c r="B525" s="7"/>
      <c r="C525" s="50"/>
      <c r="D525" s="49" t="str">
        <f t="shared" si="8"/>
        <v/>
      </c>
      <c r="E525" s="45"/>
    </row>
    <row r="526" spans="2:5" hidden="1" x14ac:dyDescent="0.25">
      <c r="B526" s="7"/>
      <c r="C526" s="50"/>
      <c r="D526" s="49" t="str">
        <f t="shared" si="8"/>
        <v/>
      </c>
      <c r="E526" s="45"/>
    </row>
    <row r="527" spans="2:5" hidden="1" x14ac:dyDescent="0.25">
      <c r="B527" s="7"/>
      <c r="C527" s="50"/>
      <c r="D527" s="49" t="str">
        <f t="shared" si="8"/>
        <v/>
      </c>
      <c r="E527" s="45"/>
    </row>
    <row r="528" spans="2:5" hidden="1" x14ac:dyDescent="0.25">
      <c r="B528" s="7"/>
      <c r="C528" s="50"/>
      <c r="D528" s="49" t="str">
        <f t="shared" si="8"/>
        <v/>
      </c>
      <c r="E528" s="45"/>
    </row>
    <row r="529" spans="2:5" hidden="1" x14ac:dyDescent="0.25">
      <c r="B529" s="7"/>
      <c r="C529" s="50"/>
      <c r="D529" s="49" t="str">
        <f t="shared" si="8"/>
        <v/>
      </c>
      <c r="E529" s="45"/>
    </row>
    <row r="530" spans="2:5" hidden="1" x14ac:dyDescent="0.25">
      <c r="B530" s="7"/>
      <c r="C530" s="50"/>
      <c r="D530" s="49" t="str">
        <f t="shared" si="8"/>
        <v/>
      </c>
      <c r="E530" s="45"/>
    </row>
    <row r="531" spans="2:5" hidden="1" x14ac:dyDescent="0.25">
      <c r="B531" s="7"/>
      <c r="C531" s="50"/>
      <c r="D531" s="49" t="str">
        <f t="shared" si="8"/>
        <v/>
      </c>
      <c r="E531" s="45"/>
    </row>
    <row r="532" spans="2:5" hidden="1" x14ac:dyDescent="0.25">
      <c r="B532" s="7"/>
      <c r="C532" s="50"/>
      <c r="D532" s="49" t="str">
        <f t="shared" si="8"/>
        <v/>
      </c>
      <c r="E532" s="45"/>
    </row>
    <row r="533" spans="2:5" hidden="1" x14ac:dyDescent="0.25">
      <c r="B533" s="7"/>
      <c r="C533" s="50"/>
      <c r="D533" s="49" t="str">
        <f t="shared" si="8"/>
        <v/>
      </c>
      <c r="E533" s="45"/>
    </row>
    <row r="534" spans="2:5" hidden="1" x14ac:dyDescent="0.25">
      <c r="B534" s="7"/>
      <c r="C534" s="50"/>
      <c r="D534" s="49" t="str">
        <f t="shared" si="8"/>
        <v/>
      </c>
      <c r="E534" s="45"/>
    </row>
    <row r="535" spans="2:5" hidden="1" x14ac:dyDescent="0.25">
      <c r="B535" s="7"/>
      <c r="C535" s="50"/>
      <c r="D535" s="49" t="str">
        <f t="shared" si="8"/>
        <v/>
      </c>
      <c r="E535" s="45"/>
    </row>
    <row r="536" spans="2:5" hidden="1" x14ac:dyDescent="0.25">
      <c r="B536" s="7"/>
      <c r="C536" s="50"/>
      <c r="D536" s="49" t="str">
        <f t="shared" si="8"/>
        <v/>
      </c>
      <c r="E536" s="45"/>
    </row>
    <row r="537" spans="2:5" hidden="1" x14ac:dyDescent="0.25">
      <c r="B537" s="7"/>
      <c r="C537" s="50"/>
      <c r="D537" s="49" t="str">
        <f t="shared" si="8"/>
        <v/>
      </c>
      <c r="E537" s="45"/>
    </row>
    <row r="538" spans="2:5" hidden="1" x14ac:dyDescent="0.25">
      <c r="B538" s="7"/>
      <c r="C538" s="50"/>
      <c r="D538" s="49" t="str">
        <f t="shared" si="8"/>
        <v/>
      </c>
      <c r="E538" s="45"/>
    </row>
    <row r="539" spans="2:5" hidden="1" x14ac:dyDescent="0.25">
      <c r="B539" s="7"/>
      <c r="C539" s="50"/>
      <c r="D539" s="49" t="str">
        <f t="shared" si="8"/>
        <v/>
      </c>
      <c r="E539" s="45"/>
    </row>
    <row r="540" spans="2:5" hidden="1" x14ac:dyDescent="0.25">
      <c r="B540" s="7"/>
      <c r="C540" s="50"/>
      <c r="D540" s="49" t="str">
        <f t="shared" si="8"/>
        <v/>
      </c>
      <c r="E540" s="45"/>
    </row>
    <row r="541" spans="2:5" hidden="1" x14ac:dyDescent="0.25">
      <c r="B541" s="7"/>
      <c r="C541" s="50"/>
      <c r="D541" s="49" t="str">
        <f t="shared" si="8"/>
        <v/>
      </c>
      <c r="E541" s="45"/>
    </row>
    <row r="542" spans="2:5" hidden="1" x14ac:dyDescent="0.25">
      <c r="B542" s="7"/>
      <c r="C542" s="50"/>
      <c r="D542" s="49" t="str">
        <f t="shared" si="8"/>
        <v/>
      </c>
      <c r="E542" s="45"/>
    </row>
    <row r="543" spans="2:5" hidden="1" x14ac:dyDescent="0.25">
      <c r="B543" s="7"/>
      <c r="C543" s="50"/>
      <c r="D543" s="49" t="str">
        <f t="shared" si="8"/>
        <v/>
      </c>
      <c r="E543" s="45"/>
    </row>
    <row r="544" spans="2:5" hidden="1" x14ac:dyDescent="0.25">
      <c r="B544" s="7"/>
      <c r="C544" s="50"/>
      <c r="D544" s="49" t="str">
        <f t="shared" si="8"/>
        <v/>
      </c>
      <c r="E544" s="45"/>
    </row>
    <row r="545" spans="2:5" hidden="1" x14ac:dyDescent="0.25">
      <c r="B545" s="7"/>
      <c r="C545" s="50"/>
      <c r="D545" s="49" t="str">
        <f t="shared" si="8"/>
        <v/>
      </c>
      <c r="E545" s="45"/>
    </row>
    <row r="546" spans="2:5" hidden="1" x14ac:dyDescent="0.25">
      <c r="B546" s="7"/>
      <c r="C546" s="50"/>
      <c r="D546" s="49" t="str">
        <f t="shared" si="8"/>
        <v/>
      </c>
      <c r="E546" s="45"/>
    </row>
    <row r="547" spans="2:5" hidden="1" x14ac:dyDescent="0.25">
      <c r="B547" s="7"/>
      <c r="C547" s="50"/>
      <c r="D547" s="49" t="str">
        <f t="shared" si="8"/>
        <v/>
      </c>
      <c r="E547" s="45"/>
    </row>
    <row r="548" spans="2:5" hidden="1" x14ac:dyDescent="0.25">
      <c r="B548" s="7"/>
      <c r="C548" s="50"/>
      <c r="D548" s="49" t="str">
        <f t="shared" si="8"/>
        <v/>
      </c>
      <c r="E548" s="45"/>
    </row>
    <row r="549" spans="2:5" hidden="1" x14ac:dyDescent="0.25">
      <c r="B549" s="7"/>
      <c r="C549" s="50"/>
      <c r="D549" s="49" t="str">
        <f t="shared" si="8"/>
        <v/>
      </c>
      <c r="E549" s="45"/>
    </row>
    <row r="550" spans="2:5" hidden="1" x14ac:dyDescent="0.25">
      <c r="B550" s="7"/>
      <c r="C550" s="50"/>
      <c r="D550" s="49" t="str">
        <f t="shared" si="8"/>
        <v/>
      </c>
      <c r="E550" s="45"/>
    </row>
    <row r="551" spans="2:5" hidden="1" x14ac:dyDescent="0.25">
      <c r="B551" s="7"/>
      <c r="C551" s="50"/>
      <c r="D551" s="49" t="str">
        <f t="shared" si="8"/>
        <v/>
      </c>
      <c r="E551" s="45"/>
    </row>
    <row r="552" spans="2:5" hidden="1" x14ac:dyDescent="0.25">
      <c r="B552" s="7"/>
      <c r="C552" s="50"/>
      <c r="D552" s="49" t="str">
        <f t="shared" si="8"/>
        <v/>
      </c>
      <c r="E552" s="45"/>
    </row>
    <row r="553" spans="2:5" hidden="1" x14ac:dyDescent="0.25">
      <c r="B553" s="7"/>
      <c r="C553" s="50"/>
      <c r="D553" s="49" t="str">
        <f t="shared" si="8"/>
        <v/>
      </c>
      <c r="E553" s="45"/>
    </row>
    <row r="554" spans="2:5" hidden="1" x14ac:dyDescent="0.25">
      <c r="B554" s="7"/>
      <c r="C554" s="50"/>
      <c r="D554" s="49" t="str">
        <f t="shared" si="8"/>
        <v/>
      </c>
      <c r="E554" s="45"/>
    </row>
    <row r="555" spans="2:5" hidden="1" x14ac:dyDescent="0.25">
      <c r="B555" s="7"/>
      <c r="C555" s="50"/>
      <c r="D555" s="49" t="str">
        <f t="shared" si="8"/>
        <v/>
      </c>
      <c r="E555" s="45"/>
    </row>
    <row r="556" spans="2:5" hidden="1" x14ac:dyDescent="0.25">
      <c r="B556" s="7"/>
      <c r="C556" s="50"/>
      <c r="D556" s="49" t="str">
        <f t="shared" si="8"/>
        <v/>
      </c>
      <c r="E556" s="45"/>
    </row>
    <row r="557" spans="2:5" hidden="1" x14ac:dyDescent="0.25">
      <c r="B557" s="7"/>
      <c r="C557" s="50"/>
      <c r="D557" s="49" t="str">
        <f t="shared" si="8"/>
        <v/>
      </c>
      <c r="E557" s="45"/>
    </row>
    <row r="558" spans="2:5" hidden="1" x14ac:dyDescent="0.25">
      <c r="B558" s="7"/>
      <c r="C558" s="50"/>
      <c r="D558" s="49" t="str">
        <f t="shared" si="8"/>
        <v/>
      </c>
      <c r="E558" s="45"/>
    </row>
    <row r="559" spans="2:5" hidden="1" x14ac:dyDescent="0.25">
      <c r="B559" s="7"/>
      <c r="C559" s="50"/>
      <c r="D559" s="49" t="str">
        <f t="shared" si="8"/>
        <v/>
      </c>
      <c r="E559" s="45"/>
    </row>
    <row r="560" spans="2:5" hidden="1" x14ac:dyDescent="0.25">
      <c r="B560" s="7"/>
      <c r="C560" s="50"/>
      <c r="D560" s="49" t="str">
        <f t="shared" si="8"/>
        <v/>
      </c>
      <c r="E560" s="45"/>
    </row>
    <row r="561" spans="2:5" hidden="1" x14ac:dyDescent="0.25">
      <c r="B561" s="7"/>
      <c r="C561" s="50"/>
      <c r="D561" s="49" t="str">
        <f t="shared" si="8"/>
        <v/>
      </c>
      <c r="E561" s="45"/>
    </row>
    <row r="562" spans="2:5" hidden="1" x14ac:dyDescent="0.25">
      <c r="B562" s="7"/>
      <c r="C562" s="50"/>
      <c r="D562" s="49" t="str">
        <f t="shared" si="8"/>
        <v/>
      </c>
      <c r="E562" s="45"/>
    </row>
    <row r="563" spans="2:5" hidden="1" x14ac:dyDescent="0.25">
      <c r="B563" s="7"/>
      <c r="C563" s="50"/>
      <c r="D563" s="49" t="str">
        <f t="shared" si="8"/>
        <v/>
      </c>
      <c r="E563" s="45"/>
    </row>
    <row r="564" spans="2:5" hidden="1" x14ac:dyDescent="0.25">
      <c r="B564" s="7"/>
      <c r="C564" s="50"/>
      <c r="D564" s="49" t="str">
        <f t="shared" si="8"/>
        <v/>
      </c>
      <c r="E564" s="45"/>
    </row>
    <row r="565" spans="2:5" hidden="1" x14ac:dyDescent="0.25">
      <c r="B565" s="7"/>
      <c r="C565" s="50"/>
      <c r="D565" s="49" t="str">
        <f t="shared" si="8"/>
        <v/>
      </c>
      <c r="E565" s="45"/>
    </row>
    <row r="566" spans="2:5" hidden="1" x14ac:dyDescent="0.25">
      <c r="B566" s="7"/>
      <c r="C566" s="50"/>
      <c r="D566" s="49" t="str">
        <f t="shared" si="8"/>
        <v/>
      </c>
      <c r="E566" s="45"/>
    </row>
    <row r="567" spans="2:5" hidden="1" x14ac:dyDescent="0.25">
      <c r="B567" s="7"/>
      <c r="C567" s="50"/>
      <c r="D567" s="49" t="str">
        <f t="shared" si="8"/>
        <v/>
      </c>
      <c r="E567" s="45"/>
    </row>
    <row r="568" spans="2:5" hidden="1" x14ac:dyDescent="0.25">
      <c r="B568" s="7"/>
      <c r="C568" s="50"/>
      <c r="D568" s="49" t="str">
        <f t="shared" si="8"/>
        <v/>
      </c>
      <c r="E568" s="45"/>
    </row>
    <row r="569" spans="2:5" hidden="1" x14ac:dyDescent="0.25">
      <c r="B569" s="7"/>
      <c r="C569" s="50"/>
      <c r="D569" s="49" t="str">
        <f t="shared" si="8"/>
        <v/>
      </c>
      <c r="E569" s="45"/>
    </row>
    <row r="570" spans="2:5" hidden="1" x14ac:dyDescent="0.25">
      <c r="B570" s="7"/>
      <c r="C570" s="50"/>
      <c r="D570" s="49" t="str">
        <f t="shared" si="8"/>
        <v/>
      </c>
      <c r="E570" s="45"/>
    </row>
    <row r="571" spans="2:5" hidden="1" x14ac:dyDescent="0.25">
      <c r="B571" s="7"/>
      <c r="C571" s="50"/>
      <c r="D571" s="49" t="str">
        <f t="shared" si="8"/>
        <v/>
      </c>
      <c r="E571" s="45"/>
    </row>
    <row r="572" spans="2:5" hidden="1" x14ac:dyDescent="0.25">
      <c r="B572" s="7"/>
      <c r="C572" s="50"/>
      <c r="D572" s="49" t="str">
        <f t="shared" si="8"/>
        <v/>
      </c>
      <c r="E572" s="45"/>
    </row>
    <row r="573" spans="2:5" hidden="1" x14ac:dyDescent="0.25">
      <c r="B573" s="7"/>
      <c r="C573" s="50"/>
      <c r="D573" s="49" t="str">
        <f t="shared" si="8"/>
        <v/>
      </c>
      <c r="E573" s="45"/>
    </row>
    <row r="574" spans="2:5" hidden="1" x14ac:dyDescent="0.25">
      <c r="B574" s="7"/>
      <c r="C574" s="50"/>
      <c r="D574" s="49" t="str">
        <f t="shared" si="8"/>
        <v/>
      </c>
      <c r="E574" s="45"/>
    </row>
    <row r="575" spans="2:5" hidden="1" x14ac:dyDescent="0.25">
      <c r="B575" s="7"/>
      <c r="C575" s="50"/>
      <c r="D575" s="49" t="str">
        <f t="shared" si="8"/>
        <v/>
      </c>
      <c r="E575" s="45"/>
    </row>
    <row r="576" spans="2:5" hidden="1" x14ac:dyDescent="0.25">
      <c r="B576" s="7"/>
      <c r="C576" s="50"/>
      <c r="D576" s="49" t="str">
        <f t="shared" si="8"/>
        <v/>
      </c>
      <c r="E576" s="45"/>
    </row>
    <row r="577" spans="2:5" hidden="1" x14ac:dyDescent="0.25">
      <c r="B577" s="7"/>
      <c r="C577" s="50"/>
      <c r="D577" s="49" t="str">
        <f t="shared" si="8"/>
        <v/>
      </c>
      <c r="E577" s="45"/>
    </row>
    <row r="578" spans="2:5" hidden="1" x14ac:dyDescent="0.25">
      <c r="B578" s="7"/>
      <c r="C578" s="50"/>
      <c r="D578" s="49" t="str">
        <f t="shared" si="8"/>
        <v/>
      </c>
      <c r="E578" s="45"/>
    </row>
    <row r="579" spans="2:5" hidden="1" x14ac:dyDescent="0.25">
      <c r="B579" s="7"/>
      <c r="C579" s="50"/>
      <c r="D579" s="49" t="str">
        <f t="shared" si="8"/>
        <v/>
      </c>
      <c r="E579" s="45"/>
    </row>
    <row r="580" spans="2:5" hidden="1" x14ac:dyDescent="0.25">
      <c r="B580" s="7"/>
      <c r="C580" s="50"/>
      <c r="D580" s="49" t="str">
        <f t="shared" si="8"/>
        <v/>
      </c>
      <c r="E580" s="45"/>
    </row>
    <row r="581" spans="2:5" hidden="1" x14ac:dyDescent="0.25">
      <c r="B581" s="7"/>
      <c r="C581" s="50"/>
      <c r="D581" s="49" t="str">
        <f t="shared" si="8"/>
        <v/>
      </c>
      <c r="E581" s="45"/>
    </row>
    <row r="582" spans="2:5" hidden="1" x14ac:dyDescent="0.25">
      <c r="B582" s="7"/>
      <c r="C582" s="50"/>
      <c r="D582" s="49" t="str">
        <f t="shared" si="8"/>
        <v/>
      </c>
      <c r="E582" s="45"/>
    </row>
    <row r="583" spans="2:5" hidden="1" x14ac:dyDescent="0.25">
      <c r="B583" s="7"/>
      <c r="C583" s="50"/>
      <c r="D583" s="49" t="str">
        <f t="shared" ref="D583:D646" si="9">IF(ISNUMBER(C583),C583-rToday,"")</f>
        <v/>
      </c>
      <c r="E583" s="45"/>
    </row>
    <row r="584" spans="2:5" hidden="1" x14ac:dyDescent="0.25">
      <c r="B584" s="7"/>
      <c r="C584" s="50"/>
      <c r="D584" s="49" t="str">
        <f t="shared" si="9"/>
        <v/>
      </c>
      <c r="E584" s="45"/>
    </row>
    <row r="585" spans="2:5" hidden="1" x14ac:dyDescent="0.25">
      <c r="B585" s="7"/>
      <c r="C585" s="50"/>
      <c r="D585" s="49" t="str">
        <f t="shared" si="9"/>
        <v/>
      </c>
      <c r="E585" s="45"/>
    </row>
    <row r="586" spans="2:5" hidden="1" x14ac:dyDescent="0.25">
      <c r="B586" s="7"/>
      <c r="C586" s="50"/>
      <c r="D586" s="49" t="str">
        <f t="shared" si="9"/>
        <v/>
      </c>
      <c r="E586" s="45"/>
    </row>
    <row r="587" spans="2:5" hidden="1" x14ac:dyDescent="0.25">
      <c r="B587" s="7"/>
      <c r="C587" s="50"/>
      <c r="D587" s="49" t="str">
        <f t="shared" si="9"/>
        <v/>
      </c>
      <c r="E587" s="45"/>
    </row>
    <row r="588" spans="2:5" hidden="1" x14ac:dyDescent="0.25">
      <c r="B588" s="7"/>
      <c r="C588" s="50"/>
      <c r="D588" s="49" t="str">
        <f t="shared" si="9"/>
        <v/>
      </c>
      <c r="E588" s="45"/>
    </row>
    <row r="589" spans="2:5" hidden="1" x14ac:dyDescent="0.25">
      <c r="B589" s="7"/>
      <c r="C589" s="50"/>
      <c r="D589" s="49" t="str">
        <f t="shared" si="9"/>
        <v/>
      </c>
      <c r="E589" s="45"/>
    </row>
    <row r="590" spans="2:5" hidden="1" x14ac:dyDescent="0.25">
      <c r="B590" s="7"/>
      <c r="C590" s="50"/>
      <c r="D590" s="49" t="str">
        <f t="shared" si="9"/>
        <v/>
      </c>
      <c r="E590" s="45"/>
    </row>
    <row r="591" spans="2:5" hidden="1" x14ac:dyDescent="0.25">
      <c r="B591" s="7"/>
      <c r="C591" s="50"/>
      <c r="D591" s="49" t="str">
        <f t="shared" si="9"/>
        <v/>
      </c>
      <c r="E591" s="45"/>
    </row>
    <row r="592" spans="2:5" hidden="1" x14ac:dyDescent="0.25">
      <c r="B592" s="7"/>
      <c r="C592" s="50"/>
      <c r="D592" s="49" t="str">
        <f t="shared" si="9"/>
        <v/>
      </c>
      <c r="E592" s="45"/>
    </row>
    <row r="593" spans="2:5" hidden="1" x14ac:dyDescent="0.25">
      <c r="B593" s="7"/>
      <c r="C593" s="50"/>
      <c r="D593" s="49" t="str">
        <f t="shared" si="9"/>
        <v/>
      </c>
      <c r="E593" s="45"/>
    </row>
    <row r="594" spans="2:5" hidden="1" x14ac:dyDescent="0.25">
      <c r="B594" s="7"/>
      <c r="C594" s="50"/>
      <c r="D594" s="49" t="str">
        <f t="shared" si="9"/>
        <v/>
      </c>
      <c r="E594" s="45"/>
    </row>
    <row r="595" spans="2:5" hidden="1" x14ac:dyDescent="0.25">
      <c r="B595" s="7"/>
      <c r="C595" s="50"/>
      <c r="D595" s="49" t="str">
        <f t="shared" si="9"/>
        <v/>
      </c>
      <c r="E595" s="45"/>
    </row>
    <row r="596" spans="2:5" hidden="1" x14ac:dyDescent="0.25">
      <c r="B596" s="7"/>
      <c r="C596" s="50"/>
      <c r="D596" s="49" t="str">
        <f t="shared" si="9"/>
        <v/>
      </c>
      <c r="E596" s="45"/>
    </row>
    <row r="597" spans="2:5" hidden="1" x14ac:dyDescent="0.25">
      <c r="B597" s="7"/>
      <c r="C597" s="50"/>
      <c r="D597" s="49" t="str">
        <f t="shared" si="9"/>
        <v/>
      </c>
      <c r="E597" s="45"/>
    </row>
    <row r="598" spans="2:5" hidden="1" x14ac:dyDescent="0.25">
      <c r="B598" s="7"/>
      <c r="C598" s="50"/>
      <c r="D598" s="49" t="str">
        <f t="shared" si="9"/>
        <v/>
      </c>
      <c r="E598" s="45"/>
    </row>
    <row r="599" spans="2:5" hidden="1" x14ac:dyDescent="0.25">
      <c r="B599" s="7"/>
      <c r="C599" s="50"/>
      <c r="D599" s="49" t="str">
        <f t="shared" si="9"/>
        <v/>
      </c>
      <c r="E599" s="45"/>
    </row>
    <row r="600" spans="2:5" hidden="1" x14ac:dyDescent="0.25">
      <c r="B600" s="7"/>
      <c r="C600" s="50"/>
      <c r="D600" s="49" t="str">
        <f t="shared" si="9"/>
        <v/>
      </c>
      <c r="E600" s="45"/>
    </row>
    <row r="601" spans="2:5" hidden="1" x14ac:dyDescent="0.25">
      <c r="B601" s="7"/>
      <c r="C601" s="50"/>
      <c r="D601" s="49" t="str">
        <f t="shared" si="9"/>
        <v/>
      </c>
      <c r="E601" s="45"/>
    </row>
    <row r="602" spans="2:5" hidden="1" x14ac:dyDescent="0.25">
      <c r="B602" s="7"/>
      <c r="C602" s="50"/>
      <c r="D602" s="49" t="str">
        <f t="shared" si="9"/>
        <v/>
      </c>
      <c r="E602" s="45"/>
    </row>
    <row r="603" spans="2:5" hidden="1" x14ac:dyDescent="0.25">
      <c r="B603" s="7"/>
      <c r="C603" s="50"/>
      <c r="D603" s="49" t="str">
        <f t="shared" si="9"/>
        <v/>
      </c>
      <c r="E603" s="45"/>
    </row>
    <row r="604" spans="2:5" hidden="1" x14ac:dyDescent="0.25">
      <c r="B604" s="7"/>
      <c r="C604" s="50"/>
      <c r="D604" s="49" t="str">
        <f t="shared" si="9"/>
        <v/>
      </c>
      <c r="E604" s="45"/>
    </row>
    <row r="605" spans="2:5" hidden="1" x14ac:dyDescent="0.25">
      <c r="B605" s="7"/>
      <c r="C605" s="50"/>
      <c r="D605" s="49" t="str">
        <f t="shared" si="9"/>
        <v/>
      </c>
      <c r="E605" s="45"/>
    </row>
    <row r="606" spans="2:5" hidden="1" x14ac:dyDescent="0.25">
      <c r="B606" s="7"/>
      <c r="C606" s="50"/>
      <c r="D606" s="49" t="str">
        <f t="shared" si="9"/>
        <v/>
      </c>
      <c r="E606" s="45"/>
    </row>
    <row r="607" spans="2:5" hidden="1" x14ac:dyDescent="0.25">
      <c r="B607" s="7"/>
      <c r="C607" s="50"/>
      <c r="D607" s="49" t="str">
        <f t="shared" si="9"/>
        <v/>
      </c>
      <c r="E607" s="45"/>
    </row>
    <row r="608" spans="2:5" hidden="1" x14ac:dyDescent="0.25">
      <c r="B608" s="7"/>
      <c r="C608" s="50"/>
      <c r="D608" s="49" t="str">
        <f t="shared" si="9"/>
        <v/>
      </c>
      <c r="E608" s="45"/>
    </row>
    <row r="609" spans="2:5" hidden="1" x14ac:dyDescent="0.25">
      <c r="B609" s="7"/>
      <c r="C609" s="50"/>
      <c r="D609" s="49" t="str">
        <f t="shared" si="9"/>
        <v/>
      </c>
      <c r="E609" s="45"/>
    </row>
    <row r="610" spans="2:5" hidden="1" x14ac:dyDescent="0.25">
      <c r="B610" s="7"/>
      <c r="C610" s="50"/>
      <c r="D610" s="49" t="str">
        <f t="shared" si="9"/>
        <v/>
      </c>
      <c r="E610" s="45"/>
    </row>
    <row r="611" spans="2:5" hidden="1" x14ac:dyDescent="0.25">
      <c r="B611" s="7"/>
      <c r="C611" s="50"/>
      <c r="D611" s="49" t="str">
        <f t="shared" si="9"/>
        <v/>
      </c>
      <c r="E611" s="45"/>
    </row>
    <row r="612" spans="2:5" hidden="1" x14ac:dyDescent="0.25">
      <c r="B612" s="7"/>
      <c r="C612" s="50"/>
      <c r="D612" s="49" t="str">
        <f t="shared" si="9"/>
        <v/>
      </c>
      <c r="E612" s="45"/>
    </row>
    <row r="613" spans="2:5" hidden="1" x14ac:dyDescent="0.25">
      <c r="B613" s="7"/>
      <c r="C613" s="50"/>
      <c r="D613" s="49" t="str">
        <f t="shared" si="9"/>
        <v/>
      </c>
      <c r="E613" s="45"/>
    </row>
    <row r="614" spans="2:5" hidden="1" x14ac:dyDescent="0.25">
      <c r="B614" s="7"/>
      <c r="C614" s="50"/>
      <c r="D614" s="49" t="str">
        <f t="shared" si="9"/>
        <v/>
      </c>
      <c r="E614" s="45"/>
    </row>
    <row r="615" spans="2:5" hidden="1" x14ac:dyDescent="0.25">
      <c r="B615" s="7"/>
      <c r="C615" s="50"/>
      <c r="D615" s="49" t="str">
        <f t="shared" si="9"/>
        <v/>
      </c>
      <c r="E615" s="45"/>
    </row>
    <row r="616" spans="2:5" hidden="1" x14ac:dyDescent="0.25">
      <c r="B616" s="7"/>
      <c r="C616" s="50"/>
      <c r="D616" s="49" t="str">
        <f t="shared" si="9"/>
        <v/>
      </c>
      <c r="E616" s="45"/>
    </row>
    <row r="617" spans="2:5" hidden="1" x14ac:dyDescent="0.25">
      <c r="B617" s="7"/>
      <c r="C617" s="50"/>
      <c r="D617" s="49" t="str">
        <f t="shared" si="9"/>
        <v/>
      </c>
      <c r="E617" s="45"/>
    </row>
    <row r="618" spans="2:5" hidden="1" x14ac:dyDescent="0.25">
      <c r="B618" s="7"/>
      <c r="C618" s="50"/>
      <c r="D618" s="49" t="str">
        <f t="shared" si="9"/>
        <v/>
      </c>
      <c r="E618" s="45"/>
    </row>
    <row r="619" spans="2:5" hidden="1" x14ac:dyDescent="0.25">
      <c r="B619" s="7"/>
      <c r="C619" s="50"/>
      <c r="D619" s="49" t="str">
        <f t="shared" si="9"/>
        <v/>
      </c>
      <c r="E619" s="45"/>
    </row>
    <row r="620" spans="2:5" hidden="1" x14ac:dyDescent="0.25">
      <c r="B620" s="7"/>
      <c r="C620" s="50"/>
      <c r="D620" s="49" t="str">
        <f t="shared" si="9"/>
        <v/>
      </c>
      <c r="E620" s="45"/>
    </row>
    <row r="621" spans="2:5" hidden="1" x14ac:dyDescent="0.25">
      <c r="B621" s="7"/>
      <c r="C621" s="50"/>
      <c r="D621" s="49" t="str">
        <f t="shared" si="9"/>
        <v/>
      </c>
      <c r="E621" s="45"/>
    </row>
    <row r="622" spans="2:5" hidden="1" x14ac:dyDescent="0.25">
      <c r="B622" s="7"/>
      <c r="C622" s="50"/>
      <c r="D622" s="49" t="str">
        <f t="shared" si="9"/>
        <v/>
      </c>
      <c r="E622" s="45"/>
    </row>
    <row r="623" spans="2:5" hidden="1" x14ac:dyDescent="0.25">
      <c r="B623" s="7"/>
      <c r="C623" s="50"/>
      <c r="D623" s="49" t="str">
        <f t="shared" si="9"/>
        <v/>
      </c>
      <c r="E623" s="45"/>
    </row>
    <row r="624" spans="2:5" hidden="1" x14ac:dyDescent="0.25">
      <c r="B624" s="7"/>
      <c r="C624" s="50"/>
      <c r="D624" s="49" t="str">
        <f t="shared" si="9"/>
        <v/>
      </c>
      <c r="E624" s="45"/>
    </row>
    <row r="625" spans="2:5" hidden="1" x14ac:dyDescent="0.25">
      <c r="B625" s="7"/>
      <c r="C625" s="50"/>
      <c r="D625" s="49" t="str">
        <f t="shared" si="9"/>
        <v/>
      </c>
      <c r="E625" s="45"/>
    </row>
    <row r="626" spans="2:5" hidden="1" x14ac:dyDescent="0.25">
      <c r="B626" s="7"/>
      <c r="C626" s="50"/>
      <c r="D626" s="49" t="str">
        <f t="shared" si="9"/>
        <v/>
      </c>
      <c r="E626" s="45"/>
    </row>
    <row r="627" spans="2:5" hidden="1" x14ac:dyDescent="0.25">
      <c r="B627" s="7"/>
      <c r="C627" s="50"/>
      <c r="D627" s="49" t="str">
        <f t="shared" si="9"/>
        <v/>
      </c>
      <c r="E627" s="45"/>
    </row>
    <row r="628" spans="2:5" hidden="1" x14ac:dyDescent="0.25">
      <c r="B628" s="7"/>
      <c r="C628" s="50"/>
      <c r="D628" s="49" t="str">
        <f t="shared" si="9"/>
        <v/>
      </c>
      <c r="E628" s="45"/>
    </row>
    <row r="629" spans="2:5" hidden="1" x14ac:dyDescent="0.25">
      <c r="B629" s="7"/>
      <c r="C629" s="50"/>
      <c r="D629" s="49" t="str">
        <f t="shared" si="9"/>
        <v/>
      </c>
      <c r="E629" s="45"/>
    </row>
    <row r="630" spans="2:5" hidden="1" x14ac:dyDescent="0.25">
      <c r="B630" s="7"/>
      <c r="C630" s="50"/>
      <c r="D630" s="49" t="str">
        <f t="shared" si="9"/>
        <v/>
      </c>
      <c r="E630" s="45"/>
    </row>
    <row r="631" spans="2:5" hidden="1" x14ac:dyDescent="0.25">
      <c r="B631" s="7"/>
      <c r="C631" s="50"/>
      <c r="D631" s="49" t="str">
        <f t="shared" si="9"/>
        <v/>
      </c>
      <c r="E631" s="45"/>
    </row>
    <row r="632" spans="2:5" hidden="1" x14ac:dyDescent="0.25">
      <c r="B632" s="7"/>
      <c r="C632" s="50"/>
      <c r="D632" s="49" t="str">
        <f t="shared" si="9"/>
        <v/>
      </c>
      <c r="E632" s="45"/>
    </row>
    <row r="633" spans="2:5" hidden="1" x14ac:dyDescent="0.25">
      <c r="B633" s="7"/>
      <c r="C633" s="50"/>
      <c r="D633" s="49" t="str">
        <f t="shared" si="9"/>
        <v/>
      </c>
      <c r="E633" s="45"/>
    </row>
    <row r="634" spans="2:5" hidden="1" x14ac:dyDescent="0.25">
      <c r="B634" s="7"/>
      <c r="C634" s="50"/>
      <c r="D634" s="49" t="str">
        <f t="shared" si="9"/>
        <v/>
      </c>
      <c r="E634" s="45"/>
    </row>
    <row r="635" spans="2:5" hidden="1" x14ac:dyDescent="0.25">
      <c r="B635" s="7"/>
      <c r="C635" s="50"/>
      <c r="D635" s="49" t="str">
        <f t="shared" si="9"/>
        <v/>
      </c>
      <c r="E635" s="45"/>
    </row>
    <row r="636" spans="2:5" hidden="1" x14ac:dyDescent="0.25">
      <c r="B636" s="7"/>
      <c r="C636" s="50"/>
      <c r="D636" s="49" t="str">
        <f t="shared" si="9"/>
        <v/>
      </c>
      <c r="E636" s="45"/>
    </row>
    <row r="637" spans="2:5" hidden="1" x14ac:dyDescent="0.25">
      <c r="B637" s="7"/>
      <c r="C637" s="50"/>
      <c r="D637" s="49" t="str">
        <f t="shared" si="9"/>
        <v/>
      </c>
      <c r="E637" s="45"/>
    </row>
    <row r="638" spans="2:5" hidden="1" x14ac:dyDescent="0.25">
      <c r="B638" s="7"/>
      <c r="C638" s="50"/>
      <c r="D638" s="49" t="str">
        <f t="shared" si="9"/>
        <v/>
      </c>
      <c r="E638" s="45"/>
    </row>
    <row r="639" spans="2:5" hidden="1" x14ac:dyDescent="0.25">
      <c r="B639" s="7"/>
      <c r="C639" s="50"/>
      <c r="D639" s="49" t="str">
        <f t="shared" si="9"/>
        <v/>
      </c>
      <c r="E639" s="45"/>
    </row>
    <row r="640" spans="2:5" hidden="1" x14ac:dyDescent="0.25">
      <c r="B640" s="7"/>
      <c r="C640" s="50"/>
      <c r="D640" s="49" t="str">
        <f t="shared" si="9"/>
        <v/>
      </c>
      <c r="E640" s="45"/>
    </row>
    <row r="641" spans="2:5" hidden="1" x14ac:dyDescent="0.25">
      <c r="B641" s="7"/>
      <c r="C641" s="50"/>
      <c r="D641" s="49" t="str">
        <f t="shared" si="9"/>
        <v/>
      </c>
      <c r="E641" s="45"/>
    </row>
    <row r="642" spans="2:5" hidden="1" x14ac:dyDescent="0.25">
      <c r="B642" s="7"/>
      <c r="C642" s="50"/>
      <c r="D642" s="49" t="str">
        <f t="shared" si="9"/>
        <v/>
      </c>
      <c r="E642" s="45"/>
    </row>
    <row r="643" spans="2:5" hidden="1" x14ac:dyDescent="0.25">
      <c r="B643" s="7"/>
      <c r="C643" s="50"/>
      <c r="D643" s="49" t="str">
        <f t="shared" si="9"/>
        <v/>
      </c>
      <c r="E643" s="45"/>
    </row>
    <row r="644" spans="2:5" hidden="1" x14ac:dyDescent="0.25">
      <c r="B644" s="7"/>
      <c r="C644" s="50"/>
      <c r="D644" s="49" t="str">
        <f t="shared" si="9"/>
        <v/>
      </c>
      <c r="E644" s="45"/>
    </row>
    <row r="645" spans="2:5" hidden="1" x14ac:dyDescent="0.25">
      <c r="B645" s="7"/>
      <c r="C645" s="50"/>
      <c r="D645" s="49" t="str">
        <f t="shared" si="9"/>
        <v/>
      </c>
      <c r="E645" s="45"/>
    </row>
    <row r="646" spans="2:5" hidden="1" x14ac:dyDescent="0.25">
      <c r="B646" s="7"/>
      <c r="C646" s="50"/>
      <c r="D646" s="49" t="str">
        <f t="shared" si="9"/>
        <v/>
      </c>
      <c r="E646" s="45"/>
    </row>
    <row r="647" spans="2:5" hidden="1" x14ac:dyDescent="0.25">
      <c r="B647" s="7"/>
      <c r="C647" s="50"/>
      <c r="D647" s="49" t="str">
        <f t="shared" ref="D647:D710" si="10">IF(ISNUMBER(C647),C647-rToday,"")</f>
        <v/>
      </c>
      <c r="E647" s="45"/>
    </row>
    <row r="648" spans="2:5" hidden="1" x14ac:dyDescent="0.25">
      <c r="B648" s="7"/>
      <c r="C648" s="50"/>
      <c r="D648" s="49" t="str">
        <f t="shared" si="10"/>
        <v/>
      </c>
      <c r="E648" s="45"/>
    </row>
    <row r="649" spans="2:5" hidden="1" x14ac:dyDescent="0.25">
      <c r="B649" s="7"/>
      <c r="C649" s="50"/>
      <c r="D649" s="49" t="str">
        <f t="shared" si="10"/>
        <v/>
      </c>
      <c r="E649" s="45"/>
    </row>
    <row r="650" spans="2:5" hidden="1" x14ac:dyDescent="0.25">
      <c r="B650" s="7"/>
      <c r="C650" s="50"/>
      <c r="D650" s="49" t="str">
        <f t="shared" si="10"/>
        <v/>
      </c>
      <c r="E650" s="45"/>
    </row>
    <row r="651" spans="2:5" hidden="1" x14ac:dyDescent="0.25">
      <c r="B651" s="7"/>
      <c r="C651" s="50"/>
      <c r="D651" s="49" t="str">
        <f t="shared" si="10"/>
        <v/>
      </c>
      <c r="E651" s="45"/>
    </row>
    <row r="652" spans="2:5" hidden="1" x14ac:dyDescent="0.25">
      <c r="B652" s="7"/>
      <c r="C652" s="50"/>
      <c r="D652" s="49" t="str">
        <f t="shared" si="10"/>
        <v/>
      </c>
      <c r="E652" s="45"/>
    </row>
    <row r="653" spans="2:5" hidden="1" x14ac:dyDescent="0.25">
      <c r="B653" s="7"/>
      <c r="C653" s="50"/>
      <c r="D653" s="49" t="str">
        <f t="shared" si="10"/>
        <v/>
      </c>
      <c r="E653" s="45"/>
    </row>
    <row r="654" spans="2:5" hidden="1" x14ac:dyDescent="0.25">
      <c r="B654" s="7"/>
      <c r="C654" s="50"/>
      <c r="D654" s="49" t="str">
        <f t="shared" si="10"/>
        <v/>
      </c>
      <c r="E654" s="45"/>
    </row>
    <row r="655" spans="2:5" hidden="1" x14ac:dyDescent="0.25">
      <c r="B655" s="7"/>
      <c r="C655" s="50"/>
      <c r="D655" s="49" t="str">
        <f t="shared" si="10"/>
        <v/>
      </c>
      <c r="E655" s="45"/>
    </row>
    <row r="656" spans="2:5" hidden="1" x14ac:dyDescent="0.25">
      <c r="B656" s="7"/>
      <c r="C656" s="50"/>
      <c r="D656" s="49" t="str">
        <f t="shared" si="10"/>
        <v/>
      </c>
      <c r="E656" s="45"/>
    </row>
    <row r="657" spans="2:5" hidden="1" x14ac:dyDescent="0.25">
      <c r="B657" s="7"/>
      <c r="C657" s="50"/>
      <c r="D657" s="49" t="str">
        <f t="shared" si="10"/>
        <v/>
      </c>
      <c r="E657" s="45"/>
    </row>
    <row r="658" spans="2:5" hidden="1" x14ac:dyDescent="0.25">
      <c r="B658" s="7"/>
      <c r="C658" s="50"/>
      <c r="D658" s="49" t="str">
        <f t="shared" si="10"/>
        <v/>
      </c>
      <c r="E658" s="45"/>
    </row>
    <row r="659" spans="2:5" hidden="1" x14ac:dyDescent="0.25">
      <c r="B659" s="7"/>
      <c r="C659" s="50"/>
      <c r="D659" s="49" t="str">
        <f t="shared" si="10"/>
        <v/>
      </c>
      <c r="E659" s="45"/>
    </row>
    <row r="660" spans="2:5" hidden="1" x14ac:dyDescent="0.25">
      <c r="B660" s="7"/>
      <c r="C660" s="50"/>
      <c r="D660" s="49" t="str">
        <f t="shared" si="10"/>
        <v/>
      </c>
      <c r="E660" s="45"/>
    </row>
    <row r="661" spans="2:5" hidden="1" x14ac:dyDescent="0.25">
      <c r="B661" s="7"/>
      <c r="C661" s="50"/>
      <c r="D661" s="49" t="str">
        <f t="shared" si="10"/>
        <v/>
      </c>
      <c r="E661" s="45"/>
    </row>
    <row r="662" spans="2:5" hidden="1" x14ac:dyDescent="0.25">
      <c r="B662" s="7"/>
      <c r="C662" s="50"/>
      <c r="D662" s="49" t="str">
        <f t="shared" si="10"/>
        <v/>
      </c>
      <c r="E662" s="45"/>
    </row>
    <row r="663" spans="2:5" hidden="1" x14ac:dyDescent="0.25">
      <c r="B663" s="7"/>
      <c r="C663" s="50"/>
      <c r="D663" s="49" t="str">
        <f t="shared" si="10"/>
        <v/>
      </c>
      <c r="E663" s="45"/>
    </row>
    <row r="664" spans="2:5" hidden="1" x14ac:dyDescent="0.25">
      <c r="B664" s="7"/>
      <c r="C664" s="50"/>
      <c r="D664" s="49" t="str">
        <f t="shared" si="10"/>
        <v/>
      </c>
      <c r="E664" s="45"/>
    </row>
    <row r="665" spans="2:5" hidden="1" x14ac:dyDescent="0.25">
      <c r="B665" s="7"/>
      <c r="C665" s="50"/>
      <c r="D665" s="49" t="str">
        <f t="shared" si="10"/>
        <v/>
      </c>
      <c r="E665" s="45"/>
    </row>
    <row r="666" spans="2:5" hidden="1" x14ac:dyDescent="0.25">
      <c r="B666" s="7"/>
      <c r="C666" s="50"/>
      <c r="D666" s="49" t="str">
        <f t="shared" si="10"/>
        <v/>
      </c>
      <c r="E666" s="45"/>
    </row>
    <row r="667" spans="2:5" hidden="1" x14ac:dyDescent="0.25">
      <c r="B667" s="7"/>
      <c r="C667" s="50"/>
      <c r="D667" s="49" t="str">
        <f t="shared" si="10"/>
        <v/>
      </c>
      <c r="E667" s="45"/>
    </row>
    <row r="668" spans="2:5" hidden="1" x14ac:dyDescent="0.25">
      <c r="B668" s="7"/>
      <c r="C668" s="50"/>
      <c r="D668" s="49" t="str">
        <f t="shared" si="10"/>
        <v/>
      </c>
      <c r="E668" s="45"/>
    </row>
    <row r="669" spans="2:5" hidden="1" x14ac:dyDescent="0.25">
      <c r="B669" s="7"/>
      <c r="C669" s="50"/>
      <c r="D669" s="49" t="str">
        <f t="shared" si="10"/>
        <v/>
      </c>
      <c r="E669" s="45"/>
    </row>
    <row r="670" spans="2:5" hidden="1" x14ac:dyDescent="0.25">
      <c r="B670" s="7"/>
      <c r="C670" s="50"/>
      <c r="D670" s="49" t="str">
        <f t="shared" si="10"/>
        <v/>
      </c>
      <c r="E670" s="45"/>
    </row>
    <row r="671" spans="2:5" hidden="1" x14ac:dyDescent="0.25">
      <c r="B671" s="7"/>
      <c r="C671" s="50"/>
      <c r="D671" s="49" t="str">
        <f t="shared" si="10"/>
        <v/>
      </c>
      <c r="E671" s="45"/>
    </row>
    <row r="672" spans="2:5" hidden="1" x14ac:dyDescent="0.25">
      <c r="B672" s="7"/>
      <c r="C672" s="50"/>
      <c r="D672" s="49" t="str">
        <f t="shared" si="10"/>
        <v/>
      </c>
      <c r="E672" s="45"/>
    </row>
    <row r="673" spans="2:5" hidden="1" x14ac:dyDescent="0.25">
      <c r="B673" s="7"/>
      <c r="C673" s="50"/>
      <c r="D673" s="49" t="str">
        <f t="shared" si="10"/>
        <v/>
      </c>
      <c r="E673" s="45"/>
    </row>
    <row r="674" spans="2:5" hidden="1" x14ac:dyDescent="0.25">
      <c r="B674" s="7"/>
      <c r="C674" s="50"/>
      <c r="D674" s="49" t="str">
        <f t="shared" si="10"/>
        <v/>
      </c>
      <c r="E674" s="45"/>
    </row>
    <row r="675" spans="2:5" hidden="1" x14ac:dyDescent="0.25">
      <c r="B675" s="7"/>
      <c r="C675" s="50"/>
      <c r="D675" s="49" t="str">
        <f t="shared" si="10"/>
        <v/>
      </c>
      <c r="E675" s="45"/>
    </row>
    <row r="676" spans="2:5" hidden="1" x14ac:dyDescent="0.25">
      <c r="B676" s="7"/>
      <c r="C676" s="50"/>
      <c r="D676" s="49" t="str">
        <f t="shared" si="10"/>
        <v/>
      </c>
      <c r="E676" s="45"/>
    </row>
    <row r="677" spans="2:5" hidden="1" x14ac:dyDescent="0.25">
      <c r="B677" s="7"/>
      <c r="C677" s="50"/>
      <c r="D677" s="49" t="str">
        <f t="shared" si="10"/>
        <v/>
      </c>
      <c r="E677" s="45"/>
    </row>
    <row r="678" spans="2:5" hidden="1" x14ac:dyDescent="0.25">
      <c r="B678" s="7"/>
      <c r="C678" s="50"/>
      <c r="D678" s="49" t="str">
        <f t="shared" si="10"/>
        <v/>
      </c>
      <c r="E678" s="45"/>
    </row>
    <row r="679" spans="2:5" hidden="1" x14ac:dyDescent="0.25">
      <c r="B679" s="7"/>
      <c r="C679" s="50"/>
      <c r="D679" s="49" t="str">
        <f t="shared" si="10"/>
        <v/>
      </c>
      <c r="E679" s="45"/>
    </row>
    <row r="680" spans="2:5" hidden="1" x14ac:dyDescent="0.25">
      <c r="B680" s="7"/>
      <c r="C680" s="50"/>
      <c r="D680" s="49" t="str">
        <f t="shared" si="10"/>
        <v/>
      </c>
      <c r="E680" s="45"/>
    </row>
    <row r="681" spans="2:5" hidden="1" x14ac:dyDescent="0.25">
      <c r="B681" s="7"/>
      <c r="C681" s="50"/>
      <c r="D681" s="49" t="str">
        <f t="shared" si="10"/>
        <v/>
      </c>
      <c r="E681" s="45"/>
    </row>
    <row r="682" spans="2:5" hidden="1" x14ac:dyDescent="0.25">
      <c r="B682" s="7"/>
      <c r="C682" s="50"/>
      <c r="D682" s="49" t="str">
        <f t="shared" si="10"/>
        <v/>
      </c>
      <c r="E682" s="45"/>
    </row>
    <row r="683" spans="2:5" hidden="1" x14ac:dyDescent="0.25">
      <c r="B683" s="7"/>
      <c r="C683" s="50"/>
      <c r="D683" s="49" t="str">
        <f t="shared" si="10"/>
        <v/>
      </c>
      <c r="E683" s="45"/>
    </row>
    <row r="684" spans="2:5" hidden="1" x14ac:dyDescent="0.25">
      <c r="B684" s="7"/>
      <c r="C684" s="50"/>
      <c r="D684" s="49" t="str">
        <f t="shared" si="10"/>
        <v/>
      </c>
      <c r="E684" s="45"/>
    </row>
    <row r="685" spans="2:5" hidden="1" x14ac:dyDescent="0.25">
      <c r="B685" s="7"/>
      <c r="C685" s="50"/>
      <c r="D685" s="49" t="str">
        <f t="shared" si="10"/>
        <v/>
      </c>
      <c r="E685" s="45"/>
    </row>
    <row r="686" spans="2:5" hidden="1" x14ac:dyDescent="0.25">
      <c r="B686" s="7"/>
      <c r="C686" s="50"/>
      <c r="D686" s="49" t="str">
        <f t="shared" si="10"/>
        <v/>
      </c>
      <c r="E686" s="45"/>
    </row>
    <row r="687" spans="2:5" hidden="1" x14ac:dyDescent="0.25">
      <c r="B687" s="7"/>
      <c r="C687" s="50"/>
      <c r="D687" s="49" t="str">
        <f t="shared" si="10"/>
        <v/>
      </c>
      <c r="E687" s="45"/>
    </row>
    <row r="688" spans="2:5" hidden="1" x14ac:dyDescent="0.25">
      <c r="B688" s="7"/>
      <c r="C688" s="50"/>
      <c r="D688" s="49" t="str">
        <f t="shared" si="10"/>
        <v/>
      </c>
      <c r="E688" s="45"/>
    </row>
    <row r="689" spans="2:5" hidden="1" x14ac:dyDescent="0.25">
      <c r="B689" s="7"/>
      <c r="C689" s="50"/>
      <c r="D689" s="49" t="str">
        <f t="shared" si="10"/>
        <v/>
      </c>
      <c r="E689" s="45"/>
    </row>
    <row r="690" spans="2:5" hidden="1" x14ac:dyDescent="0.25">
      <c r="B690" s="7"/>
      <c r="C690" s="50"/>
      <c r="D690" s="49" t="str">
        <f t="shared" si="10"/>
        <v/>
      </c>
      <c r="E690" s="45"/>
    </row>
    <row r="691" spans="2:5" hidden="1" x14ac:dyDescent="0.25">
      <c r="B691" s="7"/>
      <c r="C691" s="50"/>
      <c r="D691" s="49" t="str">
        <f t="shared" si="10"/>
        <v/>
      </c>
      <c r="E691" s="45"/>
    </row>
    <row r="692" spans="2:5" hidden="1" x14ac:dyDescent="0.25">
      <c r="B692" s="7"/>
      <c r="C692" s="50"/>
      <c r="D692" s="49" t="str">
        <f t="shared" si="10"/>
        <v/>
      </c>
      <c r="E692" s="45"/>
    </row>
    <row r="693" spans="2:5" hidden="1" x14ac:dyDescent="0.25">
      <c r="B693" s="7"/>
      <c r="C693" s="50"/>
      <c r="D693" s="49" t="str">
        <f t="shared" si="10"/>
        <v/>
      </c>
      <c r="E693" s="45"/>
    </row>
    <row r="694" spans="2:5" hidden="1" x14ac:dyDescent="0.25">
      <c r="B694" s="7"/>
      <c r="C694" s="50"/>
      <c r="D694" s="49" t="str">
        <f t="shared" si="10"/>
        <v/>
      </c>
      <c r="E694" s="45"/>
    </row>
    <row r="695" spans="2:5" hidden="1" x14ac:dyDescent="0.25">
      <c r="B695" s="7"/>
      <c r="C695" s="50"/>
      <c r="D695" s="49" t="str">
        <f t="shared" si="10"/>
        <v/>
      </c>
      <c r="E695" s="45"/>
    </row>
    <row r="696" spans="2:5" hidden="1" x14ac:dyDescent="0.25">
      <c r="B696" s="7"/>
      <c r="C696" s="50"/>
      <c r="D696" s="49" t="str">
        <f t="shared" si="10"/>
        <v/>
      </c>
      <c r="E696" s="45"/>
    </row>
    <row r="697" spans="2:5" hidden="1" x14ac:dyDescent="0.25">
      <c r="B697" s="7"/>
      <c r="C697" s="50"/>
      <c r="D697" s="49" t="str">
        <f t="shared" si="10"/>
        <v/>
      </c>
      <c r="E697" s="45"/>
    </row>
    <row r="698" spans="2:5" hidden="1" x14ac:dyDescent="0.25">
      <c r="B698" s="7"/>
      <c r="C698" s="50"/>
      <c r="D698" s="49" t="str">
        <f t="shared" si="10"/>
        <v/>
      </c>
      <c r="E698" s="45"/>
    </row>
    <row r="699" spans="2:5" hidden="1" x14ac:dyDescent="0.25">
      <c r="B699" s="7"/>
      <c r="C699" s="50"/>
      <c r="D699" s="49" t="str">
        <f t="shared" si="10"/>
        <v/>
      </c>
      <c r="E699" s="45"/>
    </row>
    <row r="700" spans="2:5" hidden="1" x14ac:dyDescent="0.25">
      <c r="B700" s="7"/>
      <c r="C700" s="50"/>
      <c r="D700" s="49" t="str">
        <f t="shared" si="10"/>
        <v/>
      </c>
      <c r="E700" s="45"/>
    </row>
    <row r="701" spans="2:5" hidden="1" x14ac:dyDescent="0.25">
      <c r="B701" s="7"/>
      <c r="C701" s="50"/>
      <c r="D701" s="49" t="str">
        <f t="shared" si="10"/>
        <v/>
      </c>
      <c r="E701" s="45"/>
    </row>
    <row r="702" spans="2:5" hidden="1" x14ac:dyDescent="0.25">
      <c r="B702" s="7"/>
      <c r="C702" s="50"/>
      <c r="D702" s="49" t="str">
        <f t="shared" si="10"/>
        <v/>
      </c>
      <c r="E702" s="45"/>
    </row>
    <row r="703" spans="2:5" hidden="1" x14ac:dyDescent="0.25">
      <c r="B703" s="7"/>
      <c r="C703" s="50"/>
      <c r="D703" s="49" t="str">
        <f t="shared" si="10"/>
        <v/>
      </c>
      <c r="E703" s="45"/>
    </row>
    <row r="704" spans="2:5" hidden="1" x14ac:dyDescent="0.25">
      <c r="B704" s="7"/>
      <c r="C704" s="50"/>
      <c r="D704" s="49" t="str">
        <f t="shared" si="10"/>
        <v/>
      </c>
      <c r="E704" s="45"/>
    </row>
    <row r="705" spans="2:5" hidden="1" x14ac:dyDescent="0.25">
      <c r="B705" s="7"/>
      <c r="C705" s="50"/>
      <c r="D705" s="49" t="str">
        <f t="shared" si="10"/>
        <v/>
      </c>
      <c r="E705" s="45"/>
    </row>
    <row r="706" spans="2:5" hidden="1" x14ac:dyDescent="0.25">
      <c r="B706" s="7"/>
      <c r="C706" s="50"/>
      <c r="D706" s="49" t="str">
        <f t="shared" si="10"/>
        <v/>
      </c>
      <c r="E706" s="45"/>
    </row>
    <row r="707" spans="2:5" hidden="1" x14ac:dyDescent="0.25">
      <c r="B707" s="7"/>
      <c r="C707" s="50"/>
      <c r="D707" s="49" t="str">
        <f t="shared" si="10"/>
        <v/>
      </c>
      <c r="E707" s="45"/>
    </row>
    <row r="708" spans="2:5" hidden="1" x14ac:dyDescent="0.25">
      <c r="B708" s="7"/>
      <c r="C708" s="50"/>
      <c r="D708" s="49" t="str">
        <f t="shared" si="10"/>
        <v/>
      </c>
      <c r="E708" s="45"/>
    </row>
    <row r="709" spans="2:5" hidden="1" x14ac:dyDescent="0.25">
      <c r="B709" s="7"/>
      <c r="C709" s="50"/>
      <c r="D709" s="49" t="str">
        <f t="shared" si="10"/>
        <v/>
      </c>
      <c r="E709" s="45"/>
    </row>
    <row r="710" spans="2:5" hidden="1" x14ac:dyDescent="0.25">
      <c r="B710" s="7"/>
      <c r="C710" s="50"/>
      <c r="D710" s="49" t="str">
        <f t="shared" si="10"/>
        <v/>
      </c>
      <c r="E710" s="45"/>
    </row>
    <row r="711" spans="2:5" hidden="1" x14ac:dyDescent="0.25">
      <c r="B711" s="7"/>
      <c r="C711" s="50"/>
      <c r="D711" s="49" t="str">
        <f t="shared" ref="D711:D774" si="11">IF(ISNUMBER(C711),C711-rToday,"")</f>
        <v/>
      </c>
      <c r="E711" s="45"/>
    </row>
    <row r="712" spans="2:5" hidden="1" x14ac:dyDescent="0.25">
      <c r="B712" s="7"/>
      <c r="C712" s="50"/>
      <c r="D712" s="49" t="str">
        <f t="shared" si="11"/>
        <v/>
      </c>
      <c r="E712" s="45"/>
    </row>
    <row r="713" spans="2:5" hidden="1" x14ac:dyDescent="0.25">
      <c r="B713" s="7"/>
      <c r="C713" s="50"/>
      <c r="D713" s="49" t="str">
        <f t="shared" si="11"/>
        <v/>
      </c>
      <c r="E713" s="45"/>
    </row>
    <row r="714" spans="2:5" hidden="1" x14ac:dyDescent="0.25">
      <c r="B714" s="7"/>
      <c r="C714" s="50"/>
      <c r="D714" s="49" t="str">
        <f t="shared" si="11"/>
        <v/>
      </c>
      <c r="E714" s="45"/>
    </row>
    <row r="715" spans="2:5" hidden="1" x14ac:dyDescent="0.25">
      <c r="B715" s="7"/>
      <c r="C715" s="50"/>
      <c r="D715" s="49" t="str">
        <f t="shared" si="11"/>
        <v/>
      </c>
      <c r="E715" s="45"/>
    </row>
    <row r="716" spans="2:5" hidden="1" x14ac:dyDescent="0.25">
      <c r="B716" s="7"/>
      <c r="C716" s="50"/>
      <c r="D716" s="49" t="str">
        <f t="shared" si="11"/>
        <v/>
      </c>
      <c r="E716" s="45"/>
    </row>
    <row r="717" spans="2:5" hidden="1" x14ac:dyDescent="0.25">
      <c r="B717" s="7"/>
      <c r="C717" s="50"/>
      <c r="D717" s="49" t="str">
        <f t="shared" si="11"/>
        <v/>
      </c>
      <c r="E717" s="45"/>
    </row>
    <row r="718" spans="2:5" hidden="1" x14ac:dyDescent="0.25">
      <c r="B718" s="7"/>
      <c r="C718" s="50"/>
      <c r="D718" s="49" t="str">
        <f t="shared" si="11"/>
        <v/>
      </c>
      <c r="E718" s="45"/>
    </row>
    <row r="719" spans="2:5" hidden="1" x14ac:dyDescent="0.25">
      <c r="B719" s="7"/>
      <c r="C719" s="50"/>
      <c r="D719" s="49" t="str">
        <f t="shared" si="11"/>
        <v/>
      </c>
      <c r="E719" s="45"/>
    </row>
    <row r="720" spans="2:5" hidden="1" x14ac:dyDescent="0.25">
      <c r="B720" s="7"/>
      <c r="C720" s="50"/>
      <c r="D720" s="49" t="str">
        <f t="shared" si="11"/>
        <v/>
      </c>
      <c r="E720" s="45"/>
    </row>
    <row r="721" spans="2:5" hidden="1" x14ac:dyDescent="0.25">
      <c r="B721" s="7"/>
      <c r="C721" s="50"/>
      <c r="D721" s="49" t="str">
        <f t="shared" si="11"/>
        <v/>
      </c>
      <c r="E721" s="45"/>
    </row>
    <row r="722" spans="2:5" hidden="1" x14ac:dyDescent="0.25">
      <c r="B722" s="7"/>
      <c r="C722" s="50"/>
      <c r="D722" s="49" t="str">
        <f t="shared" si="11"/>
        <v/>
      </c>
      <c r="E722" s="45"/>
    </row>
    <row r="723" spans="2:5" hidden="1" x14ac:dyDescent="0.25">
      <c r="B723" s="7"/>
      <c r="C723" s="50"/>
      <c r="D723" s="49" t="str">
        <f t="shared" si="11"/>
        <v/>
      </c>
      <c r="E723" s="45"/>
    </row>
    <row r="724" spans="2:5" hidden="1" x14ac:dyDescent="0.25">
      <c r="B724" s="7"/>
      <c r="C724" s="50"/>
      <c r="D724" s="49" t="str">
        <f t="shared" si="11"/>
        <v/>
      </c>
      <c r="E724" s="45"/>
    </row>
    <row r="725" spans="2:5" hidden="1" x14ac:dyDescent="0.25">
      <c r="B725" s="7"/>
      <c r="C725" s="50"/>
      <c r="D725" s="49" t="str">
        <f t="shared" si="11"/>
        <v/>
      </c>
      <c r="E725" s="45"/>
    </row>
    <row r="726" spans="2:5" hidden="1" x14ac:dyDescent="0.25">
      <c r="B726" s="7"/>
      <c r="C726" s="50"/>
      <c r="D726" s="49" t="str">
        <f t="shared" si="11"/>
        <v/>
      </c>
      <c r="E726" s="45"/>
    </row>
    <row r="727" spans="2:5" hidden="1" x14ac:dyDescent="0.25">
      <c r="B727" s="7"/>
      <c r="C727" s="50"/>
      <c r="D727" s="49" t="str">
        <f t="shared" si="11"/>
        <v/>
      </c>
      <c r="E727" s="45"/>
    </row>
    <row r="728" spans="2:5" hidden="1" x14ac:dyDescent="0.25">
      <c r="B728" s="7"/>
      <c r="C728" s="50"/>
      <c r="D728" s="49" t="str">
        <f t="shared" si="11"/>
        <v/>
      </c>
      <c r="E728" s="45"/>
    </row>
    <row r="729" spans="2:5" hidden="1" x14ac:dyDescent="0.25">
      <c r="B729" s="7"/>
      <c r="C729" s="50"/>
      <c r="D729" s="49" t="str">
        <f t="shared" si="11"/>
        <v/>
      </c>
      <c r="E729" s="45"/>
    </row>
    <row r="730" spans="2:5" hidden="1" x14ac:dyDescent="0.25">
      <c r="B730" s="7"/>
      <c r="C730" s="50"/>
      <c r="D730" s="49" t="str">
        <f t="shared" si="11"/>
        <v/>
      </c>
      <c r="E730" s="45"/>
    </row>
    <row r="731" spans="2:5" hidden="1" x14ac:dyDescent="0.25">
      <c r="B731" s="7"/>
      <c r="C731" s="50"/>
      <c r="D731" s="49" t="str">
        <f t="shared" si="11"/>
        <v/>
      </c>
      <c r="E731" s="45"/>
    </row>
    <row r="732" spans="2:5" hidden="1" x14ac:dyDescent="0.25">
      <c r="B732" s="7"/>
      <c r="C732" s="50"/>
      <c r="D732" s="49" t="str">
        <f t="shared" si="11"/>
        <v/>
      </c>
      <c r="E732" s="45"/>
    </row>
    <row r="733" spans="2:5" hidden="1" x14ac:dyDescent="0.25">
      <c r="B733" s="7"/>
      <c r="C733" s="50"/>
      <c r="D733" s="49" t="str">
        <f t="shared" si="11"/>
        <v/>
      </c>
      <c r="E733" s="45"/>
    </row>
    <row r="734" spans="2:5" hidden="1" x14ac:dyDescent="0.25">
      <c r="B734" s="7"/>
      <c r="C734" s="50"/>
      <c r="D734" s="49" t="str">
        <f t="shared" si="11"/>
        <v/>
      </c>
      <c r="E734" s="45"/>
    </row>
    <row r="735" spans="2:5" hidden="1" x14ac:dyDescent="0.25">
      <c r="B735" s="7"/>
      <c r="C735" s="50"/>
      <c r="D735" s="49" t="str">
        <f t="shared" si="11"/>
        <v/>
      </c>
      <c r="E735" s="45"/>
    </row>
    <row r="736" spans="2:5" hidden="1" x14ac:dyDescent="0.25">
      <c r="B736" s="7"/>
      <c r="C736" s="50"/>
      <c r="D736" s="49" t="str">
        <f t="shared" si="11"/>
        <v/>
      </c>
      <c r="E736" s="45"/>
    </row>
    <row r="737" spans="2:5" hidden="1" x14ac:dyDescent="0.25">
      <c r="B737" s="7"/>
      <c r="C737" s="50"/>
      <c r="D737" s="49" t="str">
        <f t="shared" si="11"/>
        <v/>
      </c>
      <c r="E737" s="45"/>
    </row>
    <row r="738" spans="2:5" hidden="1" x14ac:dyDescent="0.25">
      <c r="B738" s="7"/>
      <c r="C738" s="50"/>
      <c r="D738" s="49" t="str">
        <f t="shared" si="11"/>
        <v/>
      </c>
      <c r="E738" s="45"/>
    </row>
    <row r="739" spans="2:5" hidden="1" x14ac:dyDescent="0.25">
      <c r="B739" s="7"/>
      <c r="C739" s="50"/>
      <c r="D739" s="49" t="str">
        <f t="shared" si="11"/>
        <v/>
      </c>
      <c r="E739" s="45"/>
    </row>
    <row r="740" spans="2:5" hidden="1" x14ac:dyDescent="0.25">
      <c r="B740" s="7"/>
      <c r="C740" s="50"/>
      <c r="D740" s="49" t="str">
        <f t="shared" si="11"/>
        <v/>
      </c>
      <c r="E740" s="45"/>
    </row>
    <row r="741" spans="2:5" hidden="1" x14ac:dyDescent="0.25">
      <c r="B741" s="7"/>
      <c r="C741" s="50"/>
      <c r="D741" s="49" t="str">
        <f t="shared" si="11"/>
        <v/>
      </c>
      <c r="E741" s="45"/>
    </row>
    <row r="742" spans="2:5" hidden="1" x14ac:dyDescent="0.25">
      <c r="B742" s="7"/>
      <c r="C742" s="50"/>
      <c r="D742" s="49" t="str">
        <f t="shared" si="11"/>
        <v/>
      </c>
      <c r="E742" s="45"/>
    </row>
    <row r="743" spans="2:5" hidden="1" x14ac:dyDescent="0.25">
      <c r="B743" s="7"/>
      <c r="C743" s="50"/>
      <c r="D743" s="49" t="str">
        <f t="shared" si="11"/>
        <v/>
      </c>
      <c r="E743" s="45"/>
    </row>
    <row r="744" spans="2:5" hidden="1" x14ac:dyDescent="0.25">
      <c r="B744" s="7"/>
      <c r="C744" s="50"/>
      <c r="D744" s="49" t="str">
        <f t="shared" si="11"/>
        <v/>
      </c>
      <c r="E744" s="45"/>
    </row>
    <row r="745" spans="2:5" hidden="1" x14ac:dyDescent="0.25">
      <c r="B745" s="7"/>
      <c r="C745" s="50"/>
      <c r="D745" s="49" t="str">
        <f t="shared" si="11"/>
        <v/>
      </c>
      <c r="E745" s="45"/>
    </row>
    <row r="746" spans="2:5" hidden="1" x14ac:dyDescent="0.25">
      <c r="B746" s="7"/>
      <c r="C746" s="50"/>
      <c r="D746" s="49" t="str">
        <f t="shared" si="11"/>
        <v/>
      </c>
      <c r="E746" s="45"/>
    </row>
    <row r="747" spans="2:5" hidden="1" x14ac:dyDescent="0.25">
      <c r="B747" s="7"/>
      <c r="C747" s="50"/>
      <c r="D747" s="49" t="str">
        <f t="shared" si="11"/>
        <v/>
      </c>
      <c r="E747" s="45"/>
    </row>
    <row r="748" spans="2:5" hidden="1" x14ac:dyDescent="0.25">
      <c r="B748" s="7"/>
      <c r="C748" s="50"/>
      <c r="D748" s="49" t="str">
        <f t="shared" si="11"/>
        <v/>
      </c>
      <c r="E748" s="45"/>
    </row>
    <row r="749" spans="2:5" hidden="1" x14ac:dyDescent="0.25">
      <c r="B749" s="7"/>
      <c r="C749" s="50"/>
      <c r="D749" s="49" t="str">
        <f t="shared" si="11"/>
        <v/>
      </c>
      <c r="E749" s="45"/>
    </row>
    <row r="750" spans="2:5" hidden="1" x14ac:dyDescent="0.25">
      <c r="B750" s="7"/>
      <c r="C750" s="50"/>
      <c r="D750" s="49" t="str">
        <f t="shared" si="11"/>
        <v/>
      </c>
      <c r="E750" s="45"/>
    </row>
    <row r="751" spans="2:5" hidden="1" x14ac:dyDescent="0.25">
      <c r="B751" s="7"/>
      <c r="C751" s="50"/>
      <c r="D751" s="49" t="str">
        <f t="shared" si="11"/>
        <v/>
      </c>
      <c r="E751" s="45"/>
    </row>
    <row r="752" spans="2:5" hidden="1" x14ac:dyDescent="0.25">
      <c r="B752" s="7"/>
      <c r="C752" s="50"/>
      <c r="D752" s="49" t="str">
        <f t="shared" si="11"/>
        <v/>
      </c>
      <c r="E752" s="45"/>
    </row>
    <row r="753" spans="2:5" hidden="1" x14ac:dyDescent="0.25">
      <c r="B753" s="7"/>
      <c r="C753" s="50"/>
      <c r="D753" s="49" t="str">
        <f t="shared" si="11"/>
        <v/>
      </c>
      <c r="E753" s="45"/>
    </row>
    <row r="754" spans="2:5" hidden="1" x14ac:dyDescent="0.25">
      <c r="B754" s="7"/>
      <c r="C754" s="50"/>
      <c r="D754" s="49" t="str">
        <f t="shared" si="11"/>
        <v/>
      </c>
      <c r="E754" s="45"/>
    </row>
    <row r="755" spans="2:5" hidden="1" x14ac:dyDescent="0.25">
      <c r="B755" s="7"/>
      <c r="C755" s="50"/>
      <c r="D755" s="49" t="str">
        <f t="shared" si="11"/>
        <v/>
      </c>
      <c r="E755" s="45"/>
    </row>
    <row r="756" spans="2:5" hidden="1" x14ac:dyDescent="0.25">
      <c r="B756" s="7"/>
      <c r="C756" s="50"/>
      <c r="D756" s="49" t="str">
        <f t="shared" si="11"/>
        <v/>
      </c>
      <c r="E756" s="45"/>
    </row>
    <row r="757" spans="2:5" hidden="1" x14ac:dyDescent="0.25">
      <c r="B757" s="7"/>
      <c r="C757" s="50"/>
      <c r="D757" s="49" t="str">
        <f t="shared" si="11"/>
        <v/>
      </c>
      <c r="E757" s="45"/>
    </row>
    <row r="758" spans="2:5" hidden="1" x14ac:dyDescent="0.25">
      <c r="B758" s="7"/>
      <c r="C758" s="50"/>
      <c r="D758" s="49" t="str">
        <f t="shared" si="11"/>
        <v/>
      </c>
      <c r="E758" s="45"/>
    </row>
    <row r="759" spans="2:5" hidden="1" x14ac:dyDescent="0.25">
      <c r="B759" s="7"/>
      <c r="C759" s="50"/>
      <c r="D759" s="49" t="str">
        <f t="shared" si="11"/>
        <v/>
      </c>
      <c r="E759" s="45"/>
    </row>
    <row r="760" spans="2:5" hidden="1" x14ac:dyDescent="0.25">
      <c r="B760" s="7"/>
      <c r="C760" s="50"/>
      <c r="D760" s="49" t="str">
        <f t="shared" si="11"/>
        <v/>
      </c>
      <c r="E760" s="45"/>
    </row>
    <row r="761" spans="2:5" hidden="1" x14ac:dyDescent="0.25">
      <c r="B761" s="7"/>
      <c r="C761" s="50"/>
      <c r="D761" s="49" t="str">
        <f t="shared" si="11"/>
        <v/>
      </c>
      <c r="E761" s="45"/>
    </row>
    <row r="762" spans="2:5" hidden="1" x14ac:dyDescent="0.25">
      <c r="B762" s="7"/>
      <c r="C762" s="50"/>
      <c r="D762" s="49" t="str">
        <f t="shared" si="11"/>
        <v/>
      </c>
      <c r="E762" s="45"/>
    </row>
    <row r="763" spans="2:5" hidden="1" x14ac:dyDescent="0.25">
      <c r="B763" s="7"/>
      <c r="C763" s="50"/>
      <c r="D763" s="49" t="str">
        <f t="shared" si="11"/>
        <v/>
      </c>
      <c r="E763" s="45"/>
    </row>
    <row r="764" spans="2:5" hidden="1" x14ac:dyDescent="0.25">
      <c r="B764" s="7"/>
      <c r="C764" s="50"/>
      <c r="D764" s="49" t="str">
        <f t="shared" si="11"/>
        <v/>
      </c>
      <c r="E764" s="45"/>
    </row>
    <row r="765" spans="2:5" hidden="1" x14ac:dyDescent="0.25">
      <c r="B765" s="7"/>
      <c r="C765" s="50"/>
      <c r="D765" s="49" t="str">
        <f t="shared" si="11"/>
        <v/>
      </c>
      <c r="E765" s="45"/>
    </row>
    <row r="766" spans="2:5" hidden="1" x14ac:dyDescent="0.25">
      <c r="B766" s="7"/>
      <c r="C766" s="50"/>
      <c r="D766" s="49" t="str">
        <f t="shared" si="11"/>
        <v/>
      </c>
      <c r="E766" s="45"/>
    </row>
    <row r="767" spans="2:5" hidden="1" x14ac:dyDescent="0.25">
      <c r="B767" s="7"/>
      <c r="C767" s="50"/>
      <c r="D767" s="49" t="str">
        <f t="shared" si="11"/>
        <v/>
      </c>
      <c r="E767" s="45"/>
    </row>
    <row r="768" spans="2:5" hidden="1" x14ac:dyDescent="0.25">
      <c r="B768" s="7"/>
      <c r="C768" s="50"/>
      <c r="D768" s="49" t="str">
        <f t="shared" si="11"/>
        <v/>
      </c>
      <c r="E768" s="45"/>
    </row>
    <row r="769" spans="2:5" hidden="1" x14ac:dyDescent="0.25">
      <c r="B769" s="7"/>
      <c r="C769" s="50"/>
      <c r="D769" s="49" t="str">
        <f t="shared" si="11"/>
        <v/>
      </c>
      <c r="E769" s="45"/>
    </row>
    <row r="770" spans="2:5" hidden="1" x14ac:dyDescent="0.25">
      <c r="B770" s="7"/>
      <c r="C770" s="50"/>
      <c r="D770" s="49" t="str">
        <f t="shared" si="11"/>
        <v/>
      </c>
      <c r="E770" s="45"/>
    </row>
    <row r="771" spans="2:5" hidden="1" x14ac:dyDescent="0.25">
      <c r="B771" s="7"/>
      <c r="C771" s="50"/>
      <c r="D771" s="49" t="str">
        <f t="shared" si="11"/>
        <v/>
      </c>
      <c r="E771" s="45"/>
    </row>
    <row r="772" spans="2:5" hidden="1" x14ac:dyDescent="0.25">
      <c r="B772" s="7"/>
      <c r="C772" s="50"/>
      <c r="D772" s="49" t="str">
        <f t="shared" si="11"/>
        <v/>
      </c>
      <c r="E772" s="45"/>
    </row>
    <row r="773" spans="2:5" hidden="1" x14ac:dyDescent="0.25">
      <c r="B773" s="7"/>
      <c r="C773" s="50"/>
      <c r="D773" s="49" t="str">
        <f t="shared" si="11"/>
        <v/>
      </c>
      <c r="E773" s="45"/>
    </row>
    <row r="774" spans="2:5" hidden="1" x14ac:dyDescent="0.25">
      <c r="B774" s="7"/>
      <c r="C774" s="50"/>
      <c r="D774" s="49" t="str">
        <f t="shared" si="11"/>
        <v/>
      </c>
      <c r="E774" s="45"/>
    </row>
    <row r="775" spans="2:5" hidden="1" x14ac:dyDescent="0.25">
      <c r="B775" s="7"/>
      <c r="C775" s="50"/>
      <c r="D775" s="49" t="str">
        <f t="shared" ref="D775:D838" si="12">IF(ISNUMBER(C775),C775-rToday,"")</f>
        <v/>
      </c>
      <c r="E775" s="45"/>
    </row>
    <row r="776" spans="2:5" hidden="1" x14ac:dyDescent="0.25">
      <c r="B776" s="7"/>
      <c r="C776" s="50"/>
      <c r="D776" s="49" t="str">
        <f t="shared" si="12"/>
        <v/>
      </c>
      <c r="E776" s="45"/>
    </row>
    <row r="777" spans="2:5" hidden="1" x14ac:dyDescent="0.25">
      <c r="B777" s="7"/>
      <c r="C777" s="50"/>
      <c r="D777" s="49" t="str">
        <f t="shared" si="12"/>
        <v/>
      </c>
      <c r="E777" s="45"/>
    </row>
    <row r="778" spans="2:5" hidden="1" x14ac:dyDescent="0.25">
      <c r="B778" s="7"/>
      <c r="C778" s="50"/>
      <c r="D778" s="49" t="str">
        <f t="shared" si="12"/>
        <v/>
      </c>
      <c r="E778" s="45"/>
    </row>
    <row r="779" spans="2:5" hidden="1" x14ac:dyDescent="0.25">
      <c r="B779" s="7"/>
      <c r="C779" s="50"/>
      <c r="D779" s="49" t="str">
        <f t="shared" si="12"/>
        <v/>
      </c>
      <c r="E779" s="45"/>
    </row>
    <row r="780" spans="2:5" hidden="1" x14ac:dyDescent="0.25">
      <c r="B780" s="7"/>
      <c r="C780" s="50"/>
      <c r="D780" s="49" t="str">
        <f t="shared" si="12"/>
        <v/>
      </c>
      <c r="E780" s="45"/>
    </row>
    <row r="781" spans="2:5" hidden="1" x14ac:dyDescent="0.25">
      <c r="B781" s="7"/>
      <c r="C781" s="50"/>
      <c r="D781" s="49" t="str">
        <f t="shared" si="12"/>
        <v/>
      </c>
      <c r="E781" s="45"/>
    </row>
    <row r="782" spans="2:5" hidden="1" x14ac:dyDescent="0.25">
      <c r="B782" s="7"/>
      <c r="C782" s="50"/>
      <c r="D782" s="49" t="str">
        <f t="shared" si="12"/>
        <v/>
      </c>
      <c r="E782" s="45"/>
    </row>
    <row r="783" spans="2:5" hidden="1" x14ac:dyDescent="0.25">
      <c r="B783" s="7"/>
      <c r="C783" s="50"/>
      <c r="D783" s="49" t="str">
        <f t="shared" si="12"/>
        <v/>
      </c>
      <c r="E783" s="45"/>
    </row>
    <row r="784" spans="2:5" hidden="1" x14ac:dyDescent="0.25">
      <c r="B784" s="7"/>
      <c r="C784" s="50"/>
      <c r="D784" s="49" t="str">
        <f t="shared" si="12"/>
        <v/>
      </c>
      <c r="E784" s="45"/>
    </row>
    <row r="785" spans="2:5" hidden="1" x14ac:dyDescent="0.25">
      <c r="B785" s="7"/>
      <c r="C785" s="50"/>
      <c r="D785" s="49" t="str">
        <f t="shared" si="12"/>
        <v/>
      </c>
      <c r="E785" s="45"/>
    </row>
    <row r="786" spans="2:5" hidden="1" x14ac:dyDescent="0.25">
      <c r="B786" s="7"/>
      <c r="C786" s="50"/>
      <c r="D786" s="49" t="str">
        <f t="shared" si="12"/>
        <v/>
      </c>
      <c r="E786" s="45"/>
    </row>
    <row r="787" spans="2:5" hidden="1" x14ac:dyDescent="0.25">
      <c r="B787" s="7"/>
      <c r="C787" s="50"/>
      <c r="D787" s="49" t="str">
        <f t="shared" si="12"/>
        <v/>
      </c>
      <c r="E787" s="45"/>
    </row>
    <row r="788" spans="2:5" hidden="1" x14ac:dyDescent="0.25">
      <c r="B788" s="7"/>
      <c r="C788" s="50"/>
      <c r="D788" s="49" t="str">
        <f t="shared" si="12"/>
        <v/>
      </c>
      <c r="E788" s="45"/>
    </row>
    <row r="789" spans="2:5" hidden="1" x14ac:dyDescent="0.25">
      <c r="B789" s="7"/>
      <c r="C789" s="50"/>
      <c r="D789" s="49" t="str">
        <f t="shared" si="12"/>
        <v/>
      </c>
      <c r="E789" s="45"/>
    </row>
    <row r="790" spans="2:5" hidden="1" x14ac:dyDescent="0.25">
      <c r="B790" s="7"/>
      <c r="C790" s="50"/>
      <c r="D790" s="49" t="str">
        <f t="shared" si="12"/>
        <v/>
      </c>
      <c r="E790" s="45"/>
    </row>
    <row r="791" spans="2:5" hidden="1" x14ac:dyDescent="0.25">
      <c r="B791" s="7"/>
      <c r="C791" s="50"/>
      <c r="D791" s="49" t="str">
        <f t="shared" si="12"/>
        <v/>
      </c>
      <c r="E791" s="45"/>
    </row>
    <row r="792" spans="2:5" hidden="1" x14ac:dyDescent="0.25">
      <c r="B792" s="7"/>
      <c r="C792" s="50"/>
      <c r="D792" s="49" t="str">
        <f t="shared" si="12"/>
        <v/>
      </c>
      <c r="E792" s="45"/>
    </row>
    <row r="793" spans="2:5" hidden="1" x14ac:dyDescent="0.25">
      <c r="B793" s="7"/>
      <c r="C793" s="50"/>
      <c r="D793" s="49" t="str">
        <f t="shared" si="12"/>
        <v/>
      </c>
      <c r="E793" s="45"/>
    </row>
    <row r="794" spans="2:5" hidden="1" x14ac:dyDescent="0.25">
      <c r="B794" s="7"/>
      <c r="C794" s="50"/>
      <c r="D794" s="49" t="str">
        <f t="shared" si="12"/>
        <v/>
      </c>
      <c r="E794" s="45"/>
    </row>
    <row r="795" spans="2:5" hidden="1" x14ac:dyDescent="0.25">
      <c r="B795" s="7"/>
      <c r="C795" s="50"/>
      <c r="D795" s="49" t="str">
        <f t="shared" si="12"/>
        <v/>
      </c>
      <c r="E795" s="45"/>
    </row>
    <row r="796" spans="2:5" hidden="1" x14ac:dyDescent="0.25">
      <c r="B796" s="7"/>
      <c r="C796" s="50"/>
      <c r="D796" s="49" t="str">
        <f t="shared" si="12"/>
        <v/>
      </c>
      <c r="E796" s="45"/>
    </row>
    <row r="797" spans="2:5" hidden="1" x14ac:dyDescent="0.25">
      <c r="B797" s="7"/>
      <c r="C797" s="50"/>
      <c r="D797" s="49" t="str">
        <f t="shared" si="12"/>
        <v/>
      </c>
      <c r="E797" s="45"/>
    </row>
    <row r="798" spans="2:5" hidden="1" x14ac:dyDescent="0.25">
      <c r="B798" s="7"/>
      <c r="C798" s="50"/>
      <c r="D798" s="49" t="str">
        <f t="shared" si="12"/>
        <v/>
      </c>
      <c r="E798" s="45"/>
    </row>
    <row r="799" spans="2:5" hidden="1" x14ac:dyDescent="0.25">
      <c r="B799" s="7"/>
      <c r="C799" s="50"/>
      <c r="D799" s="49" t="str">
        <f t="shared" si="12"/>
        <v/>
      </c>
      <c r="E799" s="45"/>
    </row>
    <row r="800" spans="2:5" hidden="1" x14ac:dyDescent="0.25">
      <c r="B800" s="7"/>
      <c r="C800" s="50"/>
      <c r="D800" s="49" t="str">
        <f t="shared" si="12"/>
        <v/>
      </c>
      <c r="E800" s="45"/>
    </row>
    <row r="801" spans="2:5" hidden="1" x14ac:dyDescent="0.25">
      <c r="B801" s="7"/>
      <c r="C801" s="50"/>
      <c r="D801" s="49" t="str">
        <f t="shared" si="12"/>
        <v/>
      </c>
      <c r="E801" s="45"/>
    </row>
    <row r="802" spans="2:5" hidden="1" x14ac:dyDescent="0.25">
      <c r="B802" s="7"/>
      <c r="C802" s="50"/>
      <c r="D802" s="49" t="str">
        <f t="shared" si="12"/>
        <v/>
      </c>
      <c r="E802" s="45"/>
    </row>
    <row r="803" spans="2:5" hidden="1" x14ac:dyDescent="0.25">
      <c r="B803" s="7"/>
      <c r="C803" s="50"/>
      <c r="D803" s="49" t="str">
        <f t="shared" si="12"/>
        <v/>
      </c>
      <c r="E803" s="45"/>
    </row>
    <row r="804" spans="2:5" hidden="1" x14ac:dyDescent="0.25">
      <c r="B804" s="7"/>
      <c r="C804" s="50"/>
      <c r="D804" s="49" t="str">
        <f t="shared" si="12"/>
        <v/>
      </c>
      <c r="E804" s="45"/>
    </row>
    <row r="805" spans="2:5" hidden="1" x14ac:dyDescent="0.25">
      <c r="B805" s="7"/>
      <c r="C805" s="50"/>
      <c r="D805" s="49" t="str">
        <f t="shared" si="12"/>
        <v/>
      </c>
      <c r="E805" s="45"/>
    </row>
    <row r="806" spans="2:5" hidden="1" x14ac:dyDescent="0.25">
      <c r="B806" s="7"/>
      <c r="C806" s="50"/>
      <c r="D806" s="49" t="str">
        <f t="shared" si="12"/>
        <v/>
      </c>
      <c r="E806" s="45"/>
    </row>
    <row r="807" spans="2:5" hidden="1" x14ac:dyDescent="0.25">
      <c r="B807" s="7"/>
      <c r="C807" s="50"/>
      <c r="D807" s="49" t="str">
        <f t="shared" si="12"/>
        <v/>
      </c>
      <c r="E807" s="45"/>
    </row>
    <row r="808" spans="2:5" hidden="1" x14ac:dyDescent="0.25">
      <c r="B808" s="7"/>
      <c r="C808" s="50"/>
      <c r="D808" s="49" t="str">
        <f t="shared" si="12"/>
        <v/>
      </c>
      <c r="E808" s="45"/>
    </row>
    <row r="809" spans="2:5" hidden="1" x14ac:dyDescent="0.25">
      <c r="B809" s="7"/>
      <c r="C809" s="50"/>
      <c r="D809" s="49" t="str">
        <f t="shared" si="12"/>
        <v/>
      </c>
      <c r="E809" s="45"/>
    </row>
    <row r="810" spans="2:5" hidden="1" x14ac:dyDescent="0.25">
      <c r="B810" s="7"/>
      <c r="C810" s="50"/>
      <c r="D810" s="49" t="str">
        <f t="shared" si="12"/>
        <v/>
      </c>
      <c r="E810" s="45"/>
    </row>
    <row r="811" spans="2:5" hidden="1" x14ac:dyDescent="0.25">
      <c r="B811" s="7"/>
      <c r="C811" s="50"/>
      <c r="D811" s="49" t="str">
        <f t="shared" si="12"/>
        <v/>
      </c>
      <c r="E811" s="45"/>
    </row>
    <row r="812" spans="2:5" hidden="1" x14ac:dyDescent="0.25">
      <c r="B812" s="7"/>
      <c r="C812" s="50"/>
      <c r="D812" s="49" t="str">
        <f t="shared" si="12"/>
        <v/>
      </c>
      <c r="E812" s="45"/>
    </row>
    <row r="813" spans="2:5" hidden="1" x14ac:dyDescent="0.25">
      <c r="B813" s="7"/>
      <c r="C813" s="50"/>
      <c r="D813" s="49" t="str">
        <f t="shared" si="12"/>
        <v/>
      </c>
      <c r="E813" s="45"/>
    </row>
    <row r="814" spans="2:5" hidden="1" x14ac:dyDescent="0.25">
      <c r="B814" s="7"/>
      <c r="C814" s="50"/>
      <c r="D814" s="49" t="str">
        <f t="shared" si="12"/>
        <v/>
      </c>
      <c r="E814" s="45"/>
    </row>
    <row r="815" spans="2:5" hidden="1" x14ac:dyDescent="0.25">
      <c r="B815" s="7"/>
      <c r="C815" s="50"/>
      <c r="D815" s="49" t="str">
        <f t="shared" si="12"/>
        <v/>
      </c>
      <c r="E815" s="45"/>
    </row>
    <row r="816" spans="2:5" hidden="1" x14ac:dyDescent="0.25">
      <c r="B816" s="7"/>
      <c r="C816" s="50"/>
      <c r="D816" s="49" t="str">
        <f t="shared" si="12"/>
        <v/>
      </c>
      <c r="E816" s="45"/>
    </row>
    <row r="817" spans="2:5" hidden="1" x14ac:dyDescent="0.25">
      <c r="B817" s="7"/>
      <c r="C817" s="50"/>
      <c r="D817" s="49" t="str">
        <f t="shared" si="12"/>
        <v/>
      </c>
      <c r="E817" s="45"/>
    </row>
    <row r="818" spans="2:5" hidden="1" x14ac:dyDescent="0.25">
      <c r="B818" s="7"/>
      <c r="C818" s="50"/>
      <c r="D818" s="49" t="str">
        <f t="shared" si="12"/>
        <v/>
      </c>
      <c r="E818" s="45"/>
    </row>
    <row r="819" spans="2:5" hidden="1" x14ac:dyDescent="0.25">
      <c r="B819" s="7"/>
      <c r="C819" s="50"/>
      <c r="D819" s="49" t="str">
        <f t="shared" si="12"/>
        <v/>
      </c>
      <c r="E819" s="45"/>
    </row>
    <row r="820" spans="2:5" hidden="1" x14ac:dyDescent="0.25">
      <c r="B820" s="7"/>
      <c r="C820" s="50"/>
      <c r="D820" s="49" t="str">
        <f t="shared" si="12"/>
        <v/>
      </c>
      <c r="E820" s="45"/>
    </row>
    <row r="821" spans="2:5" hidden="1" x14ac:dyDescent="0.25">
      <c r="B821" s="7"/>
      <c r="C821" s="50"/>
      <c r="D821" s="49" t="str">
        <f t="shared" si="12"/>
        <v/>
      </c>
      <c r="E821" s="45"/>
    </row>
    <row r="822" spans="2:5" hidden="1" x14ac:dyDescent="0.25">
      <c r="B822" s="7"/>
      <c r="C822" s="50"/>
      <c r="D822" s="49" t="str">
        <f t="shared" si="12"/>
        <v/>
      </c>
      <c r="E822" s="45"/>
    </row>
    <row r="823" spans="2:5" hidden="1" x14ac:dyDescent="0.25">
      <c r="B823" s="7"/>
      <c r="C823" s="50"/>
      <c r="D823" s="49" t="str">
        <f t="shared" si="12"/>
        <v/>
      </c>
      <c r="E823" s="45"/>
    </row>
    <row r="824" spans="2:5" hidden="1" x14ac:dyDescent="0.25">
      <c r="B824" s="7"/>
      <c r="C824" s="50"/>
      <c r="D824" s="49" t="str">
        <f t="shared" si="12"/>
        <v/>
      </c>
      <c r="E824" s="45"/>
    </row>
    <row r="825" spans="2:5" hidden="1" x14ac:dyDescent="0.25">
      <c r="B825" s="7"/>
      <c r="C825" s="50"/>
      <c r="D825" s="49" t="str">
        <f t="shared" si="12"/>
        <v/>
      </c>
      <c r="E825" s="45"/>
    </row>
    <row r="826" spans="2:5" hidden="1" x14ac:dyDescent="0.25">
      <c r="B826" s="7"/>
      <c r="C826" s="50"/>
      <c r="D826" s="49" t="str">
        <f t="shared" si="12"/>
        <v/>
      </c>
      <c r="E826" s="45"/>
    </row>
    <row r="827" spans="2:5" hidden="1" x14ac:dyDescent="0.25">
      <c r="B827" s="7"/>
      <c r="C827" s="50"/>
      <c r="D827" s="49" t="str">
        <f t="shared" si="12"/>
        <v/>
      </c>
      <c r="E827" s="45"/>
    </row>
    <row r="828" spans="2:5" hidden="1" x14ac:dyDescent="0.25">
      <c r="B828" s="7"/>
      <c r="C828" s="50"/>
      <c r="D828" s="49" t="str">
        <f t="shared" si="12"/>
        <v/>
      </c>
      <c r="E828" s="45"/>
    </row>
    <row r="829" spans="2:5" hidden="1" x14ac:dyDescent="0.25">
      <c r="B829" s="7"/>
      <c r="C829" s="50"/>
      <c r="D829" s="49" t="str">
        <f t="shared" si="12"/>
        <v/>
      </c>
      <c r="E829" s="45"/>
    </row>
    <row r="830" spans="2:5" hidden="1" x14ac:dyDescent="0.25">
      <c r="B830" s="7"/>
      <c r="C830" s="50"/>
      <c r="D830" s="49" t="str">
        <f t="shared" si="12"/>
        <v/>
      </c>
      <c r="E830" s="45"/>
    </row>
    <row r="831" spans="2:5" hidden="1" x14ac:dyDescent="0.25">
      <c r="B831" s="7"/>
      <c r="C831" s="50"/>
      <c r="D831" s="49" t="str">
        <f t="shared" si="12"/>
        <v/>
      </c>
      <c r="E831" s="45"/>
    </row>
    <row r="832" spans="2:5" hidden="1" x14ac:dyDescent="0.25">
      <c r="B832" s="7"/>
      <c r="C832" s="50"/>
      <c r="D832" s="49" t="str">
        <f t="shared" si="12"/>
        <v/>
      </c>
      <c r="E832" s="45"/>
    </row>
    <row r="833" spans="2:5" hidden="1" x14ac:dyDescent="0.25">
      <c r="B833" s="7"/>
      <c r="C833" s="50"/>
      <c r="D833" s="49" t="str">
        <f t="shared" si="12"/>
        <v/>
      </c>
      <c r="E833" s="45"/>
    </row>
    <row r="834" spans="2:5" hidden="1" x14ac:dyDescent="0.25">
      <c r="B834" s="7"/>
      <c r="C834" s="50"/>
      <c r="D834" s="49" t="str">
        <f t="shared" si="12"/>
        <v/>
      </c>
      <c r="E834" s="45"/>
    </row>
    <row r="835" spans="2:5" hidden="1" x14ac:dyDescent="0.25">
      <c r="B835" s="7"/>
      <c r="C835" s="50"/>
      <c r="D835" s="49" t="str">
        <f t="shared" si="12"/>
        <v/>
      </c>
      <c r="E835" s="45"/>
    </row>
    <row r="836" spans="2:5" hidden="1" x14ac:dyDescent="0.25">
      <c r="B836" s="7"/>
      <c r="C836" s="50"/>
      <c r="D836" s="49" t="str">
        <f t="shared" si="12"/>
        <v/>
      </c>
      <c r="E836" s="45"/>
    </row>
    <row r="837" spans="2:5" hidden="1" x14ac:dyDescent="0.25">
      <c r="B837" s="7"/>
      <c r="C837" s="50"/>
      <c r="D837" s="49" t="str">
        <f t="shared" si="12"/>
        <v/>
      </c>
      <c r="E837" s="45"/>
    </row>
    <row r="838" spans="2:5" hidden="1" x14ac:dyDescent="0.25">
      <c r="B838" s="7"/>
      <c r="C838" s="50"/>
      <c r="D838" s="49" t="str">
        <f t="shared" si="12"/>
        <v/>
      </c>
      <c r="E838" s="45"/>
    </row>
    <row r="839" spans="2:5" hidden="1" x14ac:dyDescent="0.25">
      <c r="B839" s="7"/>
      <c r="C839" s="50"/>
      <c r="D839" s="49" t="str">
        <f t="shared" ref="D839:D902" si="13">IF(ISNUMBER(C839),C839-rToday,"")</f>
        <v/>
      </c>
      <c r="E839" s="45"/>
    </row>
    <row r="840" spans="2:5" hidden="1" x14ac:dyDescent="0.25">
      <c r="B840" s="7"/>
      <c r="C840" s="50"/>
      <c r="D840" s="49" t="str">
        <f t="shared" si="13"/>
        <v/>
      </c>
      <c r="E840" s="45"/>
    </row>
    <row r="841" spans="2:5" hidden="1" x14ac:dyDescent="0.25">
      <c r="B841" s="7"/>
      <c r="C841" s="50"/>
      <c r="D841" s="49" t="str">
        <f t="shared" si="13"/>
        <v/>
      </c>
      <c r="E841" s="45"/>
    </row>
    <row r="842" spans="2:5" hidden="1" x14ac:dyDescent="0.25">
      <c r="B842" s="7"/>
      <c r="C842" s="50"/>
      <c r="D842" s="49" t="str">
        <f t="shared" si="13"/>
        <v/>
      </c>
      <c r="E842" s="45"/>
    </row>
    <row r="843" spans="2:5" hidden="1" x14ac:dyDescent="0.25">
      <c r="B843" s="7"/>
      <c r="C843" s="50"/>
      <c r="D843" s="49" t="str">
        <f t="shared" si="13"/>
        <v/>
      </c>
      <c r="E843" s="45"/>
    </row>
    <row r="844" spans="2:5" hidden="1" x14ac:dyDescent="0.25">
      <c r="B844" s="7"/>
      <c r="C844" s="50"/>
      <c r="D844" s="49" t="str">
        <f t="shared" si="13"/>
        <v/>
      </c>
      <c r="E844" s="45"/>
    </row>
    <row r="845" spans="2:5" hidden="1" x14ac:dyDescent="0.25">
      <c r="B845" s="7"/>
      <c r="C845" s="50"/>
      <c r="D845" s="49" t="str">
        <f t="shared" si="13"/>
        <v/>
      </c>
      <c r="E845" s="45"/>
    </row>
    <row r="846" spans="2:5" hidden="1" x14ac:dyDescent="0.25">
      <c r="B846" s="7"/>
      <c r="C846" s="50"/>
      <c r="D846" s="49" t="str">
        <f t="shared" si="13"/>
        <v/>
      </c>
      <c r="E846" s="45"/>
    </row>
    <row r="847" spans="2:5" hidden="1" x14ac:dyDescent="0.25">
      <c r="B847" s="7"/>
      <c r="C847" s="50"/>
      <c r="D847" s="49" t="str">
        <f t="shared" si="13"/>
        <v/>
      </c>
      <c r="E847" s="45"/>
    </row>
    <row r="848" spans="2:5" hidden="1" x14ac:dyDescent="0.25">
      <c r="B848" s="7"/>
      <c r="C848" s="50"/>
      <c r="D848" s="49" t="str">
        <f t="shared" si="13"/>
        <v/>
      </c>
      <c r="E848" s="45"/>
    </row>
    <row r="849" spans="2:5" hidden="1" x14ac:dyDescent="0.25">
      <c r="B849" s="7"/>
      <c r="C849" s="50"/>
      <c r="D849" s="49" t="str">
        <f t="shared" si="13"/>
        <v/>
      </c>
      <c r="E849" s="45"/>
    </row>
    <row r="850" spans="2:5" hidden="1" x14ac:dyDescent="0.25">
      <c r="B850" s="7"/>
      <c r="C850" s="50"/>
      <c r="D850" s="49" t="str">
        <f t="shared" si="13"/>
        <v/>
      </c>
      <c r="E850" s="45"/>
    </row>
    <row r="851" spans="2:5" hidden="1" x14ac:dyDescent="0.25">
      <c r="B851" s="7"/>
      <c r="C851" s="50"/>
      <c r="D851" s="49" t="str">
        <f t="shared" si="13"/>
        <v/>
      </c>
      <c r="E851" s="45"/>
    </row>
    <row r="852" spans="2:5" hidden="1" x14ac:dyDescent="0.25">
      <c r="B852" s="7"/>
      <c r="C852" s="50"/>
      <c r="D852" s="49" t="str">
        <f t="shared" si="13"/>
        <v/>
      </c>
      <c r="E852" s="45"/>
    </row>
    <row r="853" spans="2:5" hidden="1" x14ac:dyDescent="0.25">
      <c r="B853" s="7"/>
      <c r="C853" s="50"/>
      <c r="D853" s="49" t="str">
        <f t="shared" si="13"/>
        <v/>
      </c>
      <c r="E853" s="45"/>
    </row>
    <row r="854" spans="2:5" hidden="1" x14ac:dyDescent="0.25">
      <c r="B854" s="7"/>
      <c r="C854" s="50"/>
      <c r="D854" s="49" t="str">
        <f t="shared" si="13"/>
        <v/>
      </c>
      <c r="E854" s="45"/>
    </row>
    <row r="855" spans="2:5" hidden="1" x14ac:dyDescent="0.25">
      <c r="B855" s="7"/>
      <c r="C855" s="50"/>
      <c r="D855" s="49" t="str">
        <f t="shared" si="13"/>
        <v/>
      </c>
      <c r="E855" s="45"/>
    </row>
    <row r="856" spans="2:5" hidden="1" x14ac:dyDescent="0.25">
      <c r="B856" s="7"/>
      <c r="C856" s="50"/>
      <c r="D856" s="49" t="str">
        <f t="shared" si="13"/>
        <v/>
      </c>
      <c r="E856" s="45"/>
    </row>
    <row r="857" spans="2:5" hidden="1" x14ac:dyDescent="0.25">
      <c r="B857" s="7"/>
      <c r="C857" s="50"/>
      <c r="D857" s="49" t="str">
        <f t="shared" si="13"/>
        <v/>
      </c>
      <c r="E857" s="45"/>
    </row>
    <row r="858" spans="2:5" hidden="1" x14ac:dyDescent="0.25">
      <c r="B858" s="7"/>
      <c r="C858" s="50"/>
      <c r="D858" s="49" t="str">
        <f t="shared" si="13"/>
        <v/>
      </c>
      <c r="E858" s="45"/>
    </row>
    <row r="859" spans="2:5" hidden="1" x14ac:dyDescent="0.25">
      <c r="B859" s="7"/>
      <c r="C859" s="50"/>
      <c r="D859" s="49" t="str">
        <f t="shared" si="13"/>
        <v/>
      </c>
      <c r="E859" s="45"/>
    </row>
    <row r="860" spans="2:5" hidden="1" x14ac:dyDescent="0.25">
      <c r="B860" s="7"/>
      <c r="C860" s="50"/>
      <c r="D860" s="49" t="str">
        <f t="shared" si="13"/>
        <v/>
      </c>
      <c r="E860" s="45"/>
    </row>
    <row r="861" spans="2:5" hidden="1" x14ac:dyDescent="0.25">
      <c r="B861" s="7"/>
      <c r="C861" s="50"/>
      <c r="D861" s="49" t="str">
        <f t="shared" si="13"/>
        <v/>
      </c>
      <c r="E861" s="45"/>
    </row>
    <row r="862" spans="2:5" hidden="1" x14ac:dyDescent="0.25">
      <c r="B862" s="7"/>
      <c r="C862" s="50"/>
      <c r="D862" s="49" t="str">
        <f t="shared" si="13"/>
        <v/>
      </c>
      <c r="E862" s="45"/>
    </row>
    <row r="863" spans="2:5" hidden="1" x14ac:dyDescent="0.25">
      <c r="B863" s="7"/>
      <c r="C863" s="50"/>
      <c r="D863" s="49" t="str">
        <f t="shared" si="13"/>
        <v/>
      </c>
      <c r="E863" s="45"/>
    </row>
    <row r="864" spans="2:5" hidden="1" x14ac:dyDescent="0.25">
      <c r="B864" s="7"/>
      <c r="C864" s="50"/>
      <c r="D864" s="49" t="str">
        <f t="shared" si="13"/>
        <v/>
      </c>
      <c r="E864" s="45"/>
    </row>
    <row r="865" spans="2:5" hidden="1" x14ac:dyDescent="0.25">
      <c r="B865" s="7"/>
      <c r="C865" s="50"/>
      <c r="D865" s="49" t="str">
        <f t="shared" si="13"/>
        <v/>
      </c>
      <c r="E865" s="45"/>
    </row>
    <row r="866" spans="2:5" hidden="1" x14ac:dyDescent="0.25">
      <c r="B866" s="7"/>
      <c r="C866" s="50"/>
      <c r="D866" s="49" t="str">
        <f t="shared" si="13"/>
        <v/>
      </c>
      <c r="E866" s="45"/>
    </row>
    <row r="867" spans="2:5" hidden="1" x14ac:dyDescent="0.25">
      <c r="B867" s="7"/>
      <c r="C867" s="50"/>
      <c r="D867" s="49" t="str">
        <f t="shared" si="13"/>
        <v/>
      </c>
      <c r="E867" s="45"/>
    </row>
    <row r="868" spans="2:5" hidden="1" x14ac:dyDescent="0.25">
      <c r="B868" s="7"/>
      <c r="C868" s="50"/>
      <c r="D868" s="49" t="str">
        <f t="shared" si="13"/>
        <v/>
      </c>
      <c r="E868" s="45"/>
    </row>
    <row r="869" spans="2:5" hidden="1" x14ac:dyDescent="0.25">
      <c r="B869" s="7"/>
      <c r="C869" s="50"/>
      <c r="D869" s="49" t="str">
        <f t="shared" si="13"/>
        <v/>
      </c>
      <c r="E869" s="45"/>
    </row>
    <row r="870" spans="2:5" hidden="1" x14ac:dyDescent="0.25">
      <c r="B870" s="7"/>
      <c r="C870" s="50"/>
      <c r="D870" s="49" t="str">
        <f t="shared" si="13"/>
        <v/>
      </c>
      <c r="E870" s="45"/>
    </row>
    <row r="871" spans="2:5" hidden="1" x14ac:dyDescent="0.25">
      <c r="B871" s="7"/>
      <c r="C871" s="50"/>
      <c r="D871" s="49" t="str">
        <f t="shared" si="13"/>
        <v/>
      </c>
      <c r="E871" s="45"/>
    </row>
    <row r="872" spans="2:5" hidden="1" x14ac:dyDescent="0.25">
      <c r="B872" s="7"/>
      <c r="C872" s="50"/>
      <c r="D872" s="49" t="str">
        <f t="shared" si="13"/>
        <v/>
      </c>
      <c r="E872" s="45"/>
    </row>
    <row r="873" spans="2:5" hidden="1" x14ac:dyDescent="0.25">
      <c r="B873" s="7"/>
      <c r="C873" s="50"/>
      <c r="D873" s="49" t="str">
        <f t="shared" si="13"/>
        <v/>
      </c>
      <c r="E873" s="45"/>
    </row>
    <row r="874" spans="2:5" hidden="1" x14ac:dyDescent="0.25">
      <c r="B874" s="7"/>
      <c r="C874" s="50"/>
      <c r="D874" s="49" t="str">
        <f t="shared" si="13"/>
        <v/>
      </c>
      <c r="E874" s="45"/>
    </row>
    <row r="875" spans="2:5" hidden="1" x14ac:dyDescent="0.25">
      <c r="B875" s="7"/>
      <c r="C875" s="50"/>
      <c r="D875" s="49" t="str">
        <f t="shared" si="13"/>
        <v/>
      </c>
      <c r="E875" s="45"/>
    </row>
    <row r="876" spans="2:5" hidden="1" x14ac:dyDescent="0.25">
      <c r="B876" s="7"/>
      <c r="C876" s="50"/>
      <c r="D876" s="49" t="str">
        <f t="shared" si="13"/>
        <v/>
      </c>
      <c r="E876" s="45"/>
    </row>
    <row r="877" spans="2:5" hidden="1" x14ac:dyDescent="0.25">
      <c r="B877" s="7"/>
      <c r="C877" s="50"/>
      <c r="D877" s="49" t="str">
        <f t="shared" si="13"/>
        <v/>
      </c>
      <c r="E877" s="45"/>
    </row>
    <row r="878" spans="2:5" hidden="1" x14ac:dyDescent="0.25">
      <c r="B878" s="7"/>
      <c r="C878" s="50"/>
      <c r="D878" s="49" t="str">
        <f t="shared" si="13"/>
        <v/>
      </c>
      <c r="E878" s="45"/>
    </row>
    <row r="879" spans="2:5" hidden="1" x14ac:dyDescent="0.25">
      <c r="B879" s="7"/>
      <c r="C879" s="50"/>
      <c r="D879" s="49" t="str">
        <f t="shared" si="13"/>
        <v/>
      </c>
      <c r="E879" s="45"/>
    </row>
    <row r="880" spans="2:5" hidden="1" x14ac:dyDescent="0.25">
      <c r="B880" s="7"/>
      <c r="C880" s="50"/>
      <c r="D880" s="49" t="str">
        <f t="shared" si="13"/>
        <v/>
      </c>
      <c r="E880" s="45"/>
    </row>
    <row r="881" spans="2:5" hidden="1" x14ac:dyDescent="0.25">
      <c r="B881" s="7"/>
      <c r="C881" s="50"/>
      <c r="D881" s="49" t="str">
        <f t="shared" si="13"/>
        <v/>
      </c>
      <c r="E881" s="45"/>
    </row>
    <row r="882" spans="2:5" hidden="1" x14ac:dyDescent="0.25">
      <c r="B882" s="7"/>
      <c r="C882" s="50"/>
      <c r="D882" s="49" t="str">
        <f t="shared" si="13"/>
        <v/>
      </c>
      <c r="E882" s="45"/>
    </row>
    <row r="883" spans="2:5" hidden="1" x14ac:dyDescent="0.25">
      <c r="B883" s="7"/>
      <c r="C883" s="50"/>
      <c r="D883" s="49" t="str">
        <f t="shared" si="13"/>
        <v/>
      </c>
      <c r="E883" s="45"/>
    </row>
    <row r="884" spans="2:5" hidden="1" x14ac:dyDescent="0.25">
      <c r="B884" s="7"/>
      <c r="C884" s="50"/>
      <c r="D884" s="49" t="str">
        <f t="shared" si="13"/>
        <v/>
      </c>
      <c r="E884" s="45"/>
    </row>
    <row r="885" spans="2:5" hidden="1" x14ac:dyDescent="0.25">
      <c r="B885" s="7"/>
      <c r="C885" s="50"/>
      <c r="D885" s="49" t="str">
        <f t="shared" si="13"/>
        <v/>
      </c>
      <c r="E885" s="45"/>
    </row>
    <row r="886" spans="2:5" hidden="1" x14ac:dyDescent="0.25">
      <c r="B886" s="7"/>
      <c r="C886" s="50"/>
      <c r="D886" s="49" t="str">
        <f t="shared" si="13"/>
        <v/>
      </c>
      <c r="E886" s="45"/>
    </row>
    <row r="887" spans="2:5" hidden="1" x14ac:dyDescent="0.25">
      <c r="B887" s="7"/>
      <c r="C887" s="50"/>
      <c r="D887" s="49" t="str">
        <f t="shared" si="13"/>
        <v/>
      </c>
      <c r="E887" s="45"/>
    </row>
    <row r="888" spans="2:5" hidden="1" x14ac:dyDescent="0.25">
      <c r="B888" s="7"/>
      <c r="C888" s="50"/>
      <c r="D888" s="49" t="str">
        <f t="shared" si="13"/>
        <v/>
      </c>
      <c r="E888" s="45"/>
    </row>
    <row r="889" spans="2:5" hidden="1" x14ac:dyDescent="0.25">
      <c r="B889" s="7"/>
      <c r="C889" s="50"/>
      <c r="D889" s="49" t="str">
        <f t="shared" si="13"/>
        <v/>
      </c>
      <c r="E889" s="45"/>
    </row>
    <row r="890" spans="2:5" hidden="1" x14ac:dyDescent="0.25">
      <c r="B890" s="7"/>
      <c r="C890" s="50"/>
      <c r="D890" s="49" t="str">
        <f t="shared" si="13"/>
        <v/>
      </c>
      <c r="E890" s="45"/>
    </row>
    <row r="891" spans="2:5" hidden="1" x14ac:dyDescent="0.25">
      <c r="B891" s="7"/>
      <c r="C891" s="50"/>
      <c r="D891" s="49" t="str">
        <f t="shared" si="13"/>
        <v/>
      </c>
      <c r="E891" s="45"/>
    </row>
    <row r="892" spans="2:5" hidden="1" x14ac:dyDescent="0.25">
      <c r="B892" s="7"/>
      <c r="C892" s="50"/>
      <c r="D892" s="49" t="str">
        <f t="shared" si="13"/>
        <v/>
      </c>
      <c r="E892" s="45"/>
    </row>
    <row r="893" spans="2:5" hidden="1" x14ac:dyDescent="0.25">
      <c r="B893" s="7"/>
      <c r="C893" s="50"/>
      <c r="D893" s="49" t="str">
        <f t="shared" si="13"/>
        <v/>
      </c>
      <c r="E893" s="45"/>
    </row>
    <row r="894" spans="2:5" hidden="1" x14ac:dyDescent="0.25">
      <c r="B894" s="7"/>
      <c r="C894" s="50"/>
      <c r="D894" s="49" t="str">
        <f t="shared" si="13"/>
        <v/>
      </c>
      <c r="E894" s="45"/>
    </row>
    <row r="895" spans="2:5" hidden="1" x14ac:dyDescent="0.25">
      <c r="B895" s="7"/>
      <c r="C895" s="50"/>
      <c r="D895" s="49" t="str">
        <f t="shared" si="13"/>
        <v/>
      </c>
      <c r="E895" s="45"/>
    </row>
    <row r="896" spans="2:5" hidden="1" x14ac:dyDescent="0.25">
      <c r="B896" s="7"/>
      <c r="C896" s="50"/>
      <c r="D896" s="49" t="str">
        <f t="shared" si="13"/>
        <v/>
      </c>
      <c r="E896" s="45"/>
    </row>
    <row r="897" spans="2:5" hidden="1" x14ac:dyDescent="0.25">
      <c r="B897" s="7"/>
      <c r="C897" s="50"/>
      <c r="D897" s="49" t="str">
        <f t="shared" si="13"/>
        <v/>
      </c>
      <c r="E897" s="45"/>
    </row>
    <row r="898" spans="2:5" hidden="1" x14ac:dyDescent="0.25">
      <c r="B898" s="7"/>
      <c r="C898" s="50"/>
      <c r="D898" s="49" t="str">
        <f t="shared" si="13"/>
        <v/>
      </c>
      <c r="E898" s="45"/>
    </row>
    <row r="899" spans="2:5" hidden="1" x14ac:dyDescent="0.25">
      <c r="B899" s="7"/>
      <c r="C899" s="50"/>
      <c r="D899" s="49" t="str">
        <f t="shared" si="13"/>
        <v/>
      </c>
      <c r="E899" s="45"/>
    </row>
    <row r="900" spans="2:5" hidden="1" x14ac:dyDescent="0.25">
      <c r="B900" s="7"/>
      <c r="C900" s="50"/>
      <c r="D900" s="49" t="str">
        <f t="shared" si="13"/>
        <v/>
      </c>
      <c r="E900" s="45"/>
    </row>
    <row r="901" spans="2:5" hidden="1" x14ac:dyDescent="0.25">
      <c r="B901" s="7"/>
      <c r="C901" s="50"/>
      <c r="D901" s="49" t="str">
        <f t="shared" si="13"/>
        <v/>
      </c>
      <c r="E901" s="45"/>
    </row>
    <row r="902" spans="2:5" hidden="1" x14ac:dyDescent="0.25">
      <c r="B902" s="7"/>
      <c r="C902" s="50"/>
      <c r="D902" s="49" t="str">
        <f t="shared" si="13"/>
        <v/>
      </c>
      <c r="E902" s="45"/>
    </row>
    <row r="903" spans="2:5" hidden="1" x14ac:dyDescent="0.25">
      <c r="B903" s="7"/>
      <c r="C903" s="50"/>
      <c r="D903" s="49" t="str">
        <f t="shared" ref="D903:D966" si="14">IF(ISNUMBER(C903),C903-rToday,"")</f>
        <v/>
      </c>
      <c r="E903" s="45"/>
    </row>
    <row r="904" spans="2:5" hidden="1" x14ac:dyDescent="0.25">
      <c r="B904" s="7"/>
      <c r="C904" s="50"/>
      <c r="D904" s="49" t="str">
        <f t="shared" si="14"/>
        <v/>
      </c>
      <c r="E904" s="45"/>
    </row>
    <row r="905" spans="2:5" hidden="1" x14ac:dyDescent="0.25">
      <c r="B905" s="7"/>
      <c r="C905" s="50"/>
      <c r="D905" s="49" t="str">
        <f t="shared" si="14"/>
        <v/>
      </c>
      <c r="E905" s="45"/>
    </row>
    <row r="906" spans="2:5" hidden="1" x14ac:dyDescent="0.25">
      <c r="B906" s="7"/>
      <c r="C906" s="50"/>
      <c r="D906" s="49" t="str">
        <f t="shared" si="14"/>
        <v/>
      </c>
      <c r="E906" s="45"/>
    </row>
    <row r="907" spans="2:5" hidden="1" x14ac:dyDescent="0.25">
      <c r="B907" s="7"/>
      <c r="C907" s="50"/>
      <c r="D907" s="49" t="str">
        <f t="shared" si="14"/>
        <v/>
      </c>
      <c r="E907" s="45"/>
    </row>
    <row r="908" spans="2:5" hidden="1" x14ac:dyDescent="0.25">
      <c r="B908" s="7"/>
      <c r="C908" s="50"/>
      <c r="D908" s="49" t="str">
        <f t="shared" si="14"/>
        <v/>
      </c>
      <c r="E908" s="45"/>
    </row>
    <row r="909" spans="2:5" hidden="1" x14ac:dyDescent="0.25">
      <c r="B909" s="7"/>
      <c r="C909" s="50"/>
      <c r="D909" s="49" t="str">
        <f t="shared" si="14"/>
        <v/>
      </c>
      <c r="E909" s="45"/>
    </row>
    <row r="910" spans="2:5" hidden="1" x14ac:dyDescent="0.25">
      <c r="B910" s="7"/>
      <c r="C910" s="50"/>
      <c r="D910" s="49" t="str">
        <f t="shared" si="14"/>
        <v/>
      </c>
      <c r="E910" s="45"/>
    </row>
    <row r="911" spans="2:5" hidden="1" x14ac:dyDescent="0.25">
      <c r="B911" s="7"/>
      <c r="C911" s="50"/>
      <c r="D911" s="49" t="str">
        <f t="shared" si="14"/>
        <v/>
      </c>
      <c r="E911" s="45"/>
    </row>
    <row r="912" spans="2:5" hidden="1" x14ac:dyDescent="0.25">
      <c r="B912" s="7"/>
      <c r="C912" s="50"/>
      <c r="D912" s="49" t="str">
        <f t="shared" si="14"/>
        <v/>
      </c>
      <c r="E912" s="45"/>
    </row>
    <row r="913" spans="2:5" hidden="1" x14ac:dyDescent="0.25">
      <c r="B913" s="7"/>
      <c r="C913" s="50"/>
      <c r="D913" s="49" t="str">
        <f t="shared" si="14"/>
        <v/>
      </c>
      <c r="E913" s="45"/>
    </row>
    <row r="914" spans="2:5" hidden="1" x14ac:dyDescent="0.25">
      <c r="B914" s="7"/>
      <c r="C914" s="50"/>
      <c r="D914" s="49" t="str">
        <f t="shared" si="14"/>
        <v/>
      </c>
      <c r="E914" s="45"/>
    </row>
    <row r="915" spans="2:5" hidden="1" x14ac:dyDescent="0.25">
      <c r="B915" s="7"/>
      <c r="C915" s="50"/>
      <c r="D915" s="49" t="str">
        <f t="shared" si="14"/>
        <v/>
      </c>
      <c r="E915" s="45"/>
    </row>
    <row r="916" spans="2:5" hidden="1" x14ac:dyDescent="0.25">
      <c r="B916" s="7"/>
      <c r="C916" s="50"/>
      <c r="D916" s="49" t="str">
        <f t="shared" si="14"/>
        <v/>
      </c>
      <c r="E916" s="45"/>
    </row>
    <row r="917" spans="2:5" hidden="1" x14ac:dyDescent="0.25">
      <c r="B917" s="7"/>
      <c r="C917" s="50"/>
      <c r="D917" s="49" t="str">
        <f t="shared" si="14"/>
        <v/>
      </c>
      <c r="E917" s="45"/>
    </row>
    <row r="918" spans="2:5" hidden="1" x14ac:dyDescent="0.25">
      <c r="B918" s="7"/>
      <c r="C918" s="50"/>
      <c r="D918" s="49" t="str">
        <f t="shared" si="14"/>
        <v/>
      </c>
      <c r="E918" s="45"/>
    </row>
    <row r="919" spans="2:5" hidden="1" x14ac:dyDescent="0.25">
      <c r="B919" s="7"/>
      <c r="C919" s="50"/>
      <c r="D919" s="49" t="str">
        <f t="shared" si="14"/>
        <v/>
      </c>
      <c r="E919" s="45"/>
    </row>
    <row r="920" spans="2:5" hidden="1" x14ac:dyDescent="0.25">
      <c r="B920" s="7"/>
      <c r="C920" s="50"/>
      <c r="D920" s="49" t="str">
        <f t="shared" si="14"/>
        <v/>
      </c>
      <c r="E920" s="45"/>
    </row>
    <row r="921" spans="2:5" hidden="1" x14ac:dyDescent="0.25">
      <c r="B921" s="7"/>
      <c r="C921" s="50"/>
      <c r="D921" s="49" t="str">
        <f t="shared" si="14"/>
        <v/>
      </c>
      <c r="E921" s="45"/>
    </row>
    <row r="922" spans="2:5" hidden="1" x14ac:dyDescent="0.25">
      <c r="B922" s="7"/>
      <c r="C922" s="50"/>
      <c r="D922" s="49" t="str">
        <f t="shared" si="14"/>
        <v/>
      </c>
      <c r="E922" s="45"/>
    </row>
    <row r="923" spans="2:5" hidden="1" x14ac:dyDescent="0.25">
      <c r="B923" s="7"/>
      <c r="C923" s="50"/>
      <c r="D923" s="49" t="str">
        <f t="shared" si="14"/>
        <v/>
      </c>
      <c r="E923" s="45"/>
    </row>
    <row r="924" spans="2:5" hidden="1" x14ac:dyDescent="0.25">
      <c r="B924" s="7"/>
      <c r="C924" s="50"/>
      <c r="D924" s="49" t="str">
        <f t="shared" si="14"/>
        <v/>
      </c>
      <c r="E924" s="45"/>
    </row>
    <row r="925" spans="2:5" hidden="1" x14ac:dyDescent="0.25">
      <c r="B925" s="7"/>
      <c r="C925" s="50"/>
      <c r="D925" s="49" t="str">
        <f t="shared" si="14"/>
        <v/>
      </c>
      <c r="E925" s="45"/>
    </row>
    <row r="926" spans="2:5" hidden="1" x14ac:dyDescent="0.25">
      <c r="B926" s="7"/>
      <c r="C926" s="50"/>
      <c r="D926" s="49" t="str">
        <f t="shared" si="14"/>
        <v/>
      </c>
      <c r="E926" s="45"/>
    </row>
    <row r="927" spans="2:5" hidden="1" x14ac:dyDescent="0.25">
      <c r="B927" s="7"/>
      <c r="C927" s="50"/>
      <c r="D927" s="49" t="str">
        <f t="shared" si="14"/>
        <v/>
      </c>
      <c r="E927" s="45"/>
    </row>
    <row r="928" spans="2:5" hidden="1" x14ac:dyDescent="0.25">
      <c r="B928" s="7"/>
      <c r="C928" s="50"/>
      <c r="D928" s="49" t="str">
        <f t="shared" si="14"/>
        <v/>
      </c>
      <c r="E928" s="45"/>
    </row>
    <row r="929" spans="2:5" hidden="1" x14ac:dyDescent="0.25">
      <c r="B929" s="7"/>
      <c r="C929" s="50"/>
      <c r="D929" s="49" t="str">
        <f t="shared" si="14"/>
        <v/>
      </c>
      <c r="E929" s="45"/>
    </row>
    <row r="930" spans="2:5" hidden="1" x14ac:dyDescent="0.25">
      <c r="B930" s="7"/>
      <c r="C930" s="50"/>
      <c r="D930" s="49" t="str">
        <f t="shared" si="14"/>
        <v/>
      </c>
      <c r="E930" s="45"/>
    </row>
    <row r="931" spans="2:5" hidden="1" x14ac:dyDescent="0.25">
      <c r="B931" s="7"/>
      <c r="C931" s="50"/>
      <c r="D931" s="49" t="str">
        <f t="shared" si="14"/>
        <v/>
      </c>
      <c r="E931" s="45"/>
    </row>
    <row r="932" spans="2:5" hidden="1" x14ac:dyDescent="0.25">
      <c r="B932" s="7"/>
      <c r="C932" s="50"/>
      <c r="D932" s="49" t="str">
        <f t="shared" si="14"/>
        <v/>
      </c>
      <c r="E932" s="45"/>
    </row>
    <row r="933" spans="2:5" hidden="1" x14ac:dyDescent="0.25">
      <c r="B933" s="7"/>
      <c r="C933" s="50"/>
      <c r="D933" s="49" t="str">
        <f t="shared" si="14"/>
        <v/>
      </c>
      <c r="E933" s="45"/>
    </row>
    <row r="934" spans="2:5" hidden="1" x14ac:dyDescent="0.25">
      <c r="B934" s="7"/>
      <c r="C934" s="50"/>
      <c r="D934" s="49" t="str">
        <f t="shared" si="14"/>
        <v/>
      </c>
      <c r="E934" s="45"/>
    </row>
    <row r="935" spans="2:5" hidden="1" x14ac:dyDescent="0.25">
      <c r="B935" s="7"/>
      <c r="C935" s="50"/>
      <c r="D935" s="49" t="str">
        <f t="shared" si="14"/>
        <v/>
      </c>
      <c r="E935" s="45"/>
    </row>
    <row r="936" spans="2:5" hidden="1" x14ac:dyDescent="0.25">
      <c r="B936" s="7"/>
      <c r="C936" s="50"/>
      <c r="D936" s="49" t="str">
        <f t="shared" si="14"/>
        <v/>
      </c>
      <c r="E936" s="45"/>
    </row>
    <row r="937" spans="2:5" hidden="1" x14ac:dyDescent="0.25">
      <c r="B937" s="7"/>
      <c r="C937" s="50"/>
      <c r="D937" s="49" t="str">
        <f t="shared" si="14"/>
        <v/>
      </c>
      <c r="E937" s="45"/>
    </row>
    <row r="938" spans="2:5" hidden="1" x14ac:dyDescent="0.25">
      <c r="B938" s="7"/>
      <c r="C938" s="50"/>
      <c r="D938" s="49" t="str">
        <f t="shared" si="14"/>
        <v/>
      </c>
      <c r="E938" s="45"/>
    </row>
    <row r="939" spans="2:5" hidden="1" x14ac:dyDescent="0.25">
      <c r="B939" s="7"/>
      <c r="C939" s="50"/>
      <c r="D939" s="49" t="str">
        <f t="shared" si="14"/>
        <v/>
      </c>
      <c r="E939" s="45"/>
    </row>
    <row r="940" spans="2:5" hidden="1" x14ac:dyDescent="0.25">
      <c r="B940" s="7"/>
      <c r="C940" s="50"/>
      <c r="D940" s="49" t="str">
        <f t="shared" si="14"/>
        <v/>
      </c>
      <c r="E940" s="45"/>
    </row>
    <row r="941" spans="2:5" hidden="1" x14ac:dyDescent="0.25">
      <c r="B941" s="7"/>
      <c r="C941" s="50"/>
      <c r="D941" s="49" t="str">
        <f t="shared" si="14"/>
        <v/>
      </c>
      <c r="E941" s="45"/>
    </row>
    <row r="942" spans="2:5" hidden="1" x14ac:dyDescent="0.25">
      <c r="B942" s="7"/>
      <c r="C942" s="50"/>
      <c r="D942" s="49" t="str">
        <f t="shared" si="14"/>
        <v/>
      </c>
      <c r="E942" s="45"/>
    </row>
    <row r="943" spans="2:5" hidden="1" x14ac:dyDescent="0.25">
      <c r="B943" s="7"/>
      <c r="C943" s="50"/>
      <c r="D943" s="49" t="str">
        <f t="shared" si="14"/>
        <v/>
      </c>
      <c r="E943" s="45"/>
    </row>
    <row r="944" spans="2:5" hidden="1" x14ac:dyDescent="0.25">
      <c r="B944" s="7"/>
      <c r="C944" s="50"/>
      <c r="D944" s="49" t="str">
        <f t="shared" si="14"/>
        <v/>
      </c>
      <c r="E944" s="45"/>
    </row>
    <row r="945" spans="2:5" hidden="1" x14ac:dyDescent="0.25">
      <c r="B945" s="7"/>
      <c r="C945" s="50"/>
      <c r="D945" s="49" t="str">
        <f t="shared" si="14"/>
        <v/>
      </c>
      <c r="E945" s="45"/>
    </row>
    <row r="946" spans="2:5" hidden="1" x14ac:dyDescent="0.25">
      <c r="B946" s="7"/>
      <c r="C946" s="50"/>
      <c r="D946" s="49" t="str">
        <f t="shared" si="14"/>
        <v/>
      </c>
      <c r="E946" s="45"/>
    </row>
    <row r="947" spans="2:5" hidden="1" x14ac:dyDescent="0.25">
      <c r="B947" s="7"/>
      <c r="C947" s="50"/>
      <c r="D947" s="49" t="str">
        <f t="shared" si="14"/>
        <v/>
      </c>
      <c r="E947" s="45"/>
    </row>
    <row r="948" spans="2:5" hidden="1" x14ac:dyDescent="0.25">
      <c r="B948" s="7"/>
      <c r="C948" s="50"/>
      <c r="D948" s="49" t="str">
        <f t="shared" si="14"/>
        <v/>
      </c>
      <c r="E948" s="45"/>
    </row>
    <row r="949" spans="2:5" hidden="1" x14ac:dyDescent="0.25">
      <c r="B949" s="7"/>
      <c r="C949" s="50"/>
      <c r="D949" s="49" t="str">
        <f t="shared" si="14"/>
        <v/>
      </c>
      <c r="E949" s="45"/>
    </row>
    <row r="950" spans="2:5" hidden="1" x14ac:dyDescent="0.25">
      <c r="B950" s="7"/>
      <c r="C950" s="50"/>
      <c r="D950" s="49" t="str">
        <f t="shared" si="14"/>
        <v/>
      </c>
      <c r="E950" s="45"/>
    </row>
    <row r="951" spans="2:5" hidden="1" x14ac:dyDescent="0.25">
      <c r="B951" s="7"/>
      <c r="C951" s="50"/>
      <c r="D951" s="49" t="str">
        <f t="shared" si="14"/>
        <v/>
      </c>
      <c r="E951" s="45"/>
    </row>
    <row r="952" spans="2:5" hidden="1" x14ac:dyDescent="0.25">
      <c r="B952" s="7"/>
      <c r="C952" s="50"/>
      <c r="D952" s="49" t="str">
        <f t="shared" si="14"/>
        <v/>
      </c>
      <c r="E952" s="45"/>
    </row>
    <row r="953" spans="2:5" hidden="1" x14ac:dyDescent="0.25">
      <c r="B953" s="7"/>
      <c r="C953" s="50"/>
      <c r="D953" s="49" t="str">
        <f t="shared" si="14"/>
        <v/>
      </c>
      <c r="E953" s="45"/>
    </row>
    <row r="954" spans="2:5" hidden="1" x14ac:dyDescent="0.25">
      <c r="B954" s="7"/>
      <c r="C954" s="50"/>
      <c r="D954" s="49" t="str">
        <f t="shared" si="14"/>
        <v/>
      </c>
      <c r="E954" s="45"/>
    </row>
    <row r="955" spans="2:5" hidden="1" x14ac:dyDescent="0.25">
      <c r="B955" s="7"/>
      <c r="C955" s="50"/>
      <c r="D955" s="49" t="str">
        <f t="shared" si="14"/>
        <v/>
      </c>
      <c r="E955" s="45"/>
    </row>
    <row r="956" spans="2:5" hidden="1" x14ac:dyDescent="0.25">
      <c r="B956" s="7"/>
      <c r="C956" s="50"/>
      <c r="D956" s="49" t="str">
        <f t="shared" si="14"/>
        <v/>
      </c>
      <c r="E956" s="45"/>
    </row>
    <row r="957" spans="2:5" hidden="1" x14ac:dyDescent="0.25">
      <c r="B957" s="7"/>
      <c r="C957" s="50"/>
      <c r="D957" s="49" t="str">
        <f t="shared" si="14"/>
        <v/>
      </c>
      <c r="E957" s="45"/>
    </row>
    <row r="958" spans="2:5" hidden="1" x14ac:dyDescent="0.25">
      <c r="B958" s="7"/>
      <c r="C958" s="50"/>
      <c r="D958" s="49" t="str">
        <f t="shared" si="14"/>
        <v/>
      </c>
      <c r="E958" s="45"/>
    </row>
    <row r="959" spans="2:5" hidden="1" x14ac:dyDescent="0.25">
      <c r="B959" s="7"/>
      <c r="C959" s="50"/>
      <c r="D959" s="49" t="str">
        <f t="shared" si="14"/>
        <v/>
      </c>
      <c r="E959" s="45"/>
    </row>
    <row r="960" spans="2:5" hidden="1" x14ac:dyDescent="0.25">
      <c r="B960" s="7"/>
      <c r="C960" s="50"/>
      <c r="D960" s="49" t="str">
        <f t="shared" si="14"/>
        <v/>
      </c>
      <c r="E960" s="45"/>
    </row>
    <row r="961" spans="2:5" hidden="1" x14ac:dyDescent="0.25">
      <c r="B961" s="7"/>
      <c r="C961" s="50"/>
      <c r="D961" s="49" t="str">
        <f t="shared" si="14"/>
        <v/>
      </c>
      <c r="E961" s="45"/>
    </row>
    <row r="962" spans="2:5" hidden="1" x14ac:dyDescent="0.25">
      <c r="B962" s="7"/>
      <c r="C962" s="50"/>
      <c r="D962" s="49" t="str">
        <f t="shared" si="14"/>
        <v/>
      </c>
      <c r="E962" s="45"/>
    </row>
    <row r="963" spans="2:5" hidden="1" x14ac:dyDescent="0.25">
      <c r="B963" s="7"/>
      <c r="C963" s="50"/>
      <c r="D963" s="49" t="str">
        <f t="shared" si="14"/>
        <v/>
      </c>
      <c r="E963" s="45"/>
    </row>
    <row r="964" spans="2:5" hidden="1" x14ac:dyDescent="0.25">
      <c r="B964" s="7"/>
      <c r="C964" s="50"/>
      <c r="D964" s="49" t="str">
        <f t="shared" si="14"/>
        <v/>
      </c>
      <c r="E964" s="45"/>
    </row>
    <row r="965" spans="2:5" hidden="1" x14ac:dyDescent="0.25">
      <c r="B965" s="7"/>
      <c r="C965" s="50"/>
      <c r="D965" s="49" t="str">
        <f t="shared" si="14"/>
        <v/>
      </c>
      <c r="E965" s="45"/>
    </row>
    <row r="966" spans="2:5" hidden="1" x14ac:dyDescent="0.25">
      <c r="B966" s="7"/>
      <c r="C966" s="50"/>
      <c r="D966" s="49" t="str">
        <f t="shared" si="14"/>
        <v/>
      </c>
      <c r="E966" s="45"/>
    </row>
    <row r="967" spans="2:5" hidden="1" x14ac:dyDescent="0.25">
      <c r="B967" s="7"/>
      <c r="C967" s="50"/>
      <c r="D967" s="49" t="str">
        <f t="shared" ref="D967:D1007" si="15">IF(ISNUMBER(C967),C967-rToday,"")</f>
        <v/>
      </c>
      <c r="E967" s="45"/>
    </row>
    <row r="968" spans="2:5" hidden="1" x14ac:dyDescent="0.25">
      <c r="B968" s="7"/>
      <c r="C968" s="50"/>
      <c r="D968" s="49" t="str">
        <f t="shared" si="15"/>
        <v/>
      </c>
      <c r="E968" s="45"/>
    </row>
    <row r="969" spans="2:5" hidden="1" x14ac:dyDescent="0.25">
      <c r="B969" s="7"/>
      <c r="C969" s="50"/>
      <c r="D969" s="49" t="str">
        <f t="shared" si="15"/>
        <v/>
      </c>
      <c r="E969" s="45"/>
    </row>
    <row r="970" spans="2:5" hidden="1" x14ac:dyDescent="0.25">
      <c r="B970" s="7"/>
      <c r="C970" s="50"/>
      <c r="D970" s="49" t="str">
        <f t="shared" si="15"/>
        <v/>
      </c>
      <c r="E970" s="45"/>
    </row>
    <row r="971" spans="2:5" hidden="1" x14ac:dyDescent="0.25">
      <c r="B971" s="7"/>
      <c r="C971" s="50"/>
      <c r="D971" s="49" t="str">
        <f t="shared" si="15"/>
        <v/>
      </c>
      <c r="E971" s="45"/>
    </row>
    <row r="972" spans="2:5" hidden="1" x14ac:dyDescent="0.25">
      <c r="B972" s="7"/>
      <c r="C972" s="50"/>
      <c r="D972" s="49" t="str">
        <f t="shared" si="15"/>
        <v/>
      </c>
      <c r="E972" s="45"/>
    </row>
    <row r="973" spans="2:5" hidden="1" x14ac:dyDescent="0.25">
      <c r="B973" s="7"/>
      <c r="C973" s="50"/>
      <c r="D973" s="49" t="str">
        <f t="shared" si="15"/>
        <v/>
      </c>
      <c r="E973" s="45"/>
    </row>
    <row r="974" spans="2:5" hidden="1" x14ac:dyDescent="0.25">
      <c r="B974" s="7"/>
      <c r="C974" s="50"/>
      <c r="D974" s="49" t="str">
        <f t="shared" si="15"/>
        <v/>
      </c>
      <c r="E974" s="45"/>
    </row>
    <row r="975" spans="2:5" hidden="1" x14ac:dyDescent="0.25">
      <c r="B975" s="7"/>
      <c r="C975" s="50"/>
      <c r="D975" s="49" t="str">
        <f t="shared" si="15"/>
        <v/>
      </c>
      <c r="E975" s="45"/>
    </row>
    <row r="976" spans="2:5" hidden="1" x14ac:dyDescent="0.25">
      <c r="B976" s="7"/>
      <c r="C976" s="50"/>
      <c r="D976" s="49" t="str">
        <f t="shared" si="15"/>
        <v/>
      </c>
      <c r="E976" s="45"/>
    </row>
    <row r="977" spans="2:5" hidden="1" x14ac:dyDescent="0.25">
      <c r="B977" s="7"/>
      <c r="C977" s="50"/>
      <c r="D977" s="49" t="str">
        <f t="shared" si="15"/>
        <v/>
      </c>
      <c r="E977" s="45"/>
    </row>
    <row r="978" spans="2:5" hidden="1" x14ac:dyDescent="0.25">
      <c r="B978" s="7"/>
      <c r="C978" s="50"/>
      <c r="D978" s="49" t="str">
        <f t="shared" si="15"/>
        <v/>
      </c>
      <c r="E978" s="45"/>
    </row>
    <row r="979" spans="2:5" hidden="1" x14ac:dyDescent="0.25">
      <c r="B979" s="7"/>
      <c r="C979" s="50"/>
      <c r="D979" s="49" t="str">
        <f t="shared" si="15"/>
        <v/>
      </c>
      <c r="E979" s="45"/>
    </row>
    <row r="980" spans="2:5" hidden="1" x14ac:dyDescent="0.25">
      <c r="B980" s="7"/>
      <c r="C980" s="50"/>
      <c r="D980" s="49" t="str">
        <f t="shared" si="15"/>
        <v/>
      </c>
      <c r="E980" s="45"/>
    </row>
    <row r="981" spans="2:5" hidden="1" x14ac:dyDescent="0.25">
      <c r="B981" s="7"/>
      <c r="C981" s="50"/>
      <c r="D981" s="49" t="str">
        <f t="shared" si="15"/>
        <v/>
      </c>
      <c r="E981" s="45"/>
    </row>
    <row r="982" spans="2:5" hidden="1" x14ac:dyDescent="0.25">
      <c r="B982" s="7"/>
      <c r="C982" s="50"/>
      <c r="D982" s="49" t="str">
        <f t="shared" si="15"/>
        <v/>
      </c>
      <c r="E982" s="45"/>
    </row>
    <row r="983" spans="2:5" hidden="1" x14ac:dyDescent="0.25">
      <c r="B983" s="7"/>
      <c r="C983" s="50"/>
      <c r="D983" s="49" t="str">
        <f t="shared" si="15"/>
        <v/>
      </c>
      <c r="E983" s="45"/>
    </row>
    <row r="984" spans="2:5" hidden="1" x14ac:dyDescent="0.25">
      <c r="B984" s="7"/>
      <c r="C984" s="50"/>
      <c r="D984" s="49" t="str">
        <f t="shared" si="15"/>
        <v/>
      </c>
      <c r="E984" s="45"/>
    </row>
    <row r="985" spans="2:5" hidden="1" x14ac:dyDescent="0.25">
      <c r="B985" s="7"/>
      <c r="C985" s="50"/>
      <c r="D985" s="49" t="str">
        <f t="shared" si="15"/>
        <v/>
      </c>
      <c r="E985" s="45"/>
    </row>
    <row r="986" spans="2:5" hidden="1" x14ac:dyDescent="0.25">
      <c r="B986" s="7"/>
      <c r="C986" s="50"/>
      <c r="D986" s="49" t="str">
        <f t="shared" si="15"/>
        <v/>
      </c>
      <c r="E986" s="45"/>
    </row>
    <row r="987" spans="2:5" hidden="1" x14ac:dyDescent="0.25">
      <c r="B987" s="7"/>
      <c r="C987" s="50"/>
      <c r="D987" s="49" t="str">
        <f t="shared" si="15"/>
        <v/>
      </c>
      <c r="E987" s="45"/>
    </row>
    <row r="988" spans="2:5" hidden="1" x14ac:dyDescent="0.25">
      <c r="B988" s="7"/>
      <c r="C988" s="50"/>
      <c r="D988" s="49" t="str">
        <f t="shared" si="15"/>
        <v/>
      </c>
      <c r="E988" s="45"/>
    </row>
    <row r="989" spans="2:5" hidden="1" x14ac:dyDescent="0.25">
      <c r="B989" s="7"/>
      <c r="C989" s="50"/>
      <c r="D989" s="49" t="str">
        <f t="shared" si="15"/>
        <v/>
      </c>
      <c r="E989" s="45"/>
    </row>
    <row r="990" spans="2:5" hidden="1" x14ac:dyDescent="0.25">
      <c r="B990" s="7"/>
      <c r="C990" s="50"/>
      <c r="D990" s="49" t="str">
        <f t="shared" si="15"/>
        <v/>
      </c>
      <c r="E990" s="45"/>
    </row>
    <row r="991" spans="2:5" hidden="1" x14ac:dyDescent="0.25">
      <c r="B991" s="7"/>
      <c r="C991" s="50"/>
      <c r="D991" s="49" t="str">
        <f t="shared" si="15"/>
        <v/>
      </c>
      <c r="E991" s="45"/>
    </row>
    <row r="992" spans="2:5" hidden="1" x14ac:dyDescent="0.25">
      <c r="B992" s="7"/>
      <c r="C992" s="50"/>
      <c r="D992" s="49" t="str">
        <f t="shared" si="15"/>
        <v/>
      </c>
      <c r="E992" s="45"/>
    </row>
    <row r="993" spans="2:5" hidden="1" x14ac:dyDescent="0.25">
      <c r="B993" s="7"/>
      <c r="C993" s="50"/>
      <c r="D993" s="49" t="str">
        <f t="shared" si="15"/>
        <v/>
      </c>
      <c r="E993" s="45"/>
    </row>
    <row r="994" spans="2:5" hidden="1" x14ac:dyDescent="0.25">
      <c r="B994" s="7"/>
      <c r="C994" s="50"/>
      <c r="D994" s="49" t="str">
        <f t="shared" si="15"/>
        <v/>
      </c>
      <c r="E994" s="45"/>
    </row>
    <row r="995" spans="2:5" hidden="1" x14ac:dyDescent="0.25">
      <c r="B995" s="7"/>
      <c r="C995" s="50"/>
      <c r="D995" s="49" t="str">
        <f t="shared" si="15"/>
        <v/>
      </c>
      <c r="E995" s="45"/>
    </row>
    <row r="996" spans="2:5" hidden="1" x14ac:dyDescent="0.25">
      <c r="B996" s="7"/>
      <c r="C996" s="50"/>
      <c r="D996" s="49" t="str">
        <f t="shared" si="15"/>
        <v/>
      </c>
      <c r="E996" s="45"/>
    </row>
    <row r="997" spans="2:5" hidden="1" x14ac:dyDescent="0.25">
      <c r="B997" s="7"/>
      <c r="C997" s="50"/>
      <c r="D997" s="49" t="str">
        <f t="shared" si="15"/>
        <v/>
      </c>
      <c r="E997" s="45"/>
    </row>
    <row r="998" spans="2:5" hidden="1" x14ac:dyDescent="0.25">
      <c r="B998" s="7"/>
      <c r="C998" s="50"/>
      <c r="D998" s="49" t="str">
        <f t="shared" si="15"/>
        <v/>
      </c>
      <c r="E998" s="45"/>
    </row>
    <row r="999" spans="2:5" hidden="1" x14ac:dyDescent="0.25">
      <c r="B999" s="7"/>
      <c r="C999" s="50"/>
      <c r="D999" s="49" t="str">
        <f t="shared" si="15"/>
        <v/>
      </c>
      <c r="E999" s="45"/>
    </row>
    <row r="1000" spans="2:5" hidden="1" x14ac:dyDescent="0.25">
      <c r="B1000" s="7"/>
      <c r="C1000" s="50"/>
      <c r="D1000" s="49" t="str">
        <f t="shared" si="15"/>
        <v/>
      </c>
      <c r="E1000" s="45"/>
    </row>
    <row r="1001" spans="2:5" hidden="1" x14ac:dyDescent="0.25">
      <c r="B1001" s="7"/>
      <c r="C1001" s="50"/>
      <c r="D1001" s="49" t="str">
        <f t="shared" si="15"/>
        <v/>
      </c>
      <c r="E1001" s="45"/>
    </row>
    <row r="1002" spans="2:5" hidden="1" x14ac:dyDescent="0.25">
      <c r="B1002" s="7"/>
      <c r="C1002" s="50"/>
      <c r="D1002" s="49" t="str">
        <f t="shared" si="15"/>
        <v/>
      </c>
      <c r="E1002" s="45"/>
    </row>
    <row r="1003" spans="2:5" hidden="1" x14ac:dyDescent="0.25">
      <c r="B1003" s="7"/>
      <c r="C1003" s="50"/>
      <c r="D1003" s="49" t="str">
        <f t="shared" si="15"/>
        <v/>
      </c>
      <c r="E1003" s="45"/>
    </row>
    <row r="1004" spans="2:5" hidden="1" x14ac:dyDescent="0.25">
      <c r="B1004" s="7"/>
      <c r="C1004" s="50"/>
      <c r="D1004" s="49" t="str">
        <f t="shared" si="15"/>
        <v/>
      </c>
      <c r="E1004" s="45"/>
    </row>
    <row r="1005" spans="2:5" hidden="1" x14ac:dyDescent="0.25">
      <c r="B1005" s="7"/>
      <c r="C1005" s="50"/>
      <c r="D1005" s="49" t="str">
        <f t="shared" si="15"/>
        <v/>
      </c>
      <c r="E1005" s="45"/>
    </row>
    <row r="1006" spans="2:5" hidden="1" x14ac:dyDescent="0.25">
      <c r="B1006" s="7"/>
      <c r="C1006" s="50"/>
      <c r="D1006" s="49" t="str">
        <f t="shared" si="15"/>
        <v/>
      </c>
      <c r="E1006" s="45"/>
    </row>
    <row r="1007" spans="2:5" hidden="1" x14ac:dyDescent="0.25">
      <c r="B1007" s="7"/>
      <c r="C1007" s="50"/>
      <c r="D1007" s="49" t="str">
        <f t="shared" si="15"/>
        <v/>
      </c>
      <c r="E1007" s="45"/>
    </row>
  </sheetData>
  <dataValidations count="1">
    <dataValidation showInputMessage="1" sqref="C7:C1007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heet0"/>
  <dimension ref="A1:J2411"/>
  <sheetViews>
    <sheetView showGridLines="0" workbookViewId="0">
      <selection activeCell="A2" sqref="A2"/>
    </sheetView>
  </sheetViews>
  <sheetFormatPr defaultColWidth="9.140625" defaultRowHeight="15" x14ac:dyDescent="0.25"/>
  <cols>
    <col min="1" max="1" width="3.85546875" customWidth="1"/>
    <col min="2" max="2" width="12.42578125" customWidth="1"/>
    <col min="3" max="6" width="17.7109375" customWidth="1"/>
    <col min="7" max="7" width="32.7109375" customWidth="1"/>
    <col min="8" max="10" width="17.7109375" hidden="1" customWidth="1"/>
    <col min="11" max="108" width="9.140625" customWidth="1"/>
  </cols>
  <sheetData>
    <row r="1" spans="1:7" x14ac:dyDescent="0.25">
      <c r="A1" s="6"/>
      <c r="B1" s="9"/>
      <c r="C1" s="9"/>
      <c r="D1" s="9"/>
      <c r="E1" s="9"/>
      <c r="F1" s="8"/>
      <c r="G1" s="8"/>
    </row>
    <row r="2" spans="1:7" ht="23.25" x14ac:dyDescent="0.25">
      <c r="A2" s="6"/>
      <c r="B2" s="11" t="s">
        <v>2</v>
      </c>
      <c r="C2" s="11"/>
      <c r="D2" s="9"/>
      <c r="E2" s="9"/>
      <c r="F2" s="8"/>
      <c r="G2" s="8"/>
    </row>
    <row r="3" spans="1:7" x14ac:dyDescent="0.25">
      <c r="A3" s="6"/>
      <c r="B3" s="6"/>
      <c r="C3" s="6"/>
      <c r="D3" s="6"/>
      <c r="E3" s="6"/>
      <c r="F3" s="8"/>
      <c r="G3" s="8"/>
    </row>
    <row r="4" spans="1:7" ht="15.75" thickBot="1" x14ac:dyDescent="0.3">
      <c r="A4" s="6"/>
      <c r="B4" s="10" t="s">
        <v>34</v>
      </c>
      <c r="E4" s="6"/>
      <c r="F4" s="6"/>
      <c r="G4" s="8"/>
    </row>
    <row r="5" spans="1:7" ht="15.75" thickBot="1" x14ac:dyDescent="0.3">
      <c r="A5" s="6"/>
      <c r="B5" s="10" t="s">
        <v>35</v>
      </c>
      <c r="C5" s="10" t="s">
        <v>22</v>
      </c>
      <c r="D5" s="10" t="s">
        <v>36</v>
      </c>
      <c r="E5" s="10" t="s">
        <v>37</v>
      </c>
      <c r="F5" s="10" t="s">
        <v>202</v>
      </c>
      <c r="G5" s="67"/>
    </row>
    <row r="6" spans="1:7" x14ac:dyDescent="0.25">
      <c r="A6" s="9"/>
      <c r="C6" s="16"/>
      <c r="D6" s="9"/>
      <c r="E6" s="9"/>
      <c r="F6" s="8"/>
      <c r="G6" s="8"/>
    </row>
    <row r="7" spans="1:7" ht="15.75" hidden="1" x14ac:dyDescent="0.25">
      <c r="A7" s="6"/>
      <c r="B7" s="17" t="s">
        <v>35</v>
      </c>
      <c r="C7" s="5" t="s">
        <v>38</v>
      </c>
      <c r="D7" s="5" t="s">
        <v>31</v>
      </c>
      <c r="E7" s="5" t="s">
        <v>32</v>
      </c>
      <c r="F7" s="73" t="s">
        <v>33</v>
      </c>
      <c r="G7" s="73"/>
    </row>
    <row r="8" spans="1:7" ht="15.75" hidden="1" thickBot="1" x14ac:dyDescent="0.3">
      <c r="A8" s="6"/>
      <c r="B8" s="33" t="s">
        <v>39</v>
      </c>
      <c r="C8" s="34"/>
      <c r="D8" s="50"/>
      <c r="E8" s="49" t="str">
        <f t="shared" ref="E8:E71" si="0">IF(C8="Active",IF(ISNUMBER(D8),D8-rToday,""),"")</f>
        <v/>
      </c>
      <c r="F8" s="74"/>
      <c r="G8" s="74"/>
    </row>
    <row r="9" spans="1:7" ht="15.75" hidden="1" thickBot="1" x14ac:dyDescent="0.3">
      <c r="A9" s="6"/>
      <c r="B9" s="10" t="s">
        <v>39</v>
      </c>
      <c r="C9" s="34"/>
      <c r="D9" s="50"/>
      <c r="E9" s="49" t="str">
        <f t="shared" si="0"/>
        <v/>
      </c>
      <c r="F9" s="74"/>
      <c r="G9" s="74"/>
    </row>
    <row r="10" spans="1:7" ht="15.75" hidden="1" thickBot="1" x14ac:dyDescent="0.3">
      <c r="A10" s="6"/>
      <c r="B10" s="10" t="s">
        <v>39</v>
      </c>
      <c r="C10" s="34"/>
      <c r="D10" s="50"/>
      <c r="E10" s="49" t="str">
        <f t="shared" si="0"/>
        <v/>
      </c>
      <c r="F10" s="74"/>
      <c r="G10" s="74"/>
    </row>
    <row r="11" spans="1:7" ht="15.75" hidden="1" customHeight="1" thickBot="1" x14ac:dyDescent="0.3">
      <c r="A11" s="6"/>
      <c r="B11" s="10" t="s">
        <v>39</v>
      </c>
      <c r="C11" s="34"/>
      <c r="D11" s="50"/>
      <c r="E11" s="49" t="str">
        <f t="shared" si="0"/>
        <v/>
      </c>
      <c r="F11" s="74"/>
      <c r="G11" s="74"/>
    </row>
    <row r="12" spans="1:7" ht="15.75" hidden="1" customHeight="1" thickBot="1" x14ac:dyDescent="0.3">
      <c r="A12" s="6"/>
      <c r="B12" s="10" t="s">
        <v>39</v>
      </c>
      <c r="C12" s="34"/>
      <c r="D12" s="50"/>
      <c r="E12" s="49" t="str">
        <f t="shared" si="0"/>
        <v/>
      </c>
      <c r="F12" s="74"/>
      <c r="G12" s="74"/>
    </row>
    <row r="13" spans="1:7" ht="15.75" hidden="1" customHeight="1" thickBot="1" x14ac:dyDescent="0.3">
      <c r="A13" s="6"/>
      <c r="B13" s="10" t="s">
        <v>39</v>
      </c>
      <c r="C13" s="34"/>
      <c r="D13" s="50"/>
      <c r="E13" s="49" t="str">
        <f t="shared" si="0"/>
        <v/>
      </c>
      <c r="F13" s="74"/>
      <c r="G13" s="74"/>
    </row>
    <row r="14" spans="1:7" ht="15.75" hidden="1" customHeight="1" thickBot="1" x14ac:dyDescent="0.3">
      <c r="A14" s="6"/>
      <c r="B14" s="10" t="s">
        <v>39</v>
      </c>
      <c r="C14" s="34"/>
      <c r="D14" s="50"/>
      <c r="E14" s="49" t="str">
        <f t="shared" si="0"/>
        <v/>
      </c>
      <c r="F14" s="74"/>
      <c r="G14" s="74"/>
    </row>
    <row r="15" spans="1:7" ht="15.75" hidden="1" customHeight="1" thickBot="1" x14ac:dyDescent="0.3">
      <c r="A15" s="6"/>
      <c r="B15" s="10" t="s">
        <v>39</v>
      </c>
      <c r="C15" s="34"/>
      <c r="D15" s="50"/>
      <c r="E15" s="49" t="str">
        <f t="shared" si="0"/>
        <v/>
      </c>
      <c r="F15" s="74"/>
      <c r="G15" s="74"/>
    </row>
    <row r="16" spans="1:7" ht="15.75" hidden="1" customHeight="1" thickBot="1" x14ac:dyDescent="0.3">
      <c r="A16" s="6"/>
      <c r="B16" s="10" t="s">
        <v>39</v>
      </c>
      <c r="C16" s="34"/>
      <c r="D16" s="50"/>
      <c r="E16" s="49" t="str">
        <f t="shared" si="0"/>
        <v/>
      </c>
      <c r="F16" s="74"/>
      <c r="G16" s="74"/>
    </row>
    <row r="17" spans="1:7" ht="15.75" hidden="1" customHeight="1" thickBot="1" x14ac:dyDescent="0.3">
      <c r="A17" s="6"/>
      <c r="B17" s="10" t="s">
        <v>39</v>
      </c>
      <c r="C17" s="34"/>
      <c r="D17" s="50"/>
      <c r="E17" s="49" t="str">
        <f t="shared" si="0"/>
        <v/>
      </c>
      <c r="F17" s="74"/>
      <c r="G17" s="74"/>
    </row>
    <row r="18" spans="1:7" ht="15.75" hidden="1" customHeight="1" thickBot="1" x14ac:dyDescent="0.3">
      <c r="A18" s="6"/>
      <c r="B18" s="10" t="s">
        <v>39</v>
      </c>
      <c r="C18" s="34"/>
      <c r="D18" s="50"/>
      <c r="E18" s="49" t="str">
        <f t="shared" si="0"/>
        <v/>
      </c>
      <c r="F18" s="74"/>
      <c r="G18" s="74"/>
    </row>
    <row r="19" spans="1:7" ht="15.75" hidden="1" customHeight="1" thickBot="1" x14ac:dyDescent="0.3">
      <c r="A19" s="6"/>
      <c r="B19" s="10" t="s">
        <v>39</v>
      </c>
      <c r="C19" s="34"/>
      <c r="D19" s="50"/>
      <c r="E19" s="49" t="str">
        <f t="shared" si="0"/>
        <v/>
      </c>
      <c r="F19" s="74"/>
      <c r="G19" s="74"/>
    </row>
    <row r="20" spans="1:7" ht="15.75" hidden="1" customHeight="1" thickBot="1" x14ac:dyDescent="0.3">
      <c r="A20" s="6"/>
      <c r="B20" s="10" t="s">
        <v>39</v>
      </c>
      <c r="C20" s="34"/>
      <c r="D20" s="50"/>
      <c r="E20" s="49" t="str">
        <f t="shared" si="0"/>
        <v/>
      </c>
      <c r="F20" s="74"/>
      <c r="G20" s="74"/>
    </row>
    <row r="21" spans="1:7" ht="15.75" hidden="1" customHeight="1" thickBot="1" x14ac:dyDescent="0.3">
      <c r="A21" s="6"/>
      <c r="B21" s="10" t="s">
        <v>39</v>
      </c>
      <c r="C21" s="34"/>
      <c r="D21" s="50"/>
      <c r="E21" s="49" t="str">
        <f t="shared" si="0"/>
        <v/>
      </c>
      <c r="F21" s="74"/>
      <c r="G21" s="74"/>
    </row>
    <row r="22" spans="1:7" ht="15.75" hidden="1" customHeight="1" thickBot="1" x14ac:dyDescent="0.3">
      <c r="A22" s="6"/>
      <c r="B22" s="10" t="s">
        <v>39</v>
      </c>
      <c r="C22" s="34"/>
      <c r="D22" s="50"/>
      <c r="E22" s="49" t="str">
        <f t="shared" si="0"/>
        <v/>
      </c>
      <c r="F22" s="74"/>
      <c r="G22" s="74"/>
    </row>
    <row r="23" spans="1:7" ht="15.75" hidden="1" customHeight="1" thickBot="1" x14ac:dyDescent="0.3">
      <c r="A23" s="6"/>
      <c r="B23" s="10" t="s">
        <v>39</v>
      </c>
      <c r="C23" s="34"/>
      <c r="D23" s="50"/>
      <c r="E23" s="49" t="str">
        <f t="shared" si="0"/>
        <v/>
      </c>
      <c r="F23" s="74"/>
      <c r="G23" s="74"/>
    </row>
    <row r="24" spans="1:7" ht="15.75" hidden="1" customHeight="1" thickBot="1" x14ac:dyDescent="0.3">
      <c r="A24" s="6"/>
      <c r="B24" s="10" t="s">
        <v>39</v>
      </c>
      <c r="C24" s="34"/>
      <c r="D24" s="50"/>
      <c r="E24" s="49" t="str">
        <f t="shared" si="0"/>
        <v/>
      </c>
      <c r="F24" s="74"/>
      <c r="G24" s="74"/>
    </row>
    <row r="25" spans="1:7" ht="15.75" hidden="1" customHeight="1" thickBot="1" x14ac:dyDescent="0.3">
      <c r="A25" s="6"/>
      <c r="B25" s="10" t="s">
        <v>39</v>
      </c>
      <c r="C25" s="34"/>
      <c r="D25" s="50"/>
      <c r="E25" s="49" t="str">
        <f t="shared" si="0"/>
        <v/>
      </c>
      <c r="F25" s="74"/>
      <c r="G25" s="74"/>
    </row>
    <row r="26" spans="1:7" ht="15.75" hidden="1" customHeight="1" thickBot="1" x14ac:dyDescent="0.3">
      <c r="A26" s="6"/>
      <c r="B26" s="10" t="s">
        <v>39</v>
      </c>
      <c r="C26" s="34"/>
      <c r="D26" s="50"/>
      <c r="E26" s="49" t="str">
        <f t="shared" si="0"/>
        <v/>
      </c>
      <c r="F26" s="74"/>
      <c r="G26" s="74"/>
    </row>
    <row r="27" spans="1:7" ht="15.75" hidden="1" customHeight="1" thickBot="1" x14ac:dyDescent="0.3">
      <c r="A27" s="6"/>
      <c r="B27" s="10" t="s">
        <v>39</v>
      </c>
      <c r="C27" s="34"/>
      <c r="D27" s="50"/>
      <c r="E27" s="49" t="str">
        <f t="shared" si="0"/>
        <v/>
      </c>
      <c r="F27" s="74"/>
      <c r="G27" s="74"/>
    </row>
    <row r="28" spans="1:7" ht="15.75" hidden="1" customHeight="1" thickBot="1" x14ac:dyDescent="0.3">
      <c r="A28" s="6"/>
      <c r="B28" s="10" t="s">
        <v>39</v>
      </c>
      <c r="C28" s="34"/>
      <c r="D28" s="50"/>
      <c r="E28" s="49" t="str">
        <f t="shared" si="0"/>
        <v/>
      </c>
      <c r="F28" s="74"/>
      <c r="G28" s="74"/>
    </row>
    <row r="29" spans="1:7" ht="15.75" hidden="1" customHeight="1" thickBot="1" x14ac:dyDescent="0.3">
      <c r="A29" s="6"/>
      <c r="B29" s="10" t="s">
        <v>39</v>
      </c>
      <c r="C29" s="34"/>
      <c r="D29" s="50"/>
      <c r="E29" s="49" t="str">
        <f t="shared" si="0"/>
        <v/>
      </c>
      <c r="F29" s="74"/>
      <c r="G29" s="74"/>
    </row>
    <row r="30" spans="1:7" ht="15.75" hidden="1" customHeight="1" thickBot="1" x14ac:dyDescent="0.3">
      <c r="A30" s="6"/>
      <c r="B30" s="10" t="s">
        <v>39</v>
      </c>
      <c r="C30" s="34"/>
      <c r="D30" s="50"/>
      <c r="E30" s="49" t="str">
        <f t="shared" si="0"/>
        <v/>
      </c>
      <c r="F30" s="74"/>
      <c r="G30" s="74"/>
    </row>
    <row r="31" spans="1:7" ht="15.75" hidden="1" customHeight="1" thickBot="1" x14ac:dyDescent="0.3">
      <c r="A31" s="6"/>
      <c r="B31" s="10" t="s">
        <v>39</v>
      </c>
      <c r="C31" s="34"/>
      <c r="D31" s="50"/>
      <c r="E31" s="49" t="str">
        <f t="shared" si="0"/>
        <v/>
      </c>
      <c r="F31" s="74"/>
      <c r="G31" s="74"/>
    </row>
    <row r="32" spans="1:7" ht="15.75" hidden="1" customHeight="1" thickBot="1" x14ac:dyDescent="0.3">
      <c r="A32" s="6"/>
      <c r="B32" s="10" t="s">
        <v>39</v>
      </c>
      <c r="C32" s="34"/>
      <c r="D32" s="50"/>
      <c r="E32" s="49" t="str">
        <f t="shared" si="0"/>
        <v/>
      </c>
      <c r="F32" s="74"/>
      <c r="G32" s="74"/>
    </row>
    <row r="33" spans="1:7" ht="15.75" hidden="1" customHeight="1" thickBot="1" x14ac:dyDescent="0.3">
      <c r="A33" s="6"/>
      <c r="B33" s="10" t="s">
        <v>39</v>
      </c>
      <c r="C33" s="34"/>
      <c r="D33" s="50"/>
      <c r="E33" s="49" t="str">
        <f t="shared" si="0"/>
        <v/>
      </c>
      <c r="F33" s="74"/>
      <c r="G33" s="74"/>
    </row>
    <row r="34" spans="1:7" ht="15.75" hidden="1" customHeight="1" thickBot="1" x14ac:dyDescent="0.3">
      <c r="A34" s="6"/>
      <c r="B34" s="10" t="s">
        <v>39</v>
      </c>
      <c r="C34" s="34"/>
      <c r="D34" s="50"/>
      <c r="E34" s="49" t="str">
        <f t="shared" si="0"/>
        <v/>
      </c>
      <c r="F34" s="74"/>
      <c r="G34" s="74"/>
    </row>
    <row r="35" spans="1:7" ht="15.75" hidden="1" customHeight="1" thickBot="1" x14ac:dyDescent="0.3">
      <c r="A35" s="6"/>
      <c r="B35" s="10" t="s">
        <v>39</v>
      </c>
      <c r="C35" s="34"/>
      <c r="D35" s="50"/>
      <c r="E35" s="49" t="str">
        <f t="shared" si="0"/>
        <v/>
      </c>
      <c r="F35" s="74"/>
      <c r="G35" s="74"/>
    </row>
    <row r="36" spans="1:7" ht="15.75" hidden="1" customHeight="1" thickBot="1" x14ac:dyDescent="0.3">
      <c r="A36" s="6"/>
      <c r="B36" s="10" t="s">
        <v>39</v>
      </c>
      <c r="C36" s="34"/>
      <c r="D36" s="50"/>
      <c r="E36" s="49" t="str">
        <f t="shared" si="0"/>
        <v/>
      </c>
      <c r="F36" s="74"/>
      <c r="G36" s="74"/>
    </row>
    <row r="37" spans="1:7" ht="15.75" hidden="1" customHeight="1" thickBot="1" x14ac:dyDescent="0.3">
      <c r="A37" s="6"/>
      <c r="B37" s="10" t="s">
        <v>39</v>
      </c>
      <c r="C37" s="34"/>
      <c r="D37" s="50"/>
      <c r="E37" s="49" t="str">
        <f t="shared" si="0"/>
        <v/>
      </c>
      <c r="F37" s="74"/>
      <c r="G37" s="74"/>
    </row>
    <row r="38" spans="1:7" ht="15.75" hidden="1" customHeight="1" thickBot="1" x14ac:dyDescent="0.3">
      <c r="A38" s="6"/>
      <c r="B38" s="10" t="s">
        <v>39</v>
      </c>
      <c r="C38" s="34"/>
      <c r="D38" s="50"/>
      <c r="E38" s="49" t="str">
        <f t="shared" si="0"/>
        <v/>
      </c>
      <c r="F38" s="74"/>
      <c r="G38" s="74"/>
    </row>
    <row r="39" spans="1:7" ht="15.75" hidden="1" customHeight="1" thickBot="1" x14ac:dyDescent="0.3">
      <c r="A39" s="6"/>
      <c r="B39" s="10" t="s">
        <v>39</v>
      </c>
      <c r="C39" s="34"/>
      <c r="D39" s="50"/>
      <c r="E39" s="49" t="str">
        <f t="shared" si="0"/>
        <v/>
      </c>
      <c r="F39" s="74"/>
      <c r="G39" s="74"/>
    </row>
    <row r="40" spans="1:7" ht="15.75" hidden="1" customHeight="1" thickBot="1" x14ac:dyDescent="0.3">
      <c r="A40" s="6"/>
      <c r="B40" s="10" t="s">
        <v>39</v>
      </c>
      <c r="C40" s="34"/>
      <c r="D40" s="50"/>
      <c r="E40" s="49" t="str">
        <f t="shared" si="0"/>
        <v/>
      </c>
      <c r="F40" s="74"/>
      <c r="G40" s="74"/>
    </row>
    <row r="41" spans="1:7" ht="15.75" hidden="1" customHeight="1" thickBot="1" x14ac:dyDescent="0.3">
      <c r="A41" s="6"/>
      <c r="B41" s="10" t="s">
        <v>39</v>
      </c>
      <c r="C41" s="34"/>
      <c r="D41" s="50"/>
      <c r="E41" s="49" t="str">
        <f t="shared" si="0"/>
        <v/>
      </c>
      <c r="F41" s="74"/>
      <c r="G41" s="74"/>
    </row>
    <row r="42" spans="1:7" ht="15.75" hidden="1" customHeight="1" thickBot="1" x14ac:dyDescent="0.3">
      <c r="A42" s="6"/>
      <c r="B42" s="10" t="s">
        <v>39</v>
      </c>
      <c r="C42" s="34"/>
      <c r="D42" s="50"/>
      <c r="E42" s="49" t="str">
        <f t="shared" si="0"/>
        <v/>
      </c>
      <c r="F42" s="74"/>
      <c r="G42" s="74"/>
    </row>
    <row r="43" spans="1:7" ht="15.75" hidden="1" customHeight="1" thickBot="1" x14ac:dyDescent="0.3">
      <c r="A43" s="6"/>
      <c r="B43" s="10" t="s">
        <v>39</v>
      </c>
      <c r="C43" s="34"/>
      <c r="D43" s="50"/>
      <c r="E43" s="49" t="str">
        <f t="shared" si="0"/>
        <v/>
      </c>
      <c r="F43" s="74"/>
      <c r="G43" s="74"/>
    </row>
    <row r="44" spans="1:7" ht="15.75" hidden="1" customHeight="1" thickBot="1" x14ac:dyDescent="0.3">
      <c r="A44" s="6"/>
      <c r="B44" s="10" t="s">
        <v>39</v>
      </c>
      <c r="C44" s="34"/>
      <c r="D44" s="50"/>
      <c r="E44" s="49" t="str">
        <f t="shared" si="0"/>
        <v/>
      </c>
      <c r="F44" s="74"/>
      <c r="G44" s="74"/>
    </row>
    <row r="45" spans="1:7" ht="15.75" hidden="1" customHeight="1" thickBot="1" x14ac:dyDescent="0.3">
      <c r="A45" s="6"/>
      <c r="B45" s="10" t="s">
        <v>39</v>
      </c>
      <c r="C45" s="34"/>
      <c r="D45" s="50"/>
      <c r="E45" s="49" t="str">
        <f t="shared" si="0"/>
        <v/>
      </c>
      <c r="F45" s="74"/>
      <c r="G45" s="74"/>
    </row>
    <row r="46" spans="1:7" ht="15.75" hidden="1" customHeight="1" thickBot="1" x14ac:dyDescent="0.3">
      <c r="A46" s="6"/>
      <c r="B46" s="10" t="s">
        <v>39</v>
      </c>
      <c r="C46" s="34"/>
      <c r="D46" s="50"/>
      <c r="E46" s="49" t="str">
        <f t="shared" si="0"/>
        <v/>
      </c>
      <c r="F46" s="74"/>
      <c r="G46" s="74"/>
    </row>
    <row r="47" spans="1:7" ht="15.75" hidden="1" customHeight="1" thickBot="1" x14ac:dyDescent="0.3">
      <c r="A47" s="6"/>
      <c r="B47" s="10" t="s">
        <v>39</v>
      </c>
      <c r="C47" s="34"/>
      <c r="D47" s="50"/>
      <c r="E47" s="49" t="str">
        <f t="shared" si="0"/>
        <v/>
      </c>
      <c r="F47" s="74"/>
      <c r="G47" s="74"/>
    </row>
    <row r="48" spans="1:7" ht="15.75" hidden="1" customHeight="1" thickBot="1" x14ac:dyDescent="0.3">
      <c r="A48" s="6"/>
      <c r="B48" s="10" t="s">
        <v>39</v>
      </c>
      <c r="C48" s="34"/>
      <c r="D48" s="50"/>
      <c r="E48" s="49" t="str">
        <f t="shared" si="0"/>
        <v/>
      </c>
      <c r="F48" s="74"/>
      <c r="G48" s="74"/>
    </row>
    <row r="49" spans="1:7" ht="15.75" hidden="1" customHeight="1" thickBot="1" x14ac:dyDescent="0.3">
      <c r="A49" s="6"/>
      <c r="B49" s="10" t="s">
        <v>39</v>
      </c>
      <c r="C49" s="34"/>
      <c r="D49" s="50"/>
      <c r="E49" s="49" t="str">
        <f t="shared" si="0"/>
        <v/>
      </c>
      <c r="F49" s="74"/>
      <c r="G49" s="74"/>
    </row>
    <row r="50" spans="1:7" ht="15.75" hidden="1" customHeight="1" thickBot="1" x14ac:dyDescent="0.3">
      <c r="A50" s="6"/>
      <c r="B50" s="10" t="s">
        <v>39</v>
      </c>
      <c r="C50" s="34"/>
      <c r="D50" s="50"/>
      <c r="E50" s="49" t="str">
        <f t="shared" si="0"/>
        <v/>
      </c>
      <c r="F50" s="74"/>
      <c r="G50" s="74"/>
    </row>
    <row r="51" spans="1:7" ht="15.75" hidden="1" customHeight="1" thickBot="1" x14ac:dyDescent="0.3">
      <c r="A51" s="6"/>
      <c r="B51" s="10" t="s">
        <v>39</v>
      </c>
      <c r="C51" s="34"/>
      <c r="D51" s="50"/>
      <c r="E51" s="49" t="str">
        <f t="shared" si="0"/>
        <v/>
      </c>
      <c r="F51" s="74"/>
      <c r="G51" s="74"/>
    </row>
    <row r="52" spans="1:7" ht="15.75" hidden="1" customHeight="1" thickBot="1" x14ac:dyDescent="0.3">
      <c r="A52" s="6"/>
      <c r="B52" s="10" t="s">
        <v>39</v>
      </c>
      <c r="C52" s="34"/>
      <c r="D52" s="50"/>
      <c r="E52" s="49" t="str">
        <f t="shared" si="0"/>
        <v/>
      </c>
      <c r="F52" s="74"/>
      <c r="G52" s="74"/>
    </row>
    <row r="53" spans="1:7" ht="15.75" hidden="1" customHeight="1" thickBot="1" x14ac:dyDescent="0.3">
      <c r="A53" s="6"/>
      <c r="B53" s="10" t="s">
        <v>39</v>
      </c>
      <c r="C53" s="34"/>
      <c r="D53" s="50"/>
      <c r="E53" s="49" t="str">
        <f t="shared" si="0"/>
        <v/>
      </c>
      <c r="F53" s="74"/>
      <c r="G53" s="74"/>
    </row>
    <row r="54" spans="1:7" ht="15.75" hidden="1" customHeight="1" thickBot="1" x14ac:dyDescent="0.3">
      <c r="A54" s="6"/>
      <c r="B54" s="10" t="s">
        <v>39</v>
      </c>
      <c r="C54" s="34"/>
      <c r="D54" s="50"/>
      <c r="E54" s="49" t="str">
        <f t="shared" si="0"/>
        <v/>
      </c>
      <c r="F54" s="74"/>
      <c r="G54" s="74"/>
    </row>
    <row r="55" spans="1:7" ht="15.75" hidden="1" customHeight="1" thickBot="1" x14ac:dyDescent="0.3">
      <c r="A55" s="6"/>
      <c r="B55" s="10" t="s">
        <v>39</v>
      </c>
      <c r="C55" s="34"/>
      <c r="D55" s="50"/>
      <c r="E55" s="49" t="str">
        <f t="shared" si="0"/>
        <v/>
      </c>
      <c r="F55" s="74"/>
      <c r="G55" s="74"/>
    </row>
    <row r="56" spans="1:7" ht="15.75" hidden="1" customHeight="1" thickBot="1" x14ac:dyDescent="0.3">
      <c r="A56" s="6"/>
      <c r="B56" s="10" t="s">
        <v>39</v>
      </c>
      <c r="C56" s="34"/>
      <c r="D56" s="50"/>
      <c r="E56" s="49" t="str">
        <f t="shared" si="0"/>
        <v/>
      </c>
      <c r="F56" s="74"/>
      <c r="G56" s="74"/>
    </row>
    <row r="57" spans="1:7" ht="15.75" hidden="1" customHeight="1" thickBot="1" x14ac:dyDescent="0.3">
      <c r="A57" s="6"/>
      <c r="B57" s="10" t="s">
        <v>39</v>
      </c>
      <c r="C57" s="34"/>
      <c r="D57" s="50"/>
      <c r="E57" s="49" t="str">
        <f t="shared" si="0"/>
        <v/>
      </c>
      <c r="F57" s="74"/>
      <c r="G57" s="74"/>
    </row>
    <row r="58" spans="1:7" ht="15.75" hidden="1" customHeight="1" thickBot="1" x14ac:dyDescent="0.3">
      <c r="A58" s="6"/>
      <c r="B58" s="10" t="s">
        <v>39</v>
      </c>
      <c r="C58" s="34"/>
      <c r="D58" s="50"/>
      <c r="E58" s="49" t="str">
        <f t="shared" si="0"/>
        <v/>
      </c>
      <c r="F58" s="74"/>
      <c r="G58" s="74"/>
    </row>
    <row r="59" spans="1:7" ht="15.75" hidden="1" customHeight="1" thickBot="1" x14ac:dyDescent="0.3">
      <c r="A59" s="6"/>
      <c r="B59" s="10" t="s">
        <v>39</v>
      </c>
      <c r="C59" s="34"/>
      <c r="D59" s="50"/>
      <c r="E59" s="49" t="str">
        <f t="shared" si="0"/>
        <v/>
      </c>
      <c r="F59" s="74"/>
      <c r="G59" s="74"/>
    </row>
    <row r="60" spans="1:7" ht="15.75" hidden="1" customHeight="1" thickBot="1" x14ac:dyDescent="0.3">
      <c r="A60" s="6"/>
      <c r="B60" s="10" t="s">
        <v>39</v>
      </c>
      <c r="C60" s="34"/>
      <c r="D60" s="50"/>
      <c r="E60" s="49" t="str">
        <f t="shared" si="0"/>
        <v/>
      </c>
      <c r="F60" s="74"/>
      <c r="G60" s="74"/>
    </row>
    <row r="61" spans="1:7" ht="15.75" hidden="1" customHeight="1" thickBot="1" x14ac:dyDescent="0.3">
      <c r="A61" s="6"/>
      <c r="B61" s="10" t="s">
        <v>39</v>
      </c>
      <c r="C61" s="34"/>
      <c r="D61" s="50"/>
      <c r="E61" s="49" t="str">
        <f t="shared" si="0"/>
        <v/>
      </c>
      <c r="F61" s="74"/>
      <c r="G61" s="74"/>
    </row>
    <row r="62" spans="1:7" ht="15.75" hidden="1" customHeight="1" thickBot="1" x14ac:dyDescent="0.3">
      <c r="A62" s="6"/>
      <c r="B62" s="10" t="s">
        <v>39</v>
      </c>
      <c r="C62" s="34"/>
      <c r="D62" s="50"/>
      <c r="E62" s="49" t="str">
        <f t="shared" si="0"/>
        <v/>
      </c>
      <c r="F62" s="74"/>
      <c r="G62" s="74"/>
    </row>
    <row r="63" spans="1:7" ht="15.75" hidden="1" customHeight="1" thickBot="1" x14ac:dyDescent="0.3">
      <c r="A63" s="6"/>
      <c r="B63" s="10" t="s">
        <v>39</v>
      </c>
      <c r="C63" s="34"/>
      <c r="D63" s="50"/>
      <c r="E63" s="49" t="str">
        <f t="shared" si="0"/>
        <v/>
      </c>
      <c r="F63" s="74"/>
      <c r="G63" s="74"/>
    </row>
    <row r="64" spans="1:7" ht="15.75" hidden="1" customHeight="1" thickBot="1" x14ac:dyDescent="0.3">
      <c r="A64" s="6"/>
      <c r="B64" s="10" t="s">
        <v>39</v>
      </c>
      <c r="C64" s="34"/>
      <c r="D64" s="50"/>
      <c r="E64" s="49" t="str">
        <f t="shared" si="0"/>
        <v/>
      </c>
      <c r="F64" s="74"/>
      <c r="G64" s="74"/>
    </row>
    <row r="65" spans="1:7" ht="15.75" hidden="1" customHeight="1" thickBot="1" x14ac:dyDescent="0.3">
      <c r="A65" s="6"/>
      <c r="B65" s="10" t="s">
        <v>39</v>
      </c>
      <c r="C65" s="34"/>
      <c r="D65" s="50"/>
      <c r="E65" s="49" t="str">
        <f t="shared" si="0"/>
        <v/>
      </c>
      <c r="F65" s="74"/>
      <c r="G65" s="74"/>
    </row>
    <row r="66" spans="1:7" ht="15.75" hidden="1" customHeight="1" thickBot="1" x14ac:dyDescent="0.3">
      <c r="A66" s="6"/>
      <c r="B66" s="10" t="s">
        <v>39</v>
      </c>
      <c r="C66" s="34"/>
      <c r="D66" s="50"/>
      <c r="E66" s="49" t="str">
        <f t="shared" si="0"/>
        <v/>
      </c>
      <c r="F66" s="74"/>
      <c r="G66" s="74"/>
    </row>
    <row r="67" spans="1:7" ht="15.75" hidden="1" customHeight="1" thickBot="1" x14ac:dyDescent="0.3">
      <c r="A67" s="6"/>
      <c r="B67" s="10" t="s">
        <v>39</v>
      </c>
      <c r="C67" s="34"/>
      <c r="D67" s="50"/>
      <c r="E67" s="49" t="str">
        <f t="shared" si="0"/>
        <v/>
      </c>
      <c r="F67" s="74"/>
      <c r="G67" s="74"/>
    </row>
    <row r="68" spans="1:7" ht="15.75" hidden="1" customHeight="1" thickBot="1" x14ac:dyDescent="0.3">
      <c r="A68" s="6"/>
      <c r="B68" s="10" t="s">
        <v>39</v>
      </c>
      <c r="C68" s="34"/>
      <c r="D68" s="50"/>
      <c r="E68" s="49" t="str">
        <f t="shared" si="0"/>
        <v/>
      </c>
      <c r="F68" s="74"/>
      <c r="G68" s="74"/>
    </row>
    <row r="69" spans="1:7" ht="15.75" hidden="1" customHeight="1" thickBot="1" x14ac:dyDescent="0.3">
      <c r="A69" s="6"/>
      <c r="B69" s="10" t="s">
        <v>39</v>
      </c>
      <c r="C69" s="34"/>
      <c r="D69" s="50"/>
      <c r="E69" s="49" t="str">
        <f t="shared" si="0"/>
        <v/>
      </c>
      <c r="F69" s="74"/>
      <c r="G69" s="74"/>
    </row>
    <row r="70" spans="1:7" ht="15.75" hidden="1" customHeight="1" thickBot="1" x14ac:dyDescent="0.3">
      <c r="A70" s="6"/>
      <c r="B70" s="10" t="s">
        <v>39</v>
      </c>
      <c r="C70" s="34"/>
      <c r="D70" s="50"/>
      <c r="E70" s="49" t="str">
        <f t="shared" si="0"/>
        <v/>
      </c>
      <c r="F70" s="74"/>
      <c r="G70" s="74"/>
    </row>
    <row r="71" spans="1:7" ht="15.75" hidden="1" customHeight="1" thickBot="1" x14ac:dyDescent="0.3">
      <c r="A71" s="6"/>
      <c r="B71" s="10" t="s">
        <v>39</v>
      </c>
      <c r="C71" s="34"/>
      <c r="D71" s="50"/>
      <c r="E71" s="49" t="str">
        <f t="shared" si="0"/>
        <v/>
      </c>
      <c r="F71" s="74"/>
      <c r="G71" s="74"/>
    </row>
    <row r="72" spans="1:7" ht="15.75" hidden="1" customHeight="1" thickBot="1" x14ac:dyDescent="0.3">
      <c r="A72" s="6"/>
      <c r="B72" s="10" t="s">
        <v>39</v>
      </c>
      <c r="C72" s="34"/>
      <c r="D72" s="50"/>
      <c r="E72" s="49" t="str">
        <f t="shared" ref="E72:E135" si="1">IF(C72="Active",IF(ISNUMBER(D72),D72-rToday,""),"")</f>
        <v/>
      </c>
      <c r="F72" s="74"/>
      <c r="G72" s="74"/>
    </row>
    <row r="73" spans="1:7" ht="15.75" hidden="1" customHeight="1" thickBot="1" x14ac:dyDescent="0.3">
      <c r="A73" s="6"/>
      <c r="B73" s="10" t="s">
        <v>39</v>
      </c>
      <c r="C73" s="34"/>
      <c r="D73" s="50"/>
      <c r="E73" s="49" t="str">
        <f t="shared" si="1"/>
        <v/>
      </c>
      <c r="F73" s="74"/>
      <c r="G73" s="74"/>
    </row>
    <row r="74" spans="1:7" ht="15.75" hidden="1" customHeight="1" thickBot="1" x14ac:dyDescent="0.3">
      <c r="A74" s="6"/>
      <c r="B74" s="10" t="s">
        <v>39</v>
      </c>
      <c r="C74" s="34"/>
      <c r="D74" s="50"/>
      <c r="E74" s="49" t="str">
        <f t="shared" si="1"/>
        <v/>
      </c>
      <c r="F74" s="74"/>
      <c r="G74" s="74"/>
    </row>
    <row r="75" spans="1:7" ht="15.75" hidden="1" customHeight="1" thickBot="1" x14ac:dyDescent="0.3">
      <c r="A75" s="6"/>
      <c r="B75" s="10" t="s">
        <v>39</v>
      </c>
      <c r="C75" s="34"/>
      <c r="D75" s="50"/>
      <c r="E75" s="49" t="str">
        <f t="shared" si="1"/>
        <v/>
      </c>
      <c r="F75" s="74"/>
      <c r="G75" s="74"/>
    </row>
    <row r="76" spans="1:7" ht="15.75" hidden="1" customHeight="1" thickBot="1" x14ac:dyDescent="0.3">
      <c r="A76" s="6"/>
      <c r="B76" s="10" t="s">
        <v>39</v>
      </c>
      <c r="C76" s="34"/>
      <c r="D76" s="50"/>
      <c r="E76" s="49" t="str">
        <f t="shared" si="1"/>
        <v/>
      </c>
      <c r="F76" s="74"/>
      <c r="G76" s="74"/>
    </row>
    <row r="77" spans="1:7" ht="15.75" hidden="1" customHeight="1" thickBot="1" x14ac:dyDescent="0.3">
      <c r="A77" s="6"/>
      <c r="B77" s="10" t="s">
        <v>39</v>
      </c>
      <c r="C77" s="34"/>
      <c r="D77" s="50"/>
      <c r="E77" s="49" t="str">
        <f t="shared" si="1"/>
        <v/>
      </c>
      <c r="F77" s="74"/>
      <c r="G77" s="74"/>
    </row>
    <row r="78" spans="1:7" ht="15.75" hidden="1" customHeight="1" thickBot="1" x14ac:dyDescent="0.3">
      <c r="A78" s="6"/>
      <c r="B78" s="10" t="s">
        <v>39</v>
      </c>
      <c r="C78" s="34"/>
      <c r="D78" s="50"/>
      <c r="E78" s="49" t="str">
        <f t="shared" si="1"/>
        <v/>
      </c>
      <c r="F78" s="74"/>
      <c r="G78" s="74"/>
    </row>
    <row r="79" spans="1:7" ht="15.75" hidden="1" customHeight="1" thickBot="1" x14ac:dyDescent="0.3">
      <c r="A79" s="6"/>
      <c r="B79" s="10" t="s">
        <v>39</v>
      </c>
      <c r="C79" s="34"/>
      <c r="D79" s="50"/>
      <c r="E79" s="49" t="str">
        <f t="shared" si="1"/>
        <v/>
      </c>
      <c r="F79" s="74"/>
      <c r="G79" s="74"/>
    </row>
    <row r="80" spans="1:7" ht="15.75" hidden="1" customHeight="1" thickBot="1" x14ac:dyDescent="0.3">
      <c r="A80" s="6"/>
      <c r="B80" s="10" t="s">
        <v>39</v>
      </c>
      <c r="C80" s="34"/>
      <c r="D80" s="50"/>
      <c r="E80" s="49" t="str">
        <f t="shared" si="1"/>
        <v/>
      </c>
      <c r="F80" s="74"/>
      <c r="G80" s="74"/>
    </row>
    <row r="81" spans="1:7" ht="15.75" hidden="1" customHeight="1" thickBot="1" x14ac:dyDescent="0.3">
      <c r="A81" s="6"/>
      <c r="B81" s="10" t="s">
        <v>39</v>
      </c>
      <c r="C81" s="34"/>
      <c r="D81" s="50"/>
      <c r="E81" s="49" t="str">
        <f t="shared" si="1"/>
        <v/>
      </c>
      <c r="F81" s="74"/>
      <c r="G81" s="74"/>
    </row>
    <row r="82" spans="1:7" ht="15.75" hidden="1" customHeight="1" thickBot="1" x14ac:dyDescent="0.3">
      <c r="A82" s="6"/>
      <c r="B82" s="10" t="s">
        <v>39</v>
      </c>
      <c r="C82" s="34"/>
      <c r="D82" s="50"/>
      <c r="E82" s="49" t="str">
        <f t="shared" si="1"/>
        <v/>
      </c>
      <c r="F82" s="74"/>
      <c r="G82" s="74"/>
    </row>
    <row r="83" spans="1:7" ht="15.75" hidden="1" customHeight="1" thickBot="1" x14ac:dyDescent="0.3">
      <c r="A83" s="6"/>
      <c r="B83" s="10" t="s">
        <v>39</v>
      </c>
      <c r="C83" s="34"/>
      <c r="D83" s="50"/>
      <c r="E83" s="49" t="str">
        <f t="shared" si="1"/>
        <v/>
      </c>
      <c r="F83" s="74"/>
      <c r="G83" s="74"/>
    </row>
    <row r="84" spans="1:7" ht="15.75" hidden="1" customHeight="1" thickBot="1" x14ac:dyDescent="0.3">
      <c r="A84" s="6"/>
      <c r="B84" s="10" t="s">
        <v>39</v>
      </c>
      <c r="C84" s="34"/>
      <c r="D84" s="50"/>
      <c r="E84" s="49" t="str">
        <f t="shared" si="1"/>
        <v/>
      </c>
      <c r="F84" s="74"/>
      <c r="G84" s="74"/>
    </row>
    <row r="85" spans="1:7" ht="15.75" hidden="1" customHeight="1" thickBot="1" x14ac:dyDescent="0.3">
      <c r="A85" s="6"/>
      <c r="B85" s="10" t="s">
        <v>39</v>
      </c>
      <c r="C85" s="34"/>
      <c r="D85" s="50"/>
      <c r="E85" s="49" t="str">
        <f t="shared" si="1"/>
        <v/>
      </c>
      <c r="F85" s="74"/>
      <c r="G85" s="74"/>
    </row>
    <row r="86" spans="1:7" ht="15.75" hidden="1" customHeight="1" thickBot="1" x14ac:dyDescent="0.3">
      <c r="A86" s="6"/>
      <c r="B86" s="10" t="s">
        <v>39</v>
      </c>
      <c r="C86" s="34"/>
      <c r="D86" s="50"/>
      <c r="E86" s="49" t="str">
        <f t="shared" si="1"/>
        <v/>
      </c>
      <c r="F86" s="74"/>
      <c r="G86" s="74"/>
    </row>
    <row r="87" spans="1:7" ht="15.75" hidden="1" customHeight="1" thickBot="1" x14ac:dyDescent="0.3">
      <c r="A87" s="6"/>
      <c r="B87" s="10" t="s">
        <v>39</v>
      </c>
      <c r="C87" s="34"/>
      <c r="D87" s="50"/>
      <c r="E87" s="49" t="str">
        <f t="shared" si="1"/>
        <v/>
      </c>
      <c r="F87" s="74"/>
      <c r="G87" s="74"/>
    </row>
    <row r="88" spans="1:7" ht="15.75" hidden="1" customHeight="1" thickBot="1" x14ac:dyDescent="0.3">
      <c r="A88" s="6"/>
      <c r="B88" s="10" t="s">
        <v>39</v>
      </c>
      <c r="C88" s="34"/>
      <c r="D88" s="50"/>
      <c r="E88" s="49" t="str">
        <f t="shared" si="1"/>
        <v/>
      </c>
      <c r="F88" s="74"/>
      <c r="G88" s="74"/>
    </row>
    <row r="89" spans="1:7" ht="15.75" hidden="1" customHeight="1" thickBot="1" x14ac:dyDescent="0.3">
      <c r="A89" s="6"/>
      <c r="B89" s="10" t="s">
        <v>39</v>
      </c>
      <c r="C89" s="34"/>
      <c r="D89" s="50"/>
      <c r="E89" s="49" t="str">
        <f t="shared" si="1"/>
        <v/>
      </c>
      <c r="F89" s="74"/>
      <c r="G89" s="74"/>
    </row>
    <row r="90" spans="1:7" ht="15.75" hidden="1" customHeight="1" thickBot="1" x14ac:dyDescent="0.3">
      <c r="A90" s="6"/>
      <c r="B90" s="10" t="s">
        <v>39</v>
      </c>
      <c r="C90" s="34"/>
      <c r="D90" s="50"/>
      <c r="E90" s="49" t="str">
        <f t="shared" si="1"/>
        <v/>
      </c>
      <c r="F90" s="74"/>
      <c r="G90" s="74"/>
    </row>
    <row r="91" spans="1:7" ht="15.75" hidden="1" customHeight="1" thickBot="1" x14ac:dyDescent="0.3">
      <c r="A91" s="6"/>
      <c r="B91" s="10" t="s">
        <v>39</v>
      </c>
      <c r="C91" s="34"/>
      <c r="D91" s="50"/>
      <c r="E91" s="49" t="str">
        <f t="shared" si="1"/>
        <v/>
      </c>
      <c r="F91" s="74"/>
      <c r="G91" s="74"/>
    </row>
    <row r="92" spans="1:7" ht="15.75" hidden="1" customHeight="1" thickBot="1" x14ac:dyDescent="0.3">
      <c r="A92" s="6"/>
      <c r="B92" s="10" t="s">
        <v>39</v>
      </c>
      <c r="C92" s="34"/>
      <c r="D92" s="50"/>
      <c r="E92" s="49" t="str">
        <f t="shared" si="1"/>
        <v/>
      </c>
      <c r="F92" s="74"/>
      <c r="G92" s="74"/>
    </row>
    <row r="93" spans="1:7" ht="15.75" hidden="1" customHeight="1" thickBot="1" x14ac:dyDescent="0.3">
      <c r="A93" s="6"/>
      <c r="B93" s="10" t="s">
        <v>39</v>
      </c>
      <c r="C93" s="34"/>
      <c r="D93" s="50"/>
      <c r="E93" s="49" t="str">
        <f t="shared" si="1"/>
        <v/>
      </c>
      <c r="F93" s="74"/>
      <c r="G93" s="74"/>
    </row>
    <row r="94" spans="1:7" ht="15.75" hidden="1" customHeight="1" thickBot="1" x14ac:dyDescent="0.3">
      <c r="A94" s="6"/>
      <c r="B94" s="10" t="s">
        <v>39</v>
      </c>
      <c r="C94" s="34"/>
      <c r="D94" s="50"/>
      <c r="E94" s="49" t="str">
        <f t="shared" si="1"/>
        <v/>
      </c>
      <c r="F94" s="74"/>
      <c r="G94" s="74"/>
    </row>
    <row r="95" spans="1:7" ht="15.75" hidden="1" customHeight="1" thickBot="1" x14ac:dyDescent="0.3">
      <c r="A95" s="6"/>
      <c r="B95" s="10" t="s">
        <v>39</v>
      </c>
      <c r="C95" s="34"/>
      <c r="D95" s="50"/>
      <c r="E95" s="49" t="str">
        <f t="shared" si="1"/>
        <v/>
      </c>
      <c r="F95" s="74"/>
      <c r="G95" s="74"/>
    </row>
    <row r="96" spans="1:7" ht="15.75" hidden="1" customHeight="1" thickBot="1" x14ac:dyDescent="0.3">
      <c r="A96" s="6"/>
      <c r="B96" s="10" t="s">
        <v>39</v>
      </c>
      <c r="C96" s="34"/>
      <c r="D96" s="50"/>
      <c r="E96" s="49" t="str">
        <f t="shared" si="1"/>
        <v/>
      </c>
      <c r="F96" s="74"/>
      <c r="G96" s="74"/>
    </row>
    <row r="97" spans="1:7" ht="15.75" hidden="1" customHeight="1" thickBot="1" x14ac:dyDescent="0.3">
      <c r="A97" s="6"/>
      <c r="B97" s="10" t="s">
        <v>39</v>
      </c>
      <c r="C97" s="34"/>
      <c r="D97" s="50"/>
      <c r="E97" s="49" t="str">
        <f t="shared" si="1"/>
        <v/>
      </c>
      <c r="F97" s="74"/>
      <c r="G97" s="74"/>
    </row>
    <row r="98" spans="1:7" ht="15.75" hidden="1" customHeight="1" thickBot="1" x14ac:dyDescent="0.3">
      <c r="A98" s="6"/>
      <c r="B98" s="10" t="s">
        <v>39</v>
      </c>
      <c r="C98" s="34"/>
      <c r="D98" s="50"/>
      <c r="E98" s="49" t="str">
        <f t="shared" si="1"/>
        <v/>
      </c>
      <c r="F98" s="74"/>
      <c r="G98" s="74"/>
    </row>
    <row r="99" spans="1:7" ht="15.75" hidden="1" customHeight="1" thickBot="1" x14ac:dyDescent="0.3">
      <c r="A99" s="6"/>
      <c r="B99" s="10" t="s">
        <v>39</v>
      </c>
      <c r="C99" s="34"/>
      <c r="D99" s="50"/>
      <c r="E99" s="49" t="str">
        <f t="shared" si="1"/>
        <v/>
      </c>
      <c r="F99" s="74"/>
      <c r="G99" s="74"/>
    </row>
    <row r="100" spans="1:7" ht="15.75" hidden="1" customHeight="1" thickBot="1" x14ac:dyDescent="0.3">
      <c r="A100" s="6"/>
      <c r="B100" s="10" t="s">
        <v>39</v>
      </c>
      <c r="C100" s="34"/>
      <c r="D100" s="50"/>
      <c r="E100" s="49" t="str">
        <f t="shared" si="1"/>
        <v/>
      </c>
      <c r="F100" s="74"/>
      <c r="G100" s="74"/>
    </row>
    <row r="101" spans="1:7" ht="15.75" hidden="1" customHeight="1" thickBot="1" x14ac:dyDescent="0.3">
      <c r="A101" s="6"/>
      <c r="B101" s="10" t="s">
        <v>39</v>
      </c>
      <c r="C101" s="34"/>
      <c r="D101" s="50"/>
      <c r="E101" s="49" t="str">
        <f t="shared" si="1"/>
        <v/>
      </c>
      <c r="F101" s="74"/>
      <c r="G101" s="74"/>
    </row>
    <row r="102" spans="1:7" ht="15.75" hidden="1" customHeight="1" thickBot="1" x14ac:dyDescent="0.3">
      <c r="A102" s="6"/>
      <c r="B102" s="10" t="s">
        <v>39</v>
      </c>
      <c r="C102" s="34"/>
      <c r="D102" s="50"/>
      <c r="E102" s="49" t="str">
        <f t="shared" si="1"/>
        <v/>
      </c>
      <c r="F102" s="74"/>
      <c r="G102" s="74"/>
    </row>
    <row r="103" spans="1:7" ht="15.75" hidden="1" customHeight="1" thickBot="1" x14ac:dyDescent="0.3">
      <c r="A103" s="6"/>
      <c r="B103" s="10" t="s">
        <v>39</v>
      </c>
      <c r="C103" s="34"/>
      <c r="D103" s="50"/>
      <c r="E103" s="49" t="str">
        <f t="shared" si="1"/>
        <v/>
      </c>
      <c r="F103" s="74"/>
      <c r="G103" s="74"/>
    </row>
    <row r="104" spans="1:7" ht="15.75" hidden="1" customHeight="1" thickBot="1" x14ac:dyDescent="0.3">
      <c r="A104" s="6"/>
      <c r="B104" s="10" t="s">
        <v>39</v>
      </c>
      <c r="C104" s="34"/>
      <c r="D104" s="50"/>
      <c r="E104" s="49" t="str">
        <f t="shared" si="1"/>
        <v/>
      </c>
      <c r="F104" s="74"/>
      <c r="G104" s="74"/>
    </row>
    <row r="105" spans="1:7" ht="15.75" hidden="1" customHeight="1" thickBot="1" x14ac:dyDescent="0.3">
      <c r="A105" s="6"/>
      <c r="B105" s="10" t="s">
        <v>39</v>
      </c>
      <c r="C105" s="34"/>
      <c r="D105" s="50"/>
      <c r="E105" s="49" t="str">
        <f t="shared" si="1"/>
        <v/>
      </c>
      <c r="F105" s="74"/>
      <c r="G105" s="74"/>
    </row>
    <row r="106" spans="1:7" ht="15.75" hidden="1" customHeight="1" thickBot="1" x14ac:dyDescent="0.3">
      <c r="A106" s="6"/>
      <c r="B106" s="10" t="s">
        <v>39</v>
      </c>
      <c r="C106" s="34"/>
      <c r="D106" s="50"/>
      <c r="E106" s="49" t="str">
        <f t="shared" si="1"/>
        <v/>
      </c>
      <c r="F106" s="74"/>
      <c r="G106" s="74"/>
    </row>
    <row r="107" spans="1:7" ht="15.75" hidden="1" customHeight="1" thickBot="1" x14ac:dyDescent="0.3">
      <c r="A107" s="6"/>
      <c r="B107" s="10" t="s">
        <v>39</v>
      </c>
      <c r="C107" s="34"/>
      <c r="D107" s="50"/>
      <c r="E107" s="49" t="str">
        <f t="shared" si="1"/>
        <v/>
      </c>
      <c r="F107" s="74"/>
      <c r="G107" s="74"/>
    </row>
    <row r="108" spans="1:7" ht="15.75" hidden="1" customHeight="1" thickBot="1" x14ac:dyDescent="0.3">
      <c r="A108" s="6"/>
      <c r="B108" s="10" t="s">
        <v>39</v>
      </c>
      <c r="C108" s="34"/>
      <c r="D108" s="50"/>
      <c r="E108" s="49" t="str">
        <f t="shared" si="1"/>
        <v/>
      </c>
      <c r="F108" s="74"/>
      <c r="G108" s="74"/>
    </row>
    <row r="109" spans="1:7" ht="15.75" hidden="1" customHeight="1" thickBot="1" x14ac:dyDescent="0.3">
      <c r="A109" s="6"/>
      <c r="B109" s="10" t="s">
        <v>39</v>
      </c>
      <c r="C109" s="34"/>
      <c r="D109" s="50"/>
      <c r="E109" s="49" t="str">
        <f t="shared" si="1"/>
        <v/>
      </c>
      <c r="F109" s="74"/>
      <c r="G109" s="74"/>
    </row>
    <row r="110" spans="1:7" ht="15.75" hidden="1" customHeight="1" thickBot="1" x14ac:dyDescent="0.3">
      <c r="A110" s="6"/>
      <c r="B110" s="10" t="s">
        <v>39</v>
      </c>
      <c r="C110" s="34"/>
      <c r="D110" s="50"/>
      <c r="E110" s="49" t="str">
        <f t="shared" si="1"/>
        <v/>
      </c>
      <c r="F110" s="74"/>
      <c r="G110" s="74"/>
    </row>
    <row r="111" spans="1:7" ht="15.75" hidden="1" customHeight="1" thickBot="1" x14ac:dyDescent="0.3">
      <c r="A111" s="6"/>
      <c r="B111" s="10" t="s">
        <v>39</v>
      </c>
      <c r="C111" s="34"/>
      <c r="D111" s="50"/>
      <c r="E111" s="49" t="str">
        <f t="shared" si="1"/>
        <v/>
      </c>
      <c r="F111" s="74"/>
      <c r="G111" s="74"/>
    </row>
    <row r="112" spans="1:7" ht="15.75" hidden="1" customHeight="1" thickBot="1" x14ac:dyDescent="0.3">
      <c r="A112" s="6"/>
      <c r="B112" s="10" t="s">
        <v>39</v>
      </c>
      <c r="C112" s="34"/>
      <c r="D112" s="50"/>
      <c r="E112" s="49" t="str">
        <f t="shared" si="1"/>
        <v/>
      </c>
      <c r="F112" s="74"/>
      <c r="G112" s="74"/>
    </row>
    <row r="113" spans="1:7" ht="15.75" hidden="1" customHeight="1" thickBot="1" x14ac:dyDescent="0.3">
      <c r="A113" s="6"/>
      <c r="B113" s="10" t="s">
        <v>39</v>
      </c>
      <c r="C113" s="34"/>
      <c r="D113" s="50"/>
      <c r="E113" s="49" t="str">
        <f t="shared" si="1"/>
        <v/>
      </c>
      <c r="F113" s="74"/>
      <c r="G113" s="74"/>
    </row>
    <row r="114" spans="1:7" ht="15.75" hidden="1" customHeight="1" thickBot="1" x14ac:dyDescent="0.3">
      <c r="A114" s="6"/>
      <c r="B114" s="10" t="s">
        <v>39</v>
      </c>
      <c r="C114" s="34"/>
      <c r="D114" s="50"/>
      <c r="E114" s="49" t="str">
        <f t="shared" si="1"/>
        <v/>
      </c>
      <c r="F114" s="74"/>
      <c r="G114" s="74"/>
    </row>
    <row r="115" spans="1:7" ht="15.75" hidden="1" customHeight="1" thickBot="1" x14ac:dyDescent="0.3">
      <c r="A115" s="6"/>
      <c r="B115" s="10" t="s">
        <v>39</v>
      </c>
      <c r="C115" s="34"/>
      <c r="D115" s="50"/>
      <c r="E115" s="49" t="str">
        <f t="shared" si="1"/>
        <v/>
      </c>
      <c r="F115" s="74"/>
      <c r="G115" s="74"/>
    </row>
    <row r="116" spans="1:7" ht="15.75" hidden="1" customHeight="1" thickBot="1" x14ac:dyDescent="0.3">
      <c r="A116" s="6"/>
      <c r="B116" s="10" t="s">
        <v>39</v>
      </c>
      <c r="C116" s="34"/>
      <c r="D116" s="50"/>
      <c r="E116" s="49" t="str">
        <f t="shared" si="1"/>
        <v/>
      </c>
      <c r="F116" s="74"/>
      <c r="G116" s="74"/>
    </row>
    <row r="117" spans="1:7" ht="15.75" hidden="1" customHeight="1" thickBot="1" x14ac:dyDescent="0.3">
      <c r="A117" s="6"/>
      <c r="B117" s="10" t="s">
        <v>39</v>
      </c>
      <c r="C117" s="34"/>
      <c r="D117" s="50"/>
      <c r="E117" s="49" t="str">
        <f t="shared" si="1"/>
        <v/>
      </c>
      <c r="F117" s="74"/>
      <c r="G117" s="74"/>
    </row>
    <row r="118" spans="1:7" ht="15.75" hidden="1" customHeight="1" thickBot="1" x14ac:dyDescent="0.3">
      <c r="A118" s="6"/>
      <c r="B118" s="10" t="s">
        <v>39</v>
      </c>
      <c r="C118" s="34"/>
      <c r="D118" s="50"/>
      <c r="E118" s="49" t="str">
        <f t="shared" si="1"/>
        <v/>
      </c>
      <c r="F118" s="74"/>
      <c r="G118" s="74"/>
    </row>
    <row r="119" spans="1:7" ht="15.75" hidden="1" customHeight="1" thickBot="1" x14ac:dyDescent="0.3">
      <c r="A119" s="6"/>
      <c r="B119" s="10" t="s">
        <v>39</v>
      </c>
      <c r="C119" s="34"/>
      <c r="D119" s="50"/>
      <c r="E119" s="49" t="str">
        <f t="shared" si="1"/>
        <v/>
      </c>
      <c r="F119" s="74"/>
      <c r="G119" s="74"/>
    </row>
    <row r="120" spans="1:7" ht="15.75" hidden="1" customHeight="1" thickBot="1" x14ac:dyDescent="0.3">
      <c r="A120" s="6"/>
      <c r="B120" s="10" t="s">
        <v>39</v>
      </c>
      <c r="C120" s="34"/>
      <c r="D120" s="50"/>
      <c r="E120" s="49" t="str">
        <f t="shared" si="1"/>
        <v/>
      </c>
      <c r="F120" s="74"/>
      <c r="G120" s="74"/>
    </row>
    <row r="121" spans="1:7" ht="15.75" hidden="1" customHeight="1" thickBot="1" x14ac:dyDescent="0.3">
      <c r="A121" s="6"/>
      <c r="B121" s="10" t="s">
        <v>39</v>
      </c>
      <c r="C121" s="34"/>
      <c r="D121" s="50"/>
      <c r="E121" s="49" t="str">
        <f t="shared" si="1"/>
        <v/>
      </c>
      <c r="F121" s="74"/>
      <c r="G121" s="74"/>
    </row>
    <row r="122" spans="1:7" ht="15.75" hidden="1" customHeight="1" thickBot="1" x14ac:dyDescent="0.3">
      <c r="A122" s="6"/>
      <c r="B122" s="10" t="s">
        <v>39</v>
      </c>
      <c r="C122" s="34"/>
      <c r="D122" s="50"/>
      <c r="E122" s="49" t="str">
        <f t="shared" si="1"/>
        <v/>
      </c>
      <c r="F122" s="74"/>
      <c r="G122" s="74"/>
    </row>
    <row r="123" spans="1:7" ht="15.75" hidden="1" customHeight="1" thickBot="1" x14ac:dyDescent="0.3">
      <c r="A123" s="6"/>
      <c r="B123" s="10" t="s">
        <v>39</v>
      </c>
      <c r="C123" s="34"/>
      <c r="D123" s="50"/>
      <c r="E123" s="49" t="str">
        <f t="shared" si="1"/>
        <v/>
      </c>
      <c r="F123" s="74"/>
      <c r="G123" s="74"/>
    </row>
    <row r="124" spans="1:7" ht="15.75" hidden="1" customHeight="1" thickBot="1" x14ac:dyDescent="0.3">
      <c r="A124" s="6"/>
      <c r="B124" s="10" t="s">
        <v>39</v>
      </c>
      <c r="C124" s="34"/>
      <c r="D124" s="50"/>
      <c r="E124" s="49" t="str">
        <f t="shared" si="1"/>
        <v/>
      </c>
      <c r="F124" s="74"/>
      <c r="G124" s="74"/>
    </row>
    <row r="125" spans="1:7" ht="15.75" hidden="1" customHeight="1" thickBot="1" x14ac:dyDescent="0.3">
      <c r="A125" s="6"/>
      <c r="B125" s="10" t="s">
        <v>39</v>
      </c>
      <c r="C125" s="34"/>
      <c r="D125" s="50"/>
      <c r="E125" s="49" t="str">
        <f t="shared" si="1"/>
        <v/>
      </c>
      <c r="F125" s="74"/>
      <c r="G125" s="74"/>
    </row>
    <row r="126" spans="1:7" ht="15.75" hidden="1" customHeight="1" thickBot="1" x14ac:dyDescent="0.3">
      <c r="A126" s="6"/>
      <c r="B126" s="10" t="s">
        <v>39</v>
      </c>
      <c r="C126" s="34"/>
      <c r="D126" s="50"/>
      <c r="E126" s="49" t="str">
        <f t="shared" si="1"/>
        <v/>
      </c>
      <c r="F126" s="74"/>
      <c r="G126" s="74"/>
    </row>
    <row r="127" spans="1:7" ht="15.75" hidden="1" customHeight="1" thickBot="1" x14ac:dyDescent="0.3">
      <c r="A127" s="6"/>
      <c r="B127" s="10" t="s">
        <v>39</v>
      </c>
      <c r="C127" s="34"/>
      <c r="D127" s="50"/>
      <c r="E127" s="49" t="str">
        <f t="shared" si="1"/>
        <v/>
      </c>
      <c r="F127" s="74"/>
      <c r="G127" s="74"/>
    </row>
    <row r="128" spans="1:7" ht="15.75" hidden="1" customHeight="1" thickBot="1" x14ac:dyDescent="0.3">
      <c r="A128" s="6"/>
      <c r="B128" s="10" t="s">
        <v>39</v>
      </c>
      <c r="C128" s="34"/>
      <c r="D128" s="50"/>
      <c r="E128" s="49" t="str">
        <f t="shared" si="1"/>
        <v/>
      </c>
      <c r="F128" s="74"/>
      <c r="G128" s="74"/>
    </row>
    <row r="129" spans="1:7" ht="15.75" hidden="1" customHeight="1" thickBot="1" x14ac:dyDescent="0.3">
      <c r="A129" s="6"/>
      <c r="B129" s="10" t="s">
        <v>39</v>
      </c>
      <c r="C129" s="34"/>
      <c r="D129" s="50"/>
      <c r="E129" s="49" t="str">
        <f t="shared" si="1"/>
        <v/>
      </c>
      <c r="F129" s="74"/>
      <c r="G129" s="74"/>
    </row>
    <row r="130" spans="1:7" ht="15.75" hidden="1" customHeight="1" thickBot="1" x14ac:dyDescent="0.3">
      <c r="A130" s="6"/>
      <c r="B130" s="10" t="s">
        <v>39</v>
      </c>
      <c r="C130" s="34"/>
      <c r="D130" s="50"/>
      <c r="E130" s="49" t="str">
        <f t="shared" si="1"/>
        <v/>
      </c>
      <c r="F130" s="74"/>
      <c r="G130" s="74"/>
    </row>
    <row r="131" spans="1:7" ht="15.75" hidden="1" customHeight="1" thickBot="1" x14ac:dyDescent="0.3">
      <c r="A131" s="6"/>
      <c r="B131" s="10" t="s">
        <v>39</v>
      </c>
      <c r="C131" s="34"/>
      <c r="D131" s="50"/>
      <c r="E131" s="49" t="str">
        <f t="shared" si="1"/>
        <v/>
      </c>
      <c r="F131" s="74"/>
      <c r="G131" s="74"/>
    </row>
    <row r="132" spans="1:7" ht="15.75" hidden="1" customHeight="1" thickBot="1" x14ac:dyDescent="0.3">
      <c r="A132" s="6"/>
      <c r="B132" s="10" t="s">
        <v>39</v>
      </c>
      <c r="C132" s="34"/>
      <c r="D132" s="50"/>
      <c r="E132" s="49" t="str">
        <f t="shared" si="1"/>
        <v/>
      </c>
      <c r="F132" s="74"/>
      <c r="G132" s="74"/>
    </row>
    <row r="133" spans="1:7" ht="15.75" hidden="1" customHeight="1" thickBot="1" x14ac:dyDescent="0.3">
      <c r="A133" s="6"/>
      <c r="B133" s="10" t="s">
        <v>39</v>
      </c>
      <c r="C133" s="34"/>
      <c r="D133" s="50"/>
      <c r="E133" s="49" t="str">
        <f t="shared" si="1"/>
        <v/>
      </c>
      <c r="F133" s="74"/>
      <c r="G133" s="74"/>
    </row>
    <row r="134" spans="1:7" ht="15.75" hidden="1" customHeight="1" thickBot="1" x14ac:dyDescent="0.3">
      <c r="A134" s="6"/>
      <c r="B134" s="10" t="s">
        <v>39</v>
      </c>
      <c r="C134" s="34"/>
      <c r="D134" s="50"/>
      <c r="E134" s="49" t="str">
        <f t="shared" si="1"/>
        <v/>
      </c>
      <c r="F134" s="74"/>
      <c r="G134" s="74"/>
    </row>
    <row r="135" spans="1:7" ht="15.75" hidden="1" customHeight="1" thickBot="1" x14ac:dyDescent="0.3">
      <c r="A135" s="6"/>
      <c r="B135" s="10" t="s">
        <v>39</v>
      </c>
      <c r="C135" s="34"/>
      <c r="D135" s="50"/>
      <c r="E135" s="49" t="str">
        <f t="shared" si="1"/>
        <v/>
      </c>
      <c r="F135" s="74"/>
      <c r="G135" s="74"/>
    </row>
    <row r="136" spans="1:7" ht="15.75" hidden="1" customHeight="1" thickBot="1" x14ac:dyDescent="0.3">
      <c r="A136" s="6"/>
      <c r="B136" s="10" t="s">
        <v>39</v>
      </c>
      <c r="C136" s="34"/>
      <c r="D136" s="50"/>
      <c r="E136" s="49" t="str">
        <f t="shared" ref="E136:E199" si="2">IF(C136="Active",IF(ISNUMBER(D136),D136-rToday,""),"")</f>
        <v/>
      </c>
      <c r="F136" s="74"/>
      <c r="G136" s="74"/>
    </row>
    <row r="137" spans="1:7" ht="15.75" hidden="1" customHeight="1" thickBot="1" x14ac:dyDescent="0.3">
      <c r="A137" s="6"/>
      <c r="B137" s="10" t="s">
        <v>39</v>
      </c>
      <c r="C137" s="34"/>
      <c r="D137" s="50"/>
      <c r="E137" s="49" t="str">
        <f t="shared" si="2"/>
        <v/>
      </c>
      <c r="F137" s="74"/>
      <c r="G137" s="74"/>
    </row>
    <row r="138" spans="1:7" ht="15.75" hidden="1" customHeight="1" thickBot="1" x14ac:dyDescent="0.3">
      <c r="A138" s="6"/>
      <c r="B138" s="10" t="s">
        <v>39</v>
      </c>
      <c r="C138" s="34"/>
      <c r="D138" s="50"/>
      <c r="E138" s="49" t="str">
        <f t="shared" si="2"/>
        <v/>
      </c>
      <c r="F138" s="74"/>
      <c r="G138" s="74"/>
    </row>
    <row r="139" spans="1:7" ht="15.75" hidden="1" customHeight="1" thickBot="1" x14ac:dyDescent="0.3">
      <c r="A139" s="6"/>
      <c r="B139" s="10" t="s">
        <v>39</v>
      </c>
      <c r="C139" s="34"/>
      <c r="D139" s="50"/>
      <c r="E139" s="49" t="str">
        <f t="shared" si="2"/>
        <v/>
      </c>
      <c r="F139" s="74"/>
      <c r="G139" s="74"/>
    </row>
    <row r="140" spans="1:7" ht="15.75" hidden="1" customHeight="1" thickBot="1" x14ac:dyDescent="0.3">
      <c r="A140" s="6"/>
      <c r="B140" s="10" t="s">
        <v>39</v>
      </c>
      <c r="C140" s="34"/>
      <c r="D140" s="50"/>
      <c r="E140" s="49" t="str">
        <f t="shared" si="2"/>
        <v/>
      </c>
      <c r="F140" s="74"/>
      <c r="G140" s="74"/>
    </row>
    <row r="141" spans="1:7" ht="15.75" hidden="1" customHeight="1" thickBot="1" x14ac:dyDescent="0.3">
      <c r="A141" s="6"/>
      <c r="B141" s="10" t="s">
        <v>39</v>
      </c>
      <c r="C141" s="34"/>
      <c r="D141" s="50"/>
      <c r="E141" s="49" t="str">
        <f t="shared" si="2"/>
        <v/>
      </c>
      <c r="F141" s="74"/>
      <c r="G141" s="74"/>
    </row>
    <row r="142" spans="1:7" ht="15.75" hidden="1" customHeight="1" thickBot="1" x14ac:dyDescent="0.3">
      <c r="A142" s="6"/>
      <c r="B142" s="10" t="s">
        <v>39</v>
      </c>
      <c r="C142" s="34"/>
      <c r="D142" s="50"/>
      <c r="E142" s="49" t="str">
        <f t="shared" si="2"/>
        <v/>
      </c>
      <c r="F142" s="74"/>
      <c r="G142" s="74"/>
    </row>
    <row r="143" spans="1:7" ht="15.75" hidden="1" customHeight="1" thickBot="1" x14ac:dyDescent="0.3">
      <c r="A143" s="6"/>
      <c r="B143" s="10" t="s">
        <v>39</v>
      </c>
      <c r="C143" s="34"/>
      <c r="D143" s="50"/>
      <c r="E143" s="49" t="str">
        <f t="shared" si="2"/>
        <v/>
      </c>
      <c r="F143" s="74"/>
      <c r="G143" s="74"/>
    </row>
    <row r="144" spans="1:7" ht="15.75" hidden="1" customHeight="1" thickBot="1" x14ac:dyDescent="0.3">
      <c r="A144" s="6"/>
      <c r="B144" s="10" t="s">
        <v>39</v>
      </c>
      <c r="C144" s="34"/>
      <c r="D144" s="50"/>
      <c r="E144" s="49" t="str">
        <f t="shared" si="2"/>
        <v/>
      </c>
      <c r="F144" s="74"/>
      <c r="G144" s="74"/>
    </row>
    <row r="145" spans="1:7" ht="15.75" hidden="1" customHeight="1" thickBot="1" x14ac:dyDescent="0.3">
      <c r="A145" s="6"/>
      <c r="B145" s="10" t="s">
        <v>39</v>
      </c>
      <c r="C145" s="34"/>
      <c r="D145" s="50"/>
      <c r="E145" s="49" t="str">
        <f t="shared" si="2"/>
        <v/>
      </c>
      <c r="F145" s="74"/>
      <c r="G145" s="74"/>
    </row>
    <row r="146" spans="1:7" ht="15.75" hidden="1" customHeight="1" thickBot="1" x14ac:dyDescent="0.3">
      <c r="A146" s="6"/>
      <c r="B146" s="10" t="s">
        <v>39</v>
      </c>
      <c r="C146" s="34"/>
      <c r="D146" s="50"/>
      <c r="E146" s="49" t="str">
        <f t="shared" si="2"/>
        <v/>
      </c>
      <c r="F146" s="74"/>
      <c r="G146" s="74"/>
    </row>
    <row r="147" spans="1:7" ht="15.75" hidden="1" customHeight="1" thickBot="1" x14ac:dyDescent="0.3">
      <c r="A147" s="6"/>
      <c r="B147" s="10" t="s">
        <v>39</v>
      </c>
      <c r="C147" s="34"/>
      <c r="D147" s="50"/>
      <c r="E147" s="49" t="str">
        <f t="shared" si="2"/>
        <v/>
      </c>
      <c r="F147" s="74"/>
      <c r="G147" s="74"/>
    </row>
    <row r="148" spans="1:7" ht="15.75" hidden="1" customHeight="1" thickBot="1" x14ac:dyDescent="0.3">
      <c r="A148" s="6"/>
      <c r="B148" s="10" t="s">
        <v>39</v>
      </c>
      <c r="C148" s="34"/>
      <c r="D148" s="50"/>
      <c r="E148" s="49" t="str">
        <f t="shared" si="2"/>
        <v/>
      </c>
      <c r="F148" s="74"/>
      <c r="G148" s="74"/>
    </row>
    <row r="149" spans="1:7" ht="15.75" hidden="1" customHeight="1" thickBot="1" x14ac:dyDescent="0.3">
      <c r="A149" s="6"/>
      <c r="B149" s="10" t="s">
        <v>39</v>
      </c>
      <c r="C149" s="34"/>
      <c r="D149" s="50"/>
      <c r="E149" s="49" t="str">
        <f t="shared" si="2"/>
        <v/>
      </c>
      <c r="F149" s="74"/>
      <c r="G149" s="74"/>
    </row>
    <row r="150" spans="1:7" ht="15.75" hidden="1" customHeight="1" thickBot="1" x14ac:dyDescent="0.3">
      <c r="A150" s="6"/>
      <c r="B150" s="10" t="s">
        <v>39</v>
      </c>
      <c r="C150" s="34"/>
      <c r="D150" s="50"/>
      <c r="E150" s="49" t="str">
        <f t="shared" si="2"/>
        <v/>
      </c>
      <c r="F150" s="74"/>
      <c r="G150" s="74"/>
    </row>
    <row r="151" spans="1:7" ht="15.75" hidden="1" customHeight="1" thickBot="1" x14ac:dyDescent="0.3">
      <c r="A151" s="6"/>
      <c r="B151" s="10" t="s">
        <v>39</v>
      </c>
      <c r="C151" s="34"/>
      <c r="D151" s="50"/>
      <c r="E151" s="49" t="str">
        <f t="shared" si="2"/>
        <v/>
      </c>
      <c r="F151" s="74"/>
      <c r="G151" s="74"/>
    </row>
    <row r="152" spans="1:7" ht="15.75" hidden="1" customHeight="1" thickBot="1" x14ac:dyDescent="0.3">
      <c r="A152" s="6"/>
      <c r="B152" s="10" t="s">
        <v>39</v>
      </c>
      <c r="C152" s="34"/>
      <c r="D152" s="50"/>
      <c r="E152" s="49" t="str">
        <f t="shared" si="2"/>
        <v/>
      </c>
      <c r="F152" s="74"/>
      <c r="G152" s="74"/>
    </row>
    <row r="153" spans="1:7" ht="15.75" hidden="1" customHeight="1" thickBot="1" x14ac:dyDescent="0.3">
      <c r="A153" s="6"/>
      <c r="B153" s="10" t="s">
        <v>39</v>
      </c>
      <c r="C153" s="34"/>
      <c r="D153" s="50"/>
      <c r="E153" s="49" t="str">
        <f t="shared" si="2"/>
        <v/>
      </c>
      <c r="F153" s="74"/>
      <c r="G153" s="74"/>
    </row>
    <row r="154" spans="1:7" ht="15.75" hidden="1" customHeight="1" thickBot="1" x14ac:dyDescent="0.3">
      <c r="A154" s="6"/>
      <c r="B154" s="10" t="s">
        <v>39</v>
      </c>
      <c r="C154" s="34"/>
      <c r="D154" s="50"/>
      <c r="E154" s="49" t="str">
        <f t="shared" si="2"/>
        <v/>
      </c>
      <c r="F154" s="74"/>
      <c r="G154" s="74"/>
    </row>
    <row r="155" spans="1:7" ht="15.75" hidden="1" customHeight="1" thickBot="1" x14ac:dyDescent="0.3">
      <c r="A155" s="6"/>
      <c r="B155" s="10" t="s">
        <v>39</v>
      </c>
      <c r="C155" s="34"/>
      <c r="D155" s="50"/>
      <c r="E155" s="49" t="str">
        <f t="shared" si="2"/>
        <v/>
      </c>
      <c r="F155" s="74"/>
      <c r="G155" s="74"/>
    </row>
    <row r="156" spans="1:7" ht="15.75" hidden="1" customHeight="1" thickBot="1" x14ac:dyDescent="0.3">
      <c r="A156" s="6"/>
      <c r="B156" s="10" t="s">
        <v>39</v>
      </c>
      <c r="C156" s="34"/>
      <c r="D156" s="50"/>
      <c r="E156" s="49" t="str">
        <f t="shared" si="2"/>
        <v/>
      </c>
      <c r="F156" s="74"/>
      <c r="G156" s="74"/>
    </row>
    <row r="157" spans="1:7" ht="15.75" hidden="1" customHeight="1" thickBot="1" x14ac:dyDescent="0.3">
      <c r="A157" s="6"/>
      <c r="B157" s="10" t="s">
        <v>39</v>
      </c>
      <c r="C157" s="34"/>
      <c r="D157" s="50"/>
      <c r="E157" s="49" t="str">
        <f t="shared" si="2"/>
        <v/>
      </c>
      <c r="F157" s="74"/>
      <c r="G157" s="74"/>
    </row>
    <row r="158" spans="1:7" ht="15.75" hidden="1" customHeight="1" thickBot="1" x14ac:dyDescent="0.3">
      <c r="A158" s="6"/>
      <c r="B158" s="10" t="s">
        <v>39</v>
      </c>
      <c r="C158" s="34"/>
      <c r="D158" s="50"/>
      <c r="E158" s="49" t="str">
        <f t="shared" si="2"/>
        <v/>
      </c>
      <c r="F158" s="74"/>
      <c r="G158" s="74"/>
    </row>
    <row r="159" spans="1:7" ht="15.75" hidden="1" customHeight="1" thickBot="1" x14ac:dyDescent="0.3">
      <c r="A159" s="6"/>
      <c r="B159" s="10" t="s">
        <v>39</v>
      </c>
      <c r="C159" s="34"/>
      <c r="D159" s="50"/>
      <c r="E159" s="49" t="str">
        <f t="shared" si="2"/>
        <v/>
      </c>
      <c r="F159" s="74"/>
      <c r="G159" s="74"/>
    </row>
    <row r="160" spans="1:7" ht="15.75" hidden="1" customHeight="1" thickBot="1" x14ac:dyDescent="0.3">
      <c r="A160" s="6"/>
      <c r="B160" s="10" t="s">
        <v>39</v>
      </c>
      <c r="C160" s="34"/>
      <c r="D160" s="50"/>
      <c r="E160" s="49" t="str">
        <f t="shared" si="2"/>
        <v/>
      </c>
      <c r="F160" s="74"/>
      <c r="G160" s="74"/>
    </row>
    <row r="161" spans="1:7" ht="15.75" hidden="1" customHeight="1" thickBot="1" x14ac:dyDescent="0.3">
      <c r="A161" s="6"/>
      <c r="B161" s="10" t="s">
        <v>39</v>
      </c>
      <c r="C161" s="34"/>
      <c r="D161" s="50"/>
      <c r="E161" s="49" t="str">
        <f t="shared" si="2"/>
        <v/>
      </c>
      <c r="F161" s="74"/>
      <c r="G161" s="74"/>
    </row>
    <row r="162" spans="1:7" ht="15.75" hidden="1" customHeight="1" thickBot="1" x14ac:dyDescent="0.3">
      <c r="A162" s="6"/>
      <c r="B162" s="10" t="s">
        <v>39</v>
      </c>
      <c r="C162" s="34"/>
      <c r="D162" s="50"/>
      <c r="E162" s="49" t="str">
        <f t="shared" si="2"/>
        <v/>
      </c>
      <c r="F162" s="74"/>
      <c r="G162" s="74"/>
    </row>
    <row r="163" spans="1:7" ht="15.75" hidden="1" customHeight="1" thickBot="1" x14ac:dyDescent="0.3">
      <c r="A163" s="6"/>
      <c r="B163" s="10" t="s">
        <v>39</v>
      </c>
      <c r="C163" s="34"/>
      <c r="D163" s="50"/>
      <c r="E163" s="49" t="str">
        <f t="shared" si="2"/>
        <v/>
      </c>
      <c r="F163" s="74"/>
      <c r="G163" s="74"/>
    </row>
    <row r="164" spans="1:7" ht="15.75" hidden="1" customHeight="1" thickBot="1" x14ac:dyDescent="0.3">
      <c r="A164" s="6"/>
      <c r="B164" s="10" t="s">
        <v>39</v>
      </c>
      <c r="C164" s="34"/>
      <c r="D164" s="50"/>
      <c r="E164" s="49" t="str">
        <f t="shared" si="2"/>
        <v/>
      </c>
      <c r="F164" s="74"/>
      <c r="G164" s="74"/>
    </row>
    <row r="165" spans="1:7" ht="15.75" hidden="1" customHeight="1" thickBot="1" x14ac:dyDescent="0.3">
      <c r="A165" s="6"/>
      <c r="B165" s="10" t="s">
        <v>39</v>
      </c>
      <c r="C165" s="34"/>
      <c r="D165" s="50"/>
      <c r="E165" s="49" t="str">
        <f t="shared" si="2"/>
        <v/>
      </c>
      <c r="F165" s="74"/>
      <c r="G165" s="74"/>
    </row>
    <row r="166" spans="1:7" ht="15.75" hidden="1" customHeight="1" thickBot="1" x14ac:dyDescent="0.3">
      <c r="A166" s="6"/>
      <c r="B166" s="10" t="s">
        <v>39</v>
      </c>
      <c r="C166" s="34"/>
      <c r="D166" s="50"/>
      <c r="E166" s="49" t="str">
        <f t="shared" si="2"/>
        <v/>
      </c>
      <c r="F166" s="74"/>
      <c r="G166" s="74"/>
    </row>
    <row r="167" spans="1:7" ht="15.75" hidden="1" customHeight="1" thickBot="1" x14ac:dyDescent="0.3">
      <c r="A167" s="6"/>
      <c r="B167" s="10" t="s">
        <v>39</v>
      </c>
      <c r="C167" s="34"/>
      <c r="D167" s="50"/>
      <c r="E167" s="49" t="str">
        <f t="shared" si="2"/>
        <v/>
      </c>
      <c r="F167" s="74"/>
      <c r="G167" s="74"/>
    </row>
    <row r="168" spans="1:7" ht="15.75" hidden="1" customHeight="1" thickBot="1" x14ac:dyDescent="0.3">
      <c r="A168" s="6"/>
      <c r="B168" s="10" t="s">
        <v>39</v>
      </c>
      <c r="C168" s="34"/>
      <c r="D168" s="50"/>
      <c r="E168" s="49" t="str">
        <f t="shared" si="2"/>
        <v/>
      </c>
      <c r="F168" s="74"/>
      <c r="G168" s="74"/>
    </row>
    <row r="169" spans="1:7" ht="15.75" hidden="1" customHeight="1" thickBot="1" x14ac:dyDescent="0.3">
      <c r="A169" s="6"/>
      <c r="B169" s="10" t="s">
        <v>39</v>
      </c>
      <c r="C169" s="34"/>
      <c r="D169" s="50"/>
      <c r="E169" s="49" t="str">
        <f t="shared" si="2"/>
        <v/>
      </c>
      <c r="F169" s="74"/>
      <c r="G169" s="74"/>
    </row>
    <row r="170" spans="1:7" ht="15.75" hidden="1" customHeight="1" thickBot="1" x14ac:dyDescent="0.3">
      <c r="A170" s="6"/>
      <c r="B170" s="10" t="s">
        <v>39</v>
      </c>
      <c r="C170" s="34"/>
      <c r="D170" s="50"/>
      <c r="E170" s="49" t="str">
        <f t="shared" si="2"/>
        <v/>
      </c>
      <c r="F170" s="74"/>
      <c r="G170" s="74"/>
    </row>
    <row r="171" spans="1:7" ht="15.75" hidden="1" customHeight="1" thickBot="1" x14ac:dyDescent="0.3">
      <c r="A171" s="6"/>
      <c r="B171" s="10" t="s">
        <v>39</v>
      </c>
      <c r="C171" s="34"/>
      <c r="D171" s="50"/>
      <c r="E171" s="49" t="str">
        <f t="shared" si="2"/>
        <v/>
      </c>
      <c r="F171" s="74"/>
      <c r="G171" s="74"/>
    </row>
    <row r="172" spans="1:7" ht="15.75" hidden="1" customHeight="1" thickBot="1" x14ac:dyDescent="0.3">
      <c r="A172" s="6"/>
      <c r="B172" s="10" t="s">
        <v>39</v>
      </c>
      <c r="C172" s="34"/>
      <c r="D172" s="50"/>
      <c r="E172" s="49" t="str">
        <f t="shared" si="2"/>
        <v/>
      </c>
      <c r="F172" s="74"/>
      <c r="G172" s="74"/>
    </row>
    <row r="173" spans="1:7" ht="15.75" hidden="1" customHeight="1" thickBot="1" x14ac:dyDescent="0.3">
      <c r="A173" s="6"/>
      <c r="B173" s="10" t="s">
        <v>39</v>
      </c>
      <c r="C173" s="34"/>
      <c r="D173" s="50"/>
      <c r="E173" s="49" t="str">
        <f t="shared" si="2"/>
        <v/>
      </c>
      <c r="F173" s="74"/>
      <c r="G173" s="74"/>
    </row>
    <row r="174" spans="1:7" ht="15.75" hidden="1" customHeight="1" thickBot="1" x14ac:dyDescent="0.3">
      <c r="A174" s="6"/>
      <c r="B174" s="10" t="s">
        <v>39</v>
      </c>
      <c r="C174" s="34"/>
      <c r="D174" s="50"/>
      <c r="E174" s="49" t="str">
        <f t="shared" si="2"/>
        <v/>
      </c>
      <c r="F174" s="74"/>
      <c r="G174" s="74"/>
    </row>
    <row r="175" spans="1:7" ht="15.75" hidden="1" customHeight="1" thickBot="1" x14ac:dyDescent="0.3">
      <c r="A175" s="6"/>
      <c r="B175" s="10" t="s">
        <v>39</v>
      </c>
      <c r="C175" s="34"/>
      <c r="D175" s="50"/>
      <c r="E175" s="49" t="str">
        <f t="shared" si="2"/>
        <v/>
      </c>
      <c r="F175" s="74"/>
      <c r="G175" s="74"/>
    </row>
    <row r="176" spans="1:7" ht="15.75" hidden="1" customHeight="1" thickBot="1" x14ac:dyDescent="0.3">
      <c r="A176" s="6"/>
      <c r="B176" s="10" t="s">
        <v>39</v>
      </c>
      <c r="C176" s="34"/>
      <c r="D176" s="50"/>
      <c r="E176" s="49" t="str">
        <f t="shared" si="2"/>
        <v/>
      </c>
      <c r="F176" s="74"/>
      <c r="G176" s="74"/>
    </row>
    <row r="177" spans="1:7" ht="15.75" hidden="1" customHeight="1" thickBot="1" x14ac:dyDescent="0.3">
      <c r="A177" s="6"/>
      <c r="B177" s="10" t="s">
        <v>39</v>
      </c>
      <c r="C177" s="34"/>
      <c r="D177" s="50"/>
      <c r="E177" s="49" t="str">
        <f t="shared" si="2"/>
        <v/>
      </c>
      <c r="F177" s="74"/>
      <c r="G177" s="74"/>
    </row>
    <row r="178" spans="1:7" ht="15.75" hidden="1" customHeight="1" thickBot="1" x14ac:dyDescent="0.3">
      <c r="A178" s="6"/>
      <c r="B178" s="10" t="s">
        <v>39</v>
      </c>
      <c r="C178" s="34"/>
      <c r="D178" s="50"/>
      <c r="E178" s="49" t="str">
        <f t="shared" si="2"/>
        <v/>
      </c>
      <c r="F178" s="74"/>
      <c r="G178" s="74"/>
    </row>
    <row r="179" spans="1:7" ht="15.75" hidden="1" customHeight="1" thickBot="1" x14ac:dyDescent="0.3">
      <c r="A179" s="6"/>
      <c r="B179" s="10" t="s">
        <v>39</v>
      </c>
      <c r="C179" s="34"/>
      <c r="D179" s="50"/>
      <c r="E179" s="49" t="str">
        <f t="shared" si="2"/>
        <v/>
      </c>
      <c r="F179" s="74"/>
      <c r="G179" s="74"/>
    </row>
    <row r="180" spans="1:7" ht="15.75" hidden="1" customHeight="1" thickBot="1" x14ac:dyDescent="0.3">
      <c r="A180" s="6"/>
      <c r="B180" s="10" t="s">
        <v>39</v>
      </c>
      <c r="C180" s="34"/>
      <c r="D180" s="50"/>
      <c r="E180" s="49" t="str">
        <f t="shared" si="2"/>
        <v/>
      </c>
      <c r="F180" s="74"/>
      <c r="G180" s="74"/>
    </row>
    <row r="181" spans="1:7" ht="15.75" hidden="1" customHeight="1" thickBot="1" x14ac:dyDescent="0.3">
      <c r="A181" s="6"/>
      <c r="B181" s="10" t="s">
        <v>39</v>
      </c>
      <c r="C181" s="34"/>
      <c r="D181" s="50"/>
      <c r="E181" s="49" t="str">
        <f t="shared" si="2"/>
        <v/>
      </c>
      <c r="F181" s="74"/>
      <c r="G181" s="74"/>
    </row>
    <row r="182" spans="1:7" ht="15.75" hidden="1" customHeight="1" thickBot="1" x14ac:dyDescent="0.3">
      <c r="A182" s="6"/>
      <c r="B182" s="10" t="s">
        <v>39</v>
      </c>
      <c r="C182" s="34"/>
      <c r="D182" s="50"/>
      <c r="E182" s="49" t="str">
        <f t="shared" si="2"/>
        <v/>
      </c>
      <c r="F182" s="74"/>
      <c r="G182" s="74"/>
    </row>
    <row r="183" spans="1:7" ht="15.75" hidden="1" customHeight="1" thickBot="1" x14ac:dyDescent="0.3">
      <c r="A183" s="6"/>
      <c r="B183" s="10" t="s">
        <v>39</v>
      </c>
      <c r="C183" s="34"/>
      <c r="D183" s="50"/>
      <c r="E183" s="49" t="str">
        <f t="shared" si="2"/>
        <v/>
      </c>
      <c r="F183" s="74"/>
      <c r="G183" s="74"/>
    </row>
    <row r="184" spans="1:7" ht="15.75" hidden="1" customHeight="1" thickBot="1" x14ac:dyDescent="0.3">
      <c r="A184" s="6"/>
      <c r="B184" s="10" t="s">
        <v>39</v>
      </c>
      <c r="C184" s="34"/>
      <c r="D184" s="50"/>
      <c r="E184" s="49" t="str">
        <f t="shared" si="2"/>
        <v/>
      </c>
      <c r="F184" s="74"/>
      <c r="G184" s="74"/>
    </row>
    <row r="185" spans="1:7" ht="15.75" hidden="1" customHeight="1" thickBot="1" x14ac:dyDescent="0.3">
      <c r="A185" s="6"/>
      <c r="B185" s="10" t="s">
        <v>39</v>
      </c>
      <c r="C185" s="34"/>
      <c r="D185" s="50"/>
      <c r="E185" s="49" t="str">
        <f t="shared" si="2"/>
        <v/>
      </c>
      <c r="F185" s="74"/>
      <c r="G185" s="74"/>
    </row>
    <row r="186" spans="1:7" ht="15.75" hidden="1" customHeight="1" thickBot="1" x14ac:dyDescent="0.3">
      <c r="A186" s="6"/>
      <c r="B186" s="10" t="s">
        <v>39</v>
      </c>
      <c r="C186" s="34"/>
      <c r="D186" s="50"/>
      <c r="E186" s="49" t="str">
        <f t="shared" si="2"/>
        <v/>
      </c>
      <c r="F186" s="74"/>
      <c r="G186" s="74"/>
    </row>
    <row r="187" spans="1:7" ht="15.75" hidden="1" customHeight="1" thickBot="1" x14ac:dyDescent="0.3">
      <c r="A187" s="6"/>
      <c r="B187" s="10" t="s">
        <v>39</v>
      </c>
      <c r="C187" s="34"/>
      <c r="D187" s="50"/>
      <c r="E187" s="49" t="str">
        <f t="shared" si="2"/>
        <v/>
      </c>
      <c r="F187" s="74"/>
      <c r="G187" s="74"/>
    </row>
    <row r="188" spans="1:7" ht="15.75" hidden="1" customHeight="1" thickBot="1" x14ac:dyDescent="0.3">
      <c r="A188" s="6"/>
      <c r="B188" s="10" t="s">
        <v>39</v>
      </c>
      <c r="C188" s="34"/>
      <c r="D188" s="50"/>
      <c r="E188" s="49" t="str">
        <f t="shared" si="2"/>
        <v/>
      </c>
      <c r="F188" s="74"/>
      <c r="G188" s="74"/>
    </row>
    <row r="189" spans="1:7" ht="15.75" hidden="1" customHeight="1" thickBot="1" x14ac:dyDescent="0.3">
      <c r="A189" s="6"/>
      <c r="B189" s="10" t="s">
        <v>39</v>
      </c>
      <c r="C189" s="34"/>
      <c r="D189" s="50"/>
      <c r="E189" s="49" t="str">
        <f t="shared" si="2"/>
        <v/>
      </c>
      <c r="F189" s="74"/>
      <c r="G189" s="74"/>
    </row>
    <row r="190" spans="1:7" ht="15.75" hidden="1" customHeight="1" thickBot="1" x14ac:dyDescent="0.3">
      <c r="A190" s="6"/>
      <c r="B190" s="10" t="s">
        <v>39</v>
      </c>
      <c r="C190" s="34"/>
      <c r="D190" s="50"/>
      <c r="E190" s="49" t="str">
        <f t="shared" si="2"/>
        <v/>
      </c>
      <c r="F190" s="74"/>
      <c r="G190" s="74"/>
    </row>
    <row r="191" spans="1:7" ht="15.75" hidden="1" customHeight="1" thickBot="1" x14ac:dyDescent="0.3">
      <c r="A191" s="6"/>
      <c r="B191" s="10" t="s">
        <v>39</v>
      </c>
      <c r="C191" s="34"/>
      <c r="D191" s="50"/>
      <c r="E191" s="49" t="str">
        <f t="shared" si="2"/>
        <v/>
      </c>
      <c r="F191" s="74"/>
      <c r="G191" s="74"/>
    </row>
    <row r="192" spans="1:7" ht="15.75" hidden="1" customHeight="1" thickBot="1" x14ac:dyDescent="0.3">
      <c r="A192" s="6"/>
      <c r="B192" s="10" t="s">
        <v>39</v>
      </c>
      <c r="C192" s="34"/>
      <c r="D192" s="50"/>
      <c r="E192" s="49" t="str">
        <f t="shared" si="2"/>
        <v/>
      </c>
      <c r="F192" s="74"/>
      <c r="G192" s="74"/>
    </row>
    <row r="193" spans="1:7" ht="15.75" hidden="1" customHeight="1" thickBot="1" x14ac:dyDescent="0.3">
      <c r="A193" s="6"/>
      <c r="B193" s="10" t="s">
        <v>39</v>
      </c>
      <c r="C193" s="34"/>
      <c r="D193" s="50"/>
      <c r="E193" s="49" t="str">
        <f t="shared" si="2"/>
        <v/>
      </c>
      <c r="F193" s="74"/>
      <c r="G193" s="74"/>
    </row>
    <row r="194" spans="1:7" ht="15.75" hidden="1" customHeight="1" thickBot="1" x14ac:dyDescent="0.3">
      <c r="A194" s="6"/>
      <c r="B194" s="10" t="s">
        <v>39</v>
      </c>
      <c r="C194" s="34"/>
      <c r="D194" s="50"/>
      <c r="E194" s="49" t="str">
        <f t="shared" si="2"/>
        <v/>
      </c>
      <c r="F194" s="74"/>
      <c r="G194" s="74"/>
    </row>
    <row r="195" spans="1:7" ht="15.75" hidden="1" customHeight="1" thickBot="1" x14ac:dyDescent="0.3">
      <c r="A195" s="6"/>
      <c r="B195" s="10" t="s">
        <v>39</v>
      </c>
      <c r="C195" s="34"/>
      <c r="D195" s="50"/>
      <c r="E195" s="49" t="str">
        <f t="shared" si="2"/>
        <v/>
      </c>
      <c r="F195" s="74"/>
      <c r="G195" s="74"/>
    </row>
    <row r="196" spans="1:7" ht="15.75" hidden="1" customHeight="1" thickBot="1" x14ac:dyDescent="0.3">
      <c r="A196" s="6"/>
      <c r="B196" s="10" t="s">
        <v>39</v>
      </c>
      <c r="C196" s="34"/>
      <c r="D196" s="50"/>
      <c r="E196" s="49" t="str">
        <f t="shared" si="2"/>
        <v/>
      </c>
      <c r="F196" s="74"/>
      <c r="G196" s="74"/>
    </row>
    <row r="197" spans="1:7" ht="15.75" hidden="1" customHeight="1" thickBot="1" x14ac:dyDescent="0.3">
      <c r="A197" s="6"/>
      <c r="B197" s="10" t="s">
        <v>39</v>
      </c>
      <c r="C197" s="34"/>
      <c r="D197" s="50"/>
      <c r="E197" s="49" t="str">
        <f t="shared" si="2"/>
        <v/>
      </c>
      <c r="F197" s="74"/>
      <c r="G197" s="74"/>
    </row>
    <row r="198" spans="1:7" ht="15.75" hidden="1" customHeight="1" thickBot="1" x14ac:dyDescent="0.3">
      <c r="A198" s="6"/>
      <c r="B198" s="10" t="s">
        <v>39</v>
      </c>
      <c r="C198" s="34"/>
      <c r="D198" s="50"/>
      <c r="E198" s="49" t="str">
        <f t="shared" si="2"/>
        <v/>
      </c>
      <c r="F198" s="74"/>
      <c r="G198" s="74"/>
    </row>
    <row r="199" spans="1:7" ht="15.75" hidden="1" customHeight="1" thickBot="1" x14ac:dyDescent="0.3">
      <c r="A199" s="6"/>
      <c r="B199" s="10" t="s">
        <v>39</v>
      </c>
      <c r="C199" s="34"/>
      <c r="D199" s="50"/>
      <c r="E199" s="49" t="str">
        <f t="shared" si="2"/>
        <v/>
      </c>
      <c r="F199" s="74"/>
      <c r="G199" s="74"/>
    </row>
    <row r="200" spans="1:7" ht="15.75" hidden="1" customHeight="1" thickBot="1" x14ac:dyDescent="0.3">
      <c r="A200" s="6"/>
      <c r="B200" s="10" t="s">
        <v>39</v>
      </c>
      <c r="C200" s="34"/>
      <c r="D200" s="50"/>
      <c r="E200" s="49" t="str">
        <f t="shared" ref="E200:E263" si="3">IF(C200="Active",IF(ISNUMBER(D200),D200-rToday,""),"")</f>
        <v/>
      </c>
      <c r="F200" s="74"/>
      <c r="G200" s="74"/>
    </row>
    <row r="201" spans="1:7" ht="15.75" hidden="1" customHeight="1" thickBot="1" x14ac:dyDescent="0.3">
      <c r="A201" s="6"/>
      <c r="B201" s="10" t="s">
        <v>39</v>
      </c>
      <c r="C201" s="34"/>
      <c r="D201" s="50"/>
      <c r="E201" s="49" t="str">
        <f t="shared" si="3"/>
        <v/>
      </c>
      <c r="F201" s="74"/>
      <c r="G201" s="74"/>
    </row>
    <row r="202" spans="1:7" ht="15.75" hidden="1" customHeight="1" thickBot="1" x14ac:dyDescent="0.3">
      <c r="A202" s="6"/>
      <c r="B202" s="10" t="s">
        <v>39</v>
      </c>
      <c r="C202" s="34"/>
      <c r="D202" s="50"/>
      <c r="E202" s="49" t="str">
        <f t="shared" si="3"/>
        <v/>
      </c>
      <c r="F202" s="74"/>
      <c r="G202" s="74"/>
    </row>
    <row r="203" spans="1:7" ht="15.75" hidden="1" customHeight="1" thickBot="1" x14ac:dyDescent="0.3">
      <c r="A203" s="6"/>
      <c r="B203" s="10" t="s">
        <v>39</v>
      </c>
      <c r="C203" s="34"/>
      <c r="D203" s="50"/>
      <c r="E203" s="49" t="str">
        <f t="shared" si="3"/>
        <v/>
      </c>
      <c r="F203" s="74"/>
      <c r="G203" s="74"/>
    </row>
    <row r="204" spans="1:7" ht="15.75" hidden="1" customHeight="1" thickBot="1" x14ac:dyDescent="0.3">
      <c r="A204" s="6"/>
      <c r="B204" s="10" t="s">
        <v>39</v>
      </c>
      <c r="C204" s="34"/>
      <c r="D204" s="50"/>
      <c r="E204" s="49" t="str">
        <f t="shared" si="3"/>
        <v/>
      </c>
      <c r="F204" s="74"/>
      <c r="G204" s="74"/>
    </row>
    <row r="205" spans="1:7" ht="15.75" hidden="1" customHeight="1" thickBot="1" x14ac:dyDescent="0.3">
      <c r="A205" s="6"/>
      <c r="B205" s="10" t="s">
        <v>39</v>
      </c>
      <c r="C205" s="34"/>
      <c r="D205" s="50"/>
      <c r="E205" s="49" t="str">
        <f t="shared" si="3"/>
        <v/>
      </c>
      <c r="F205" s="74"/>
      <c r="G205" s="74"/>
    </row>
    <row r="206" spans="1:7" ht="15.75" hidden="1" customHeight="1" thickBot="1" x14ac:dyDescent="0.3">
      <c r="A206" s="6"/>
      <c r="B206" s="10" t="s">
        <v>39</v>
      </c>
      <c r="C206" s="34"/>
      <c r="D206" s="50"/>
      <c r="E206" s="49" t="str">
        <f t="shared" si="3"/>
        <v/>
      </c>
      <c r="F206" s="74"/>
      <c r="G206" s="74"/>
    </row>
    <row r="207" spans="1:7" ht="15.75" hidden="1" customHeight="1" thickBot="1" x14ac:dyDescent="0.3">
      <c r="A207" s="6"/>
      <c r="B207" s="10" t="s">
        <v>39</v>
      </c>
      <c r="C207" s="34"/>
      <c r="D207" s="50"/>
      <c r="E207" s="49" t="str">
        <f t="shared" si="3"/>
        <v/>
      </c>
      <c r="F207" s="74"/>
      <c r="G207" s="74"/>
    </row>
    <row r="208" spans="1:7" ht="15.75" hidden="1" customHeight="1" thickBot="1" x14ac:dyDescent="0.3">
      <c r="A208" s="6"/>
      <c r="B208" s="10" t="s">
        <v>39</v>
      </c>
      <c r="C208" s="34"/>
      <c r="D208" s="50"/>
      <c r="E208" s="49" t="str">
        <f t="shared" si="3"/>
        <v/>
      </c>
      <c r="F208" s="74"/>
      <c r="G208" s="74"/>
    </row>
    <row r="209" spans="1:7" ht="15.75" hidden="1" customHeight="1" thickBot="1" x14ac:dyDescent="0.3">
      <c r="A209" s="6"/>
      <c r="B209" s="10" t="s">
        <v>39</v>
      </c>
      <c r="C209" s="34"/>
      <c r="D209" s="50"/>
      <c r="E209" s="49" t="str">
        <f t="shared" si="3"/>
        <v/>
      </c>
      <c r="F209" s="74"/>
      <c r="G209" s="74"/>
    </row>
    <row r="210" spans="1:7" ht="15.75" hidden="1" customHeight="1" thickBot="1" x14ac:dyDescent="0.3">
      <c r="A210" s="6"/>
      <c r="B210" s="10" t="s">
        <v>39</v>
      </c>
      <c r="C210" s="34"/>
      <c r="D210" s="50"/>
      <c r="E210" s="49" t="str">
        <f t="shared" si="3"/>
        <v/>
      </c>
      <c r="F210" s="74"/>
      <c r="G210" s="74"/>
    </row>
    <row r="211" spans="1:7" ht="15.75" hidden="1" customHeight="1" thickBot="1" x14ac:dyDescent="0.3">
      <c r="A211" s="6"/>
      <c r="B211" s="10" t="s">
        <v>39</v>
      </c>
      <c r="C211" s="34"/>
      <c r="D211" s="50"/>
      <c r="E211" s="49" t="str">
        <f t="shared" si="3"/>
        <v/>
      </c>
      <c r="F211" s="74"/>
      <c r="G211" s="74"/>
    </row>
    <row r="212" spans="1:7" ht="15.75" hidden="1" customHeight="1" thickBot="1" x14ac:dyDescent="0.3">
      <c r="A212" s="6"/>
      <c r="B212" s="10" t="s">
        <v>39</v>
      </c>
      <c r="C212" s="34"/>
      <c r="D212" s="50"/>
      <c r="E212" s="49" t="str">
        <f t="shared" si="3"/>
        <v/>
      </c>
      <c r="F212" s="74"/>
      <c r="G212" s="74"/>
    </row>
    <row r="213" spans="1:7" ht="15.75" hidden="1" customHeight="1" thickBot="1" x14ac:dyDescent="0.3">
      <c r="A213" s="6"/>
      <c r="B213" s="10" t="s">
        <v>39</v>
      </c>
      <c r="C213" s="34"/>
      <c r="D213" s="50"/>
      <c r="E213" s="49" t="str">
        <f t="shared" si="3"/>
        <v/>
      </c>
      <c r="F213" s="74"/>
      <c r="G213" s="74"/>
    </row>
    <row r="214" spans="1:7" ht="15.75" hidden="1" customHeight="1" thickBot="1" x14ac:dyDescent="0.3">
      <c r="A214" s="6"/>
      <c r="B214" s="10" t="s">
        <v>39</v>
      </c>
      <c r="C214" s="34"/>
      <c r="D214" s="50"/>
      <c r="E214" s="49" t="str">
        <f t="shared" si="3"/>
        <v/>
      </c>
      <c r="F214" s="74"/>
      <c r="G214" s="74"/>
    </row>
    <row r="215" spans="1:7" ht="15.75" hidden="1" customHeight="1" thickBot="1" x14ac:dyDescent="0.3">
      <c r="A215" s="6"/>
      <c r="B215" s="10" t="s">
        <v>39</v>
      </c>
      <c r="C215" s="34"/>
      <c r="D215" s="50"/>
      <c r="E215" s="49" t="str">
        <f t="shared" si="3"/>
        <v/>
      </c>
      <c r="F215" s="74"/>
      <c r="G215" s="74"/>
    </row>
    <row r="216" spans="1:7" ht="15.75" hidden="1" customHeight="1" thickBot="1" x14ac:dyDescent="0.3">
      <c r="A216" s="6"/>
      <c r="B216" s="10" t="s">
        <v>39</v>
      </c>
      <c r="C216" s="34"/>
      <c r="D216" s="50"/>
      <c r="E216" s="49" t="str">
        <f t="shared" si="3"/>
        <v/>
      </c>
      <c r="F216" s="74"/>
      <c r="G216" s="74"/>
    </row>
    <row r="217" spans="1:7" ht="15.75" hidden="1" customHeight="1" thickBot="1" x14ac:dyDescent="0.3">
      <c r="A217" s="6"/>
      <c r="B217" s="10" t="s">
        <v>39</v>
      </c>
      <c r="C217" s="34"/>
      <c r="D217" s="50"/>
      <c r="E217" s="49" t="str">
        <f t="shared" si="3"/>
        <v/>
      </c>
      <c r="F217" s="74"/>
      <c r="G217" s="74"/>
    </row>
    <row r="218" spans="1:7" ht="15.75" hidden="1" customHeight="1" thickBot="1" x14ac:dyDescent="0.3">
      <c r="A218" s="6"/>
      <c r="B218" s="10" t="s">
        <v>39</v>
      </c>
      <c r="C218" s="34"/>
      <c r="D218" s="50"/>
      <c r="E218" s="49" t="str">
        <f t="shared" si="3"/>
        <v/>
      </c>
      <c r="F218" s="74"/>
      <c r="G218" s="74"/>
    </row>
    <row r="219" spans="1:7" ht="15.75" hidden="1" customHeight="1" thickBot="1" x14ac:dyDescent="0.3">
      <c r="A219" s="6"/>
      <c r="B219" s="10" t="s">
        <v>39</v>
      </c>
      <c r="C219" s="34"/>
      <c r="D219" s="50"/>
      <c r="E219" s="49" t="str">
        <f t="shared" si="3"/>
        <v/>
      </c>
      <c r="F219" s="74"/>
      <c r="G219" s="74"/>
    </row>
    <row r="220" spans="1:7" ht="15.75" hidden="1" customHeight="1" thickBot="1" x14ac:dyDescent="0.3">
      <c r="A220" s="6"/>
      <c r="B220" s="10" t="s">
        <v>39</v>
      </c>
      <c r="C220" s="34"/>
      <c r="D220" s="50"/>
      <c r="E220" s="49" t="str">
        <f t="shared" si="3"/>
        <v/>
      </c>
      <c r="F220" s="74"/>
      <c r="G220" s="74"/>
    </row>
    <row r="221" spans="1:7" ht="15.75" hidden="1" customHeight="1" thickBot="1" x14ac:dyDescent="0.3">
      <c r="A221" s="6"/>
      <c r="B221" s="10" t="s">
        <v>39</v>
      </c>
      <c r="C221" s="34"/>
      <c r="D221" s="50"/>
      <c r="E221" s="49" t="str">
        <f t="shared" si="3"/>
        <v/>
      </c>
      <c r="F221" s="74"/>
      <c r="G221" s="74"/>
    </row>
    <row r="222" spans="1:7" ht="15.75" hidden="1" customHeight="1" thickBot="1" x14ac:dyDescent="0.3">
      <c r="A222" s="6"/>
      <c r="B222" s="10" t="s">
        <v>39</v>
      </c>
      <c r="C222" s="34"/>
      <c r="D222" s="50"/>
      <c r="E222" s="49" t="str">
        <f t="shared" si="3"/>
        <v/>
      </c>
      <c r="F222" s="74"/>
      <c r="G222" s="74"/>
    </row>
    <row r="223" spans="1:7" ht="15.75" hidden="1" customHeight="1" thickBot="1" x14ac:dyDescent="0.3">
      <c r="A223" s="6"/>
      <c r="B223" s="10" t="s">
        <v>39</v>
      </c>
      <c r="C223" s="34"/>
      <c r="D223" s="50"/>
      <c r="E223" s="49" t="str">
        <f t="shared" si="3"/>
        <v/>
      </c>
      <c r="F223" s="74"/>
      <c r="G223" s="74"/>
    </row>
    <row r="224" spans="1:7" ht="15.75" hidden="1" customHeight="1" thickBot="1" x14ac:dyDescent="0.3">
      <c r="A224" s="6"/>
      <c r="B224" s="10" t="s">
        <v>39</v>
      </c>
      <c r="C224" s="34"/>
      <c r="D224" s="50"/>
      <c r="E224" s="49" t="str">
        <f t="shared" si="3"/>
        <v/>
      </c>
      <c r="F224" s="74"/>
      <c r="G224" s="74"/>
    </row>
    <row r="225" spans="1:7" ht="15.75" hidden="1" customHeight="1" thickBot="1" x14ac:dyDescent="0.3">
      <c r="A225" s="6"/>
      <c r="B225" s="10" t="s">
        <v>39</v>
      </c>
      <c r="C225" s="34"/>
      <c r="D225" s="50"/>
      <c r="E225" s="49" t="str">
        <f t="shared" si="3"/>
        <v/>
      </c>
      <c r="F225" s="74"/>
      <c r="G225" s="74"/>
    </row>
    <row r="226" spans="1:7" ht="15.75" hidden="1" customHeight="1" thickBot="1" x14ac:dyDescent="0.3">
      <c r="A226" s="6"/>
      <c r="B226" s="10" t="s">
        <v>39</v>
      </c>
      <c r="C226" s="34"/>
      <c r="D226" s="50"/>
      <c r="E226" s="49" t="str">
        <f t="shared" si="3"/>
        <v/>
      </c>
      <c r="F226" s="74"/>
      <c r="G226" s="74"/>
    </row>
    <row r="227" spans="1:7" ht="15.75" hidden="1" customHeight="1" thickBot="1" x14ac:dyDescent="0.3">
      <c r="A227" s="6"/>
      <c r="B227" s="10" t="s">
        <v>39</v>
      </c>
      <c r="C227" s="34"/>
      <c r="D227" s="50"/>
      <c r="E227" s="49" t="str">
        <f t="shared" si="3"/>
        <v/>
      </c>
      <c r="F227" s="74"/>
      <c r="G227" s="74"/>
    </row>
    <row r="228" spans="1:7" ht="15.75" hidden="1" customHeight="1" thickBot="1" x14ac:dyDescent="0.3">
      <c r="A228" s="6"/>
      <c r="B228" s="10" t="s">
        <v>39</v>
      </c>
      <c r="C228" s="34"/>
      <c r="D228" s="50"/>
      <c r="E228" s="49" t="str">
        <f t="shared" si="3"/>
        <v/>
      </c>
      <c r="F228" s="74"/>
      <c r="G228" s="74"/>
    </row>
    <row r="229" spans="1:7" ht="15.75" hidden="1" customHeight="1" thickBot="1" x14ac:dyDescent="0.3">
      <c r="A229" s="6"/>
      <c r="B229" s="10" t="s">
        <v>39</v>
      </c>
      <c r="C229" s="34"/>
      <c r="D229" s="50"/>
      <c r="E229" s="49" t="str">
        <f t="shared" si="3"/>
        <v/>
      </c>
      <c r="F229" s="74"/>
      <c r="G229" s="74"/>
    </row>
    <row r="230" spans="1:7" ht="15.75" hidden="1" customHeight="1" thickBot="1" x14ac:dyDescent="0.3">
      <c r="A230" s="6"/>
      <c r="B230" s="10" t="s">
        <v>39</v>
      </c>
      <c r="C230" s="34"/>
      <c r="D230" s="50"/>
      <c r="E230" s="49" t="str">
        <f t="shared" si="3"/>
        <v/>
      </c>
      <c r="F230" s="74"/>
      <c r="G230" s="74"/>
    </row>
    <row r="231" spans="1:7" ht="15.75" hidden="1" customHeight="1" thickBot="1" x14ac:dyDescent="0.3">
      <c r="A231" s="6"/>
      <c r="B231" s="10" t="s">
        <v>39</v>
      </c>
      <c r="C231" s="34"/>
      <c r="D231" s="50"/>
      <c r="E231" s="49" t="str">
        <f t="shared" si="3"/>
        <v/>
      </c>
      <c r="F231" s="74"/>
      <c r="G231" s="74"/>
    </row>
    <row r="232" spans="1:7" ht="15.75" hidden="1" customHeight="1" thickBot="1" x14ac:dyDescent="0.3">
      <c r="A232" s="6"/>
      <c r="B232" s="10" t="s">
        <v>39</v>
      </c>
      <c r="C232" s="34"/>
      <c r="D232" s="50"/>
      <c r="E232" s="49" t="str">
        <f t="shared" si="3"/>
        <v/>
      </c>
      <c r="F232" s="74"/>
      <c r="G232" s="74"/>
    </row>
    <row r="233" spans="1:7" ht="15.75" hidden="1" customHeight="1" thickBot="1" x14ac:dyDescent="0.3">
      <c r="A233" s="6"/>
      <c r="B233" s="10" t="s">
        <v>39</v>
      </c>
      <c r="C233" s="34"/>
      <c r="D233" s="50"/>
      <c r="E233" s="49" t="str">
        <f t="shared" si="3"/>
        <v/>
      </c>
      <c r="F233" s="74"/>
      <c r="G233" s="74"/>
    </row>
    <row r="234" spans="1:7" ht="15.75" hidden="1" customHeight="1" thickBot="1" x14ac:dyDescent="0.3">
      <c r="A234" s="6"/>
      <c r="B234" s="10" t="s">
        <v>39</v>
      </c>
      <c r="C234" s="34"/>
      <c r="D234" s="50"/>
      <c r="E234" s="49" t="str">
        <f t="shared" si="3"/>
        <v/>
      </c>
      <c r="F234" s="74"/>
      <c r="G234" s="74"/>
    </row>
    <row r="235" spans="1:7" ht="15.75" hidden="1" customHeight="1" thickBot="1" x14ac:dyDescent="0.3">
      <c r="A235" s="6"/>
      <c r="B235" s="10" t="s">
        <v>39</v>
      </c>
      <c r="C235" s="34"/>
      <c r="D235" s="50"/>
      <c r="E235" s="49" t="str">
        <f t="shared" si="3"/>
        <v/>
      </c>
      <c r="F235" s="74"/>
      <c r="G235" s="74"/>
    </row>
    <row r="236" spans="1:7" ht="15.75" hidden="1" customHeight="1" thickBot="1" x14ac:dyDescent="0.3">
      <c r="A236" s="6"/>
      <c r="B236" s="10" t="s">
        <v>39</v>
      </c>
      <c r="C236" s="34"/>
      <c r="D236" s="50"/>
      <c r="E236" s="49" t="str">
        <f t="shared" si="3"/>
        <v/>
      </c>
      <c r="F236" s="74"/>
      <c r="G236" s="74"/>
    </row>
    <row r="237" spans="1:7" ht="15.75" hidden="1" customHeight="1" thickBot="1" x14ac:dyDescent="0.3">
      <c r="A237" s="6"/>
      <c r="B237" s="10" t="s">
        <v>39</v>
      </c>
      <c r="C237" s="34"/>
      <c r="D237" s="50"/>
      <c r="E237" s="49" t="str">
        <f t="shared" si="3"/>
        <v/>
      </c>
      <c r="F237" s="74"/>
      <c r="G237" s="74"/>
    </row>
    <row r="238" spans="1:7" ht="15.75" hidden="1" customHeight="1" thickBot="1" x14ac:dyDescent="0.3">
      <c r="A238" s="6"/>
      <c r="B238" s="10" t="s">
        <v>39</v>
      </c>
      <c r="C238" s="34"/>
      <c r="D238" s="50"/>
      <c r="E238" s="49" t="str">
        <f t="shared" si="3"/>
        <v/>
      </c>
      <c r="F238" s="74"/>
      <c r="G238" s="74"/>
    </row>
    <row r="239" spans="1:7" ht="15.75" hidden="1" customHeight="1" thickBot="1" x14ac:dyDescent="0.3">
      <c r="A239" s="6"/>
      <c r="B239" s="10" t="s">
        <v>39</v>
      </c>
      <c r="C239" s="34"/>
      <c r="D239" s="50"/>
      <c r="E239" s="49" t="str">
        <f t="shared" si="3"/>
        <v/>
      </c>
      <c r="F239" s="74"/>
      <c r="G239" s="74"/>
    </row>
    <row r="240" spans="1:7" ht="15.75" hidden="1" customHeight="1" thickBot="1" x14ac:dyDescent="0.3">
      <c r="A240" s="6"/>
      <c r="B240" s="10" t="s">
        <v>39</v>
      </c>
      <c r="C240" s="34"/>
      <c r="D240" s="50"/>
      <c r="E240" s="49" t="str">
        <f t="shared" si="3"/>
        <v/>
      </c>
      <c r="F240" s="74"/>
      <c r="G240" s="74"/>
    </row>
    <row r="241" spans="1:7" ht="15.75" hidden="1" customHeight="1" thickBot="1" x14ac:dyDescent="0.3">
      <c r="A241" s="6"/>
      <c r="B241" s="10" t="s">
        <v>39</v>
      </c>
      <c r="C241" s="34"/>
      <c r="D241" s="50"/>
      <c r="E241" s="49" t="str">
        <f t="shared" si="3"/>
        <v/>
      </c>
      <c r="F241" s="74"/>
      <c r="G241" s="74"/>
    </row>
    <row r="242" spans="1:7" ht="15.75" hidden="1" customHeight="1" thickBot="1" x14ac:dyDescent="0.3">
      <c r="A242" s="6"/>
      <c r="B242" s="10" t="s">
        <v>39</v>
      </c>
      <c r="C242" s="34"/>
      <c r="D242" s="50"/>
      <c r="E242" s="49" t="str">
        <f t="shared" si="3"/>
        <v/>
      </c>
      <c r="F242" s="74"/>
      <c r="G242" s="74"/>
    </row>
    <row r="243" spans="1:7" ht="15.75" hidden="1" customHeight="1" thickBot="1" x14ac:dyDescent="0.3">
      <c r="A243" s="6"/>
      <c r="B243" s="10" t="s">
        <v>39</v>
      </c>
      <c r="C243" s="34"/>
      <c r="D243" s="50"/>
      <c r="E243" s="49" t="str">
        <f t="shared" si="3"/>
        <v/>
      </c>
      <c r="F243" s="74"/>
      <c r="G243" s="74"/>
    </row>
    <row r="244" spans="1:7" ht="15.75" hidden="1" customHeight="1" thickBot="1" x14ac:dyDescent="0.3">
      <c r="A244" s="6"/>
      <c r="B244" s="10" t="s">
        <v>39</v>
      </c>
      <c r="C244" s="34"/>
      <c r="D244" s="50"/>
      <c r="E244" s="49" t="str">
        <f t="shared" si="3"/>
        <v/>
      </c>
      <c r="F244" s="74"/>
      <c r="G244" s="74"/>
    </row>
    <row r="245" spans="1:7" ht="15.75" hidden="1" customHeight="1" thickBot="1" x14ac:dyDescent="0.3">
      <c r="A245" s="6"/>
      <c r="B245" s="10" t="s">
        <v>39</v>
      </c>
      <c r="C245" s="34"/>
      <c r="D245" s="50"/>
      <c r="E245" s="49" t="str">
        <f t="shared" si="3"/>
        <v/>
      </c>
      <c r="F245" s="74"/>
      <c r="G245" s="74"/>
    </row>
    <row r="246" spans="1:7" ht="15.75" hidden="1" customHeight="1" thickBot="1" x14ac:dyDescent="0.3">
      <c r="A246" s="6"/>
      <c r="B246" s="10" t="s">
        <v>39</v>
      </c>
      <c r="C246" s="34"/>
      <c r="D246" s="50"/>
      <c r="E246" s="49" t="str">
        <f t="shared" si="3"/>
        <v/>
      </c>
      <c r="F246" s="74"/>
      <c r="G246" s="74"/>
    </row>
    <row r="247" spans="1:7" ht="15.75" hidden="1" customHeight="1" thickBot="1" x14ac:dyDescent="0.3">
      <c r="A247" s="6"/>
      <c r="B247" s="10" t="s">
        <v>39</v>
      </c>
      <c r="C247" s="34"/>
      <c r="D247" s="50"/>
      <c r="E247" s="49" t="str">
        <f t="shared" si="3"/>
        <v/>
      </c>
      <c r="F247" s="74"/>
      <c r="G247" s="74"/>
    </row>
    <row r="248" spans="1:7" ht="15.75" hidden="1" customHeight="1" thickBot="1" x14ac:dyDescent="0.3">
      <c r="A248" s="6"/>
      <c r="B248" s="10" t="s">
        <v>39</v>
      </c>
      <c r="C248" s="34"/>
      <c r="D248" s="50"/>
      <c r="E248" s="49" t="str">
        <f t="shared" si="3"/>
        <v/>
      </c>
      <c r="F248" s="74"/>
      <c r="G248" s="74"/>
    </row>
    <row r="249" spans="1:7" ht="15.75" hidden="1" customHeight="1" thickBot="1" x14ac:dyDescent="0.3">
      <c r="A249" s="6"/>
      <c r="B249" s="10" t="s">
        <v>39</v>
      </c>
      <c r="C249" s="34"/>
      <c r="D249" s="50"/>
      <c r="E249" s="49" t="str">
        <f t="shared" si="3"/>
        <v/>
      </c>
      <c r="F249" s="74"/>
      <c r="G249" s="74"/>
    </row>
    <row r="250" spans="1:7" ht="15.75" hidden="1" customHeight="1" thickBot="1" x14ac:dyDescent="0.3">
      <c r="A250" s="6"/>
      <c r="B250" s="10" t="s">
        <v>39</v>
      </c>
      <c r="C250" s="34"/>
      <c r="D250" s="50"/>
      <c r="E250" s="49" t="str">
        <f t="shared" si="3"/>
        <v/>
      </c>
      <c r="F250" s="74"/>
      <c r="G250" s="74"/>
    </row>
    <row r="251" spans="1:7" ht="15.75" hidden="1" customHeight="1" thickBot="1" x14ac:dyDescent="0.3">
      <c r="A251" s="6"/>
      <c r="B251" s="10" t="s">
        <v>39</v>
      </c>
      <c r="C251" s="34"/>
      <c r="D251" s="50"/>
      <c r="E251" s="49" t="str">
        <f t="shared" si="3"/>
        <v/>
      </c>
      <c r="F251" s="74"/>
      <c r="G251" s="74"/>
    </row>
    <row r="252" spans="1:7" ht="15.75" hidden="1" customHeight="1" thickBot="1" x14ac:dyDescent="0.3">
      <c r="A252" s="6"/>
      <c r="B252" s="10" t="s">
        <v>39</v>
      </c>
      <c r="C252" s="34"/>
      <c r="D252" s="50"/>
      <c r="E252" s="49" t="str">
        <f t="shared" si="3"/>
        <v/>
      </c>
      <c r="F252" s="74"/>
      <c r="G252" s="74"/>
    </row>
    <row r="253" spans="1:7" ht="15.75" hidden="1" customHeight="1" thickBot="1" x14ac:dyDescent="0.3">
      <c r="A253" s="6"/>
      <c r="B253" s="10" t="s">
        <v>39</v>
      </c>
      <c r="C253" s="34"/>
      <c r="D253" s="50"/>
      <c r="E253" s="49" t="str">
        <f t="shared" si="3"/>
        <v/>
      </c>
      <c r="F253" s="74"/>
      <c r="G253" s="74"/>
    </row>
    <row r="254" spans="1:7" ht="15.75" hidden="1" customHeight="1" thickBot="1" x14ac:dyDescent="0.3">
      <c r="A254" s="6"/>
      <c r="B254" s="10" t="s">
        <v>39</v>
      </c>
      <c r="C254" s="34"/>
      <c r="D254" s="50"/>
      <c r="E254" s="49" t="str">
        <f t="shared" si="3"/>
        <v/>
      </c>
      <c r="F254" s="74"/>
      <c r="G254" s="74"/>
    </row>
    <row r="255" spans="1:7" ht="15.75" hidden="1" customHeight="1" thickBot="1" x14ac:dyDescent="0.3">
      <c r="A255" s="6"/>
      <c r="B255" s="10" t="s">
        <v>39</v>
      </c>
      <c r="C255" s="34"/>
      <c r="D255" s="50"/>
      <c r="E255" s="49" t="str">
        <f t="shared" si="3"/>
        <v/>
      </c>
      <c r="F255" s="74"/>
      <c r="G255" s="74"/>
    </row>
    <row r="256" spans="1:7" ht="15.75" hidden="1" customHeight="1" thickBot="1" x14ac:dyDescent="0.3">
      <c r="A256" s="6"/>
      <c r="B256" s="10" t="s">
        <v>39</v>
      </c>
      <c r="C256" s="34"/>
      <c r="D256" s="50"/>
      <c r="E256" s="49" t="str">
        <f t="shared" si="3"/>
        <v/>
      </c>
      <c r="F256" s="74"/>
      <c r="G256" s="74"/>
    </row>
    <row r="257" spans="1:7" ht="15.75" hidden="1" customHeight="1" thickBot="1" x14ac:dyDescent="0.3">
      <c r="A257" s="6"/>
      <c r="B257" s="10" t="s">
        <v>39</v>
      </c>
      <c r="C257" s="34"/>
      <c r="D257" s="50"/>
      <c r="E257" s="49" t="str">
        <f t="shared" si="3"/>
        <v/>
      </c>
      <c r="F257" s="74"/>
      <c r="G257" s="74"/>
    </row>
    <row r="258" spans="1:7" ht="15.75" hidden="1" customHeight="1" thickBot="1" x14ac:dyDescent="0.3">
      <c r="A258" s="6"/>
      <c r="B258" s="10" t="s">
        <v>39</v>
      </c>
      <c r="C258" s="34"/>
      <c r="D258" s="50"/>
      <c r="E258" s="49" t="str">
        <f t="shared" si="3"/>
        <v/>
      </c>
      <c r="F258" s="74"/>
      <c r="G258" s="74"/>
    </row>
    <row r="259" spans="1:7" ht="15.75" hidden="1" customHeight="1" thickBot="1" x14ac:dyDescent="0.3">
      <c r="A259" s="6"/>
      <c r="B259" s="10" t="s">
        <v>39</v>
      </c>
      <c r="C259" s="34"/>
      <c r="D259" s="50"/>
      <c r="E259" s="49" t="str">
        <f t="shared" si="3"/>
        <v/>
      </c>
      <c r="F259" s="74"/>
      <c r="G259" s="74"/>
    </row>
    <row r="260" spans="1:7" ht="15.75" hidden="1" customHeight="1" thickBot="1" x14ac:dyDescent="0.3">
      <c r="A260" s="6"/>
      <c r="B260" s="10" t="s">
        <v>39</v>
      </c>
      <c r="C260" s="34"/>
      <c r="D260" s="50"/>
      <c r="E260" s="49" t="str">
        <f t="shared" si="3"/>
        <v/>
      </c>
      <c r="F260" s="74"/>
      <c r="G260" s="74"/>
    </row>
    <row r="261" spans="1:7" ht="15.75" hidden="1" customHeight="1" thickBot="1" x14ac:dyDescent="0.3">
      <c r="A261" s="6"/>
      <c r="B261" s="10" t="s">
        <v>39</v>
      </c>
      <c r="C261" s="34"/>
      <c r="D261" s="50"/>
      <c r="E261" s="49" t="str">
        <f t="shared" si="3"/>
        <v/>
      </c>
      <c r="F261" s="74"/>
      <c r="G261" s="74"/>
    </row>
    <row r="262" spans="1:7" ht="15.75" hidden="1" customHeight="1" thickBot="1" x14ac:dyDescent="0.3">
      <c r="A262" s="6"/>
      <c r="B262" s="10" t="s">
        <v>39</v>
      </c>
      <c r="C262" s="34"/>
      <c r="D262" s="50"/>
      <c r="E262" s="49" t="str">
        <f t="shared" si="3"/>
        <v/>
      </c>
      <c r="F262" s="74"/>
      <c r="G262" s="74"/>
    </row>
    <row r="263" spans="1:7" ht="15.75" hidden="1" customHeight="1" thickBot="1" x14ac:dyDescent="0.3">
      <c r="A263" s="6"/>
      <c r="B263" s="10" t="s">
        <v>39</v>
      </c>
      <c r="C263" s="34"/>
      <c r="D263" s="50"/>
      <c r="E263" s="49" t="str">
        <f t="shared" si="3"/>
        <v/>
      </c>
      <c r="F263" s="74"/>
      <c r="G263" s="74"/>
    </row>
    <row r="264" spans="1:7" ht="15.75" hidden="1" customHeight="1" thickBot="1" x14ac:dyDescent="0.3">
      <c r="A264" s="6"/>
      <c r="B264" s="10" t="s">
        <v>39</v>
      </c>
      <c r="C264" s="34"/>
      <c r="D264" s="50"/>
      <c r="E264" s="49" t="str">
        <f t="shared" ref="E264:E327" si="4">IF(C264="Active",IF(ISNUMBER(D264),D264-rToday,""),"")</f>
        <v/>
      </c>
      <c r="F264" s="74"/>
      <c r="G264" s="74"/>
    </row>
    <row r="265" spans="1:7" ht="15.75" hidden="1" customHeight="1" thickBot="1" x14ac:dyDescent="0.3">
      <c r="A265" s="6"/>
      <c r="B265" s="10" t="s">
        <v>39</v>
      </c>
      <c r="C265" s="34"/>
      <c r="D265" s="50"/>
      <c r="E265" s="49" t="str">
        <f t="shared" si="4"/>
        <v/>
      </c>
      <c r="F265" s="74"/>
      <c r="G265" s="74"/>
    </row>
    <row r="266" spans="1:7" ht="15.75" hidden="1" customHeight="1" thickBot="1" x14ac:dyDescent="0.3">
      <c r="A266" s="6"/>
      <c r="B266" s="10" t="s">
        <v>39</v>
      </c>
      <c r="C266" s="34"/>
      <c r="D266" s="50"/>
      <c r="E266" s="49" t="str">
        <f t="shared" si="4"/>
        <v/>
      </c>
      <c r="F266" s="74"/>
      <c r="G266" s="74"/>
    </row>
    <row r="267" spans="1:7" ht="15.75" hidden="1" customHeight="1" thickBot="1" x14ac:dyDescent="0.3">
      <c r="A267" s="6"/>
      <c r="B267" s="10" t="s">
        <v>39</v>
      </c>
      <c r="C267" s="34"/>
      <c r="D267" s="50"/>
      <c r="E267" s="49" t="str">
        <f t="shared" si="4"/>
        <v/>
      </c>
      <c r="F267" s="74"/>
      <c r="G267" s="74"/>
    </row>
    <row r="268" spans="1:7" ht="15.75" hidden="1" customHeight="1" thickBot="1" x14ac:dyDescent="0.3">
      <c r="A268" s="6"/>
      <c r="B268" s="10" t="s">
        <v>39</v>
      </c>
      <c r="C268" s="34"/>
      <c r="D268" s="50"/>
      <c r="E268" s="49" t="str">
        <f t="shared" si="4"/>
        <v/>
      </c>
      <c r="F268" s="74"/>
      <c r="G268" s="74"/>
    </row>
    <row r="269" spans="1:7" ht="15.75" hidden="1" customHeight="1" thickBot="1" x14ac:dyDescent="0.3">
      <c r="A269" s="6"/>
      <c r="B269" s="10" t="s">
        <v>39</v>
      </c>
      <c r="C269" s="34"/>
      <c r="D269" s="50"/>
      <c r="E269" s="49" t="str">
        <f t="shared" si="4"/>
        <v/>
      </c>
      <c r="F269" s="74"/>
      <c r="G269" s="74"/>
    </row>
    <row r="270" spans="1:7" ht="15.75" hidden="1" customHeight="1" thickBot="1" x14ac:dyDescent="0.3">
      <c r="A270" s="6"/>
      <c r="B270" s="10" t="s">
        <v>39</v>
      </c>
      <c r="C270" s="34"/>
      <c r="D270" s="50"/>
      <c r="E270" s="49" t="str">
        <f t="shared" si="4"/>
        <v/>
      </c>
      <c r="F270" s="74"/>
      <c r="G270" s="74"/>
    </row>
    <row r="271" spans="1:7" ht="15.75" hidden="1" customHeight="1" thickBot="1" x14ac:dyDescent="0.3">
      <c r="A271" s="6"/>
      <c r="B271" s="10" t="s">
        <v>39</v>
      </c>
      <c r="C271" s="34"/>
      <c r="D271" s="50"/>
      <c r="E271" s="49" t="str">
        <f t="shared" si="4"/>
        <v/>
      </c>
      <c r="F271" s="74"/>
      <c r="G271" s="74"/>
    </row>
    <row r="272" spans="1:7" ht="15.75" hidden="1" customHeight="1" thickBot="1" x14ac:dyDescent="0.3">
      <c r="A272" s="6"/>
      <c r="B272" s="10" t="s">
        <v>39</v>
      </c>
      <c r="C272" s="34"/>
      <c r="D272" s="50"/>
      <c r="E272" s="49" t="str">
        <f t="shared" si="4"/>
        <v/>
      </c>
      <c r="F272" s="74"/>
      <c r="G272" s="74"/>
    </row>
    <row r="273" spans="1:7" ht="15.75" hidden="1" customHeight="1" thickBot="1" x14ac:dyDescent="0.3">
      <c r="A273" s="6"/>
      <c r="B273" s="10" t="s">
        <v>39</v>
      </c>
      <c r="C273" s="34"/>
      <c r="D273" s="50"/>
      <c r="E273" s="49" t="str">
        <f t="shared" si="4"/>
        <v/>
      </c>
      <c r="F273" s="74"/>
      <c r="G273" s="74"/>
    </row>
    <row r="274" spans="1:7" ht="15.75" hidden="1" customHeight="1" thickBot="1" x14ac:dyDescent="0.3">
      <c r="A274" s="6"/>
      <c r="B274" s="10" t="s">
        <v>39</v>
      </c>
      <c r="C274" s="34"/>
      <c r="D274" s="50"/>
      <c r="E274" s="49" t="str">
        <f t="shared" si="4"/>
        <v/>
      </c>
      <c r="F274" s="74"/>
      <c r="G274" s="74"/>
    </row>
    <row r="275" spans="1:7" ht="15.75" hidden="1" customHeight="1" thickBot="1" x14ac:dyDescent="0.3">
      <c r="A275" s="6"/>
      <c r="B275" s="10" t="s">
        <v>39</v>
      </c>
      <c r="C275" s="34"/>
      <c r="D275" s="50"/>
      <c r="E275" s="49" t="str">
        <f t="shared" si="4"/>
        <v/>
      </c>
      <c r="F275" s="74"/>
      <c r="G275" s="74"/>
    </row>
    <row r="276" spans="1:7" ht="15.75" hidden="1" customHeight="1" thickBot="1" x14ac:dyDescent="0.3">
      <c r="A276" s="6"/>
      <c r="B276" s="10" t="s">
        <v>39</v>
      </c>
      <c r="C276" s="34"/>
      <c r="D276" s="50"/>
      <c r="E276" s="49" t="str">
        <f t="shared" si="4"/>
        <v/>
      </c>
      <c r="F276" s="74"/>
      <c r="G276" s="74"/>
    </row>
    <row r="277" spans="1:7" ht="15.75" hidden="1" customHeight="1" thickBot="1" x14ac:dyDescent="0.3">
      <c r="A277" s="6"/>
      <c r="B277" s="10" t="s">
        <v>39</v>
      </c>
      <c r="C277" s="34"/>
      <c r="D277" s="50"/>
      <c r="E277" s="49" t="str">
        <f t="shared" si="4"/>
        <v/>
      </c>
      <c r="F277" s="74"/>
      <c r="G277" s="74"/>
    </row>
    <row r="278" spans="1:7" ht="15.75" hidden="1" customHeight="1" thickBot="1" x14ac:dyDescent="0.3">
      <c r="A278" s="6"/>
      <c r="B278" s="10" t="s">
        <v>39</v>
      </c>
      <c r="C278" s="34"/>
      <c r="D278" s="50"/>
      <c r="E278" s="49" t="str">
        <f t="shared" si="4"/>
        <v/>
      </c>
      <c r="F278" s="74"/>
      <c r="G278" s="74"/>
    </row>
    <row r="279" spans="1:7" ht="15.75" hidden="1" customHeight="1" thickBot="1" x14ac:dyDescent="0.3">
      <c r="A279" s="6"/>
      <c r="B279" s="10" t="s">
        <v>39</v>
      </c>
      <c r="C279" s="34"/>
      <c r="D279" s="50"/>
      <c r="E279" s="49" t="str">
        <f t="shared" si="4"/>
        <v/>
      </c>
      <c r="F279" s="74"/>
      <c r="G279" s="74"/>
    </row>
    <row r="280" spans="1:7" ht="15.75" hidden="1" customHeight="1" thickBot="1" x14ac:dyDescent="0.3">
      <c r="A280" s="6"/>
      <c r="B280" s="10" t="s">
        <v>39</v>
      </c>
      <c r="C280" s="34"/>
      <c r="D280" s="50"/>
      <c r="E280" s="49" t="str">
        <f t="shared" si="4"/>
        <v/>
      </c>
      <c r="F280" s="74"/>
      <c r="G280" s="74"/>
    </row>
    <row r="281" spans="1:7" ht="15.75" hidden="1" customHeight="1" thickBot="1" x14ac:dyDescent="0.3">
      <c r="A281" s="6"/>
      <c r="B281" s="10" t="s">
        <v>39</v>
      </c>
      <c r="C281" s="34"/>
      <c r="D281" s="50"/>
      <c r="E281" s="49" t="str">
        <f t="shared" si="4"/>
        <v/>
      </c>
      <c r="F281" s="74"/>
      <c r="G281" s="74"/>
    </row>
    <row r="282" spans="1:7" ht="15.75" hidden="1" customHeight="1" thickBot="1" x14ac:dyDescent="0.3">
      <c r="A282" s="6"/>
      <c r="B282" s="10" t="s">
        <v>39</v>
      </c>
      <c r="C282" s="34"/>
      <c r="D282" s="50"/>
      <c r="E282" s="49" t="str">
        <f t="shared" si="4"/>
        <v/>
      </c>
      <c r="F282" s="74"/>
      <c r="G282" s="74"/>
    </row>
    <row r="283" spans="1:7" ht="15.75" hidden="1" customHeight="1" thickBot="1" x14ac:dyDescent="0.3">
      <c r="A283" s="6"/>
      <c r="B283" s="10" t="s">
        <v>39</v>
      </c>
      <c r="C283" s="34"/>
      <c r="D283" s="50"/>
      <c r="E283" s="49" t="str">
        <f t="shared" si="4"/>
        <v/>
      </c>
      <c r="F283" s="74"/>
      <c r="G283" s="74"/>
    </row>
    <row r="284" spans="1:7" ht="15.75" hidden="1" customHeight="1" thickBot="1" x14ac:dyDescent="0.3">
      <c r="A284" s="6"/>
      <c r="B284" s="10" t="s">
        <v>39</v>
      </c>
      <c r="C284" s="34"/>
      <c r="D284" s="50"/>
      <c r="E284" s="49" t="str">
        <f t="shared" si="4"/>
        <v/>
      </c>
      <c r="F284" s="74"/>
      <c r="G284" s="74"/>
    </row>
    <row r="285" spans="1:7" ht="15.75" hidden="1" customHeight="1" thickBot="1" x14ac:dyDescent="0.3">
      <c r="A285" s="6"/>
      <c r="B285" s="10" t="s">
        <v>39</v>
      </c>
      <c r="C285" s="34"/>
      <c r="D285" s="50"/>
      <c r="E285" s="49" t="str">
        <f t="shared" si="4"/>
        <v/>
      </c>
      <c r="F285" s="74"/>
      <c r="G285" s="74"/>
    </row>
    <row r="286" spans="1:7" ht="15.75" hidden="1" customHeight="1" thickBot="1" x14ac:dyDescent="0.3">
      <c r="A286" s="6"/>
      <c r="B286" s="10" t="s">
        <v>39</v>
      </c>
      <c r="C286" s="34"/>
      <c r="D286" s="50"/>
      <c r="E286" s="49" t="str">
        <f t="shared" si="4"/>
        <v/>
      </c>
      <c r="F286" s="74"/>
      <c r="G286" s="74"/>
    </row>
    <row r="287" spans="1:7" ht="15.75" hidden="1" customHeight="1" thickBot="1" x14ac:dyDescent="0.3">
      <c r="A287" s="6"/>
      <c r="B287" s="10" t="s">
        <v>39</v>
      </c>
      <c r="C287" s="34"/>
      <c r="D287" s="50"/>
      <c r="E287" s="49" t="str">
        <f t="shared" si="4"/>
        <v/>
      </c>
      <c r="F287" s="74"/>
      <c r="G287" s="74"/>
    </row>
    <row r="288" spans="1:7" ht="15.75" hidden="1" customHeight="1" thickBot="1" x14ac:dyDescent="0.3">
      <c r="A288" s="6"/>
      <c r="B288" s="10" t="s">
        <v>39</v>
      </c>
      <c r="C288" s="34"/>
      <c r="D288" s="50"/>
      <c r="E288" s="49" t="str">
        <f t="shared" si="4"/>
        <v/>
      </c>
      <c r="F288" s="74"/>
      <c r="G288" s="74"/>
    </row>
    <row r="289" spans="1:7" ht="15.75" hidden="1" customHeight="1" thickBot="1" x14ac:dyDescent="0.3">
      <c r="A289" s="6"/>
      <c r="B289" s="10" t="s">
        <v>39</v>
      </c>
      <c r="C289" s="34"/>
      <c r="D289" s="50"/>
      <c r="E289" s="49" t="str">
        <f t="shared" si="4"/>
        <v/>
      </c>
      <c r="F289" s="74"/>
      <c r="G289" s="74"/>
    </row>
    <row r="290" spans="1:7" ht="15.75" hidden="1" customHeight="1" thickBot="1" x14ac:dyDescent="0.3">
      <c r="A290" s="6"/>
      <c r="B290" s="10" t="s">
        <v>39</v>
      </c>
      <c r="C290" s="34"/>
      <c r="D290" s="50"/>
      <c r="E290" s="49" t="str">
        <f t="shared" si="4"/>
        <v/>
      </c>
      <c r="F290" s="74"/>
      <c r="G290" s="74"/>
    </row>
    <row r="291" spans="1:7" ht="15.75" hidden="1" customHeight="1" thickBot="1" x14ac:dyDescent="0.3">
      <c r="A291" s="6"/>
      <c r="B291" s="10" t="s">
        <v>39</v>
      </c>
      <c r="C291" s="34"/>
      <c r="D291" s="50"/>
      <c r="E291" s="49" t="str">
        <f t="shared" si="4"/>
        <v/>
      </c>
      <c r="F291" s="74"/>
      <c r="G291" s="74"/>
    </row>
    <row r="292" spans="1:7" ht="15.75" hidden="1" customHeight="1" thickBot="1" x14ac:dyDescent="0.3">
      <c r="A292" s="6"/>
      <c r="B292" s="10" t="s">
        <v>39</v>
      </c>
      <c r="C292" s="34"/>
      <c r="D292" s="50"/>
      <c r="E292" s="49" t="str">
        <f t="shared" si="4"/>
        <v/>
      </c>
      <c r="F292" s="74"/>
      <c r="G292" s="74"/>
    </row>
    <row r="293" spans="1:7" ht="15.75" hidden="1" customHeight="1" thickBot="1" x14ac:dyDescent="0.3">
      <c r="A293" s="6"/>
      <c r="B293" s="10" t="s">
        <v>39</v>
      </c>
      <c r="C293" s="34"/>
      <c r="D293" s="50"/>
      <c r="E293" s="49" t="str">
        <f t="shared" si="4"/>
        <v/>
      </c>
      <c r="F293" s="74"/>
      <c r="G293" s="74"/>
    </row>
    <row r="294" spans="1:7" ht="15.75" hidden="1" customHeight="1" thickBot="1" x14ac:dyDescent="0.3">
      <c r="A294" s="6"/>
      <c r="B294" s="10" t="s">
        <v>39</v>
      </c>
      <c r="C294" s="34"/>
      <c r="D294" s="50"/>
      <c r="E294" s="49" t="str">
        <f t="shared" si="4"/>
        <v/>
      </c>
      <c r="F294" s="74"/>
      <c r="G294" s="74"/>
    </row>
    <row r="295" spans="1:7" ht="15.75" hidden="1" customHeight="1" thickBot="1" x14ac:dyDescent="0.3">
      <c r="A295" s="6"/>
      <c r="B295" s="10" t="s">
        <v>39</v>
      </c>
      <c r="C295" s="34"/>
      <c r="D295" s="50"/>
      <c r="E295" s="49" t="str">
        <f t="shared" si="4"/>
        <v/>
      </c>
      <c r="F295" s="74"/>
      <c r="G295" s="74"/>
    </row>
    <row r="296" spans="1:7" ht="15.75" hidden="1" customHeight="1" thickBot="1" x14ac:dyDescent="0.3">
      <c r="A296" s="6"/>
      <c r="B296" s="10" t="s">
        <v>39</v>
      </c>
      <c r="C296" s="34"/>
      <c r="D296" s="50"/>
      <c r="E296" s="49" t="str">
        <f t="shared" si="4"/>
        <v/>
      </c>
      <c r="F296" s="74"/>
      <c r="G296" s="74"/>
    </row>
    <row r="297" spans="1:7" ht="15.75" hidden="1" customHeight="1" thickBot="1" x14ac:dyDescent="0.3">
      <c r="A297" s="6"/>
      <c r="B297" s="10" t="s">
        <v>39</v>
      </c>
      <c r="C297" s="34"/>
      <c r="D297" s="50"/>
      <c r="E297" s="49" t="str">
        <f t="shared" si="4"/>
        <v/>
      </c>
      <c r="F297" s="74"/>
      <c r="G297" s="74"/>
    </row>
    <row r="298" spans="1:7" ht="15.75" hidden="1" customHeight="1" thickBot="1" x14ac:dyDescent="0.3">
      <c r="A298" s="6"/>
      <c r="B298" s="10" t="s">
        <v>39</v>
      </c>
      <c r="C298" s="34"/>
      <c r="D298" s="50"/>
      <c r="E298" s="49" t="str">
        <f t="shared" si="4"/>
        <v/>
      </c>
      <c r="F298" s="74"/>
      <c r="G298" s="74"/>
    </row>
    <row r="299" spans="1:7" ht="15.75" hidden="1" customHeight="1" thickBot="1" x14ac:dyDescent="0.3">
      <c r="A299" s="6"/>
      <c r="B299" s="10" t="s">
        <v>39</v>
      </c>
      <c r="C299" s="34"/>
      <c r="D299" s="50"/>
      <c r="E299" s="49" t="str">
        <f t="shared" si="4"/>
        <v/>
      </c>
      <c r="F299" s="74"/>
      <c r="G299" s="74"/>
    </row>
    <row r="300" spans="1:7" ht="15.75" hidden="1" customHeight="1" thickBot="1" x14ac:dyDescent="0.3">
      <c r="A300" s="6"/>
      <c r="B300" s="10" t="s">
        <v>39</v>
      </c>
      <c r="C300" s="34"/>
      <c r="D300" s="50"/>
      <c r="E300" s="49" t="str">
        <f t="shared" si="4"/>
        <v/>
      </c>
      <c r="F300" s="74"/>
      <c r="G300" s="74"/>
    </row>
    <row r="301" spans="1:7" ht="15.75" hidden="1" customHeight="1" thickBot="1" x14ac:dyDescent="0.3">
      <c r="A301" s="6"/>
      <c r="B301" s="10" t="s">
        <v>39</v>
      </c>
      <c r="C301" s="34"/>
      <c r="D301" s="50"/>
      <c r="E301" s="49" t="str">
        <f t="shared" si="4"/>
        <v/>
      </c>
      <c r="F301" s="74"/>
      <c r="G301" s="74"/>
    </row>
    <row r="302" spans="1:7" ht="15.75" hidden="1" customHeight="1" thickBot="1" x14ac:dyDescent="0.3">
      <c r="A302" s="6"/>
      <c r="B302" s="10" t="s">
        <v>39</v>
      </c>
      <c r="C302" s="34"/>
      <c r="D302" s="50"/>
      <c r="E302" s="49" t="str">
        <f t="shared" si="4"/>
        <v/>
      </c>
      <c r="F302" s="74"/>
      <c r="G302" s="74"/>
    </row>
    <row r="303" spans="1:7" ht="15.75" hidden="1" customHeight="1" thickBot="1" x14ac:dyDescent="0.3">
      <c r="A303" s="6"/>
      <c r="B303" s="10" t="s">
        <v>39</v>
      </c>
      <c r="C303" s="34"/>
      <c r="D303" s="50"/>
      <c r="E303" s="49" t="str">
        <f t="shared" si="4"/>
        <v/>
      </c>
      <c r="F303" s="74"/>
      <c r="G303" s="74"/>
    </row>
    <row r="304" spans="1:7" ht="15.75" hidden="1" customHeight="1" thickBot="1" x14ac:dyDescent="0.3">
      <c r="A304" s="6"/>
      <c r="B304" s="10" t="s">
        <v>39</v>
      </c>
      <c r="C304" s="34"/>
      <c r="D304" s="50"/>
      <c r="E304" s="49" t="str">
        <f t="shared" si="4"/>
        <v/>
      </c>
      <c r="F304" s="74"/>
      <c r="G304" s="74"/>
    </row>
    <row r="305" spans="1:7" ht="15.75" hidden="1" customHeight="1" thickBot="1" x14ac:dyDescent="0.3">
      <c r="A305" s="6"/>
      <c r="B305" s="10" t="s">
        <v>39</v>
      </c>
      <c r="C305" s="34"/>
      <c r="D305" s="50"/>
      <c r="E305" s="49" t="str">
        <f t="shared" si="4"/>
        <v/>
      </c>
      <c r="F305" s="74"/>
      <c r="G305" s="74"/>
    </row>
    <row r="306" spans="1:7" ht="15.75" hidden="1" customHeight="1" thickBot="1" x14ac:dyDescent="0.3">
      <c r="A306" s="6"/>
      <c r="B306" s="10" t="s">
        <v>39</v>
      </c>
      <c r="C306" s="34"/>
      <c r="D306" s="50"/>
      <c r="E306" s="49" t="str">
        <f t="shared" si="4"/>
        <v/>
      </c>
      <c r="F306" s="74"/>
      <c r="G306" s="74"/>
    </row>
    <row r="307" spans="1:7" ht="15.75" hidden="1" customHeight="1" thickBot="1" x14ac:dyDescent="0.3">
      <c r="A307" s="6"/>
      <c r="B307" s="10" t="s">
        <v>39</v>
      </c>
      <c r="C307" s="34"/>
      <c r="D307" s="50"/>
      <c r="E307" s="49" t="str">
        <f t="shared" si="4"/>
        <v/>
      </c>
      <c r="F307" s="74"/>
      <c r="G307" s="74"/>
    </row>
    <row r="308" spans="1:7" ht="15.75" hidden="1" customHeight="1" thickBot="1" x14ac:dyDescent="0.3">
      <c r="A308" s="6"/>
      <c r="B308" s="10" t="s">
        <v>39</v>
      </c>
      <c r="C308" s="34"/>
      <c r="D308" s="50"/>
      <c r="E308" s="49" t="str">
        <f t="shared" si="4"/>
        <v/>
      </c>
      <c r="F308" s="74"/>
      <c r="G308" s="74"/>
    </row>
    <row r="309" spans="1:7" ht="15.75" hidden="1" customHeight="1" thickBot="1" x14ac:dyDescent="0.3">
      <c r="A309" s="6"/>
      <c r="B309" s="10" t="s">
        <v>39</v>
      </c>
      <c r="C309" s="34"/>
      <c r="D309" s="50"/>
      <c r="E309" s="49" t="str">
        <f t="shared" si="4"/>
        <v/>
      </c>
      <c r="F309" s="74"/>
      <c r="G309" s="74"/>
    </row>
    <row r="310" spans="1:7" ht="15.75" hidden="1" customHeight="1" thickBot="1" x14ac:dyDescent="0.3">
      <c r="A310" s="6"/>
      <c r="B310" s="10" t="s">
        <v>39</v>
      </c>
      <c r="C310" s="34"/>
      <c r="D310" s="50"/>
      <c r="E310" s="49" t="str">
        <f t="shared" si="4"/>
        <v/>
      </c>
      <c r="F310" s="74"/>
      <c r="G310" s="74"/>
    </row>
    <row r="311" spans="1:7" ht="15.75" hidden="1" customHeight="1" thickBot="1" x14ac:dyDescent="0.3">
      <c r="A311" s="6"/>
      <c r="B311" s="10" t="s">
        <v>39</v>
      </c>
      <c r="C311" s="34"/>
      <c r="D311" s="50"/>
      <c r="E311" s="49" t="str">
        <f t="shared" si="4"/>
        <v/>
      </c>
      <c r="F311" s="74"/>
      <c r="G311" s="74"/>
    </row>
    <row r="312" spans="1:7" ht="15.75" hidden="1" customHeight="1" thickBot="1" x14ac:dyDescent="0.3">
      <c r="A312" s="6"/>
      <c r="B312" s="10" t="s">
        <v>39</v>
      </c>
      <c r="C312" s="34"/>
      <c r="D312" s="50"/>
      <c r="E312" s="49" t="str">
        <f t="shared" si="4"/>
        <v/>
      </c>
      <c r="F312" s="74"/>
      <c r="G312" s="74"/>
    </row>
    <row r="313" spans="1:7" ht="15.75" hidden="1" customHeight="1" thickBot="1" x14ac:dyDescent="0.3">
      <c r="A313" s="6"/>
      <c r="B313" s="10" t="s">
        <v>39</v>
      </c>
      <c r="C313" s="34"/>
      <c r="D313" s="50"/>
      <c r="E313" s="49" t="str">
        <f t="shared" si="4"/>
        <v/>
      </c>
      <c r="F313" s="74"/>
      <c r="G313" s="74"/>
    </row>
    <row r="314" spans="1:7" ht="15.75" hidden="1" customHeight="1" thickBot="1" x14ac:dyDescent="0.3">
      <c r="A314" s="6"/>
      <c r="B314" s="10" t="s">
        <v>39</v>
      </c>
      <c r="C314" s="34"/>
      <c r="D314" s="50"/>
      <c r="E314" s="49" t="str">
        <f t="shared" si="4"/>
        <v/>
      </c>
      <c r="F314" s="74"/>
      <c r="G314" s="74"/>
    </row>
    <row r="315" spans="1:7" ht="15.75" hidden="1" customHeight="1" thickBot="1" x14ac:dyDescent="0.3">
      <c r="A315" s="6"/>
      <c r="B315" s="10" t="s">
        <v>39</v>
      </c>
      <c r="C315" s="34"/>
      <c r="D315" s="50"/>
      <c r="E315" s="49" t="str">
        <f t="shared" si="4"/>
        <v/>
      </c>
      <c r="F315" s="74"/>
      <c r="G315" s="74"/>
    </row>
    <row r="316" spans="1:7" ht="15.75" hidden="1" customHeight="1" thickBot="1" x14ac:dyDescent="0.3">
      <c r="A316" s="6"/>
      <c r="B316" s="10" t="s">
        <v>39</v>
      </c>
      <c r="C316" s="34"/>
      <c r="D316" s="50"/>
      <c r="E316" s="49" t="str">
        <f t="shared" si="4"/>
        <v/>
      </c>
      <c r="F316" s="74"/>
      <c r="G316" s="74"/>
    </row>
    <row r="317" spans="1:7" ht="15.75" hidden="1" customHeight="1" thickBot="1" x14ac:dyDescent="0.3">
      <c r="A317" s="6"/>
      <c r="B317" s="10" t="s">
        <v>39</v>
      </c>
      <c r="C317" s="34"/>
      <c r="D317" s="50"/>
      <c r="E317" s="49" t="str">
        <f t="shared" si="4"/>
        <v/>
      </c>
      <c r="F317" s="74"/>
      <c r="G317" s="74"/>
    </row>
    <row r="318" spans="1:7" ht="15.75" hidden="1" customHeight="1" thickBot="1" x14ac:dyDescent="0.3">
      <c r="A318" s="6"/>
      <c r="B318" s="10" t="s">
        <v>39</v>
      </c>
      <c r="C318" s="34"/>
      <c r="D318" s="50"/>
      <c r="E318" s="49" t="str">
        <f t="shared" si="4"/>
        <v/>
      </c>
      <c r="F318" s="74"/>
      <c r="G318" s="74"/>
    </row>
    <row r="319" spans="1:7" ht="15.75" hidden="1" customHeight="1" thickBot="1" x14ac:dyDescent="0.3">
      <c r="A319" s="6"/>
      <c r="B319" s="10" t="s">
        <v>39</v>
      </c>
      <c r="C319" s="34"/>
      <c r="D319" s="50"/>
      <c r="E319" s="49" t="str">
        <f t="shared" si="4"/>
        <v/>
      </c>
      <c r="F319" s="74"/>
      <c r="G319" s="74"/>
    </row>
    <row r="320" spans="1:7" ht="15.75" hidden="1" customHeight="1" thickBot="1" x14ac:dyDescent="0.3">
      <c r="A320" s="6"/>
      <c r="B320" s="10" t="s">
        <v>39</v>
      </c>
      <c r="C320" s="34"/>
      <c r="D320" s="50"/>
      <c r="E320" s="49" t="str">
        <f t="shared" si="4"/>
        <v/>
      </c>
      <c r="F320" s="74"/>
      <c r="G320" s="74"/>
    </row>
    <row r="321" spans="1:7" ht="15.75" hidden="1" customHeight="1" thickBot="1" x14ac:dyDescent="0.3">
      <c r="A321" s="6"/>
      <c r="B321" s="10" t="s">
        <v>39</v>
      </c>
      <c r="C321" s="34"/>
      <c r="D321" s="50"/>
      <c r="E321" s="49" t="str">
        <f t="shared" si="4"/>
        <v/>
      </c>
      <c r="F321" s="74"/>
      <c r="G321" s="74"/>
    </row>
    <row r="322" spans="1:7" ht="15.75" hidden="1" customHeight="1" thickBot="1" x14ac:dyDescent="0.3">
      <c r="A322" s="6"/>
      <c r="B322" s="10" t="s">
        <v>39</v>
      </c>
      <c r="C322" s="34"/>
      <c r="D322" s="50"/>
      <c r="E322" s="49" t="str">
        <f t="shared" si="4"/>
        <v/>
      </c>
      <c r="F322" s="74"/>
      <c r="G322" s="74"/>
    </row>
    <row r="323" spans="1:7" ht="15.75" hidden="1" customHeight="1" thickBot="1" x14ac:dyDescent="0.3">
      <c r="A323" s="6"/>
      <c r="B323" s="10" t="s">
        <v>39</v>
      </c>
      <c r="C323" s="34"/>
      <c r="D323" s="50"/>
      <c r="E323" s="49" t="str">
        <f t="shared" si="4"/>
        <v/>
      </c>
      <c r="F323" s="74"/>
      <c r="G323" s="74"/>
    </row>
    <row r="324" spans="1:7" ht="15.75" hidden="1" customHeight="1" thickBot="1" x14ac:dyDescent="0.3">
      <c r="A324" s="6"/>
      <c r="B324" s="10" t="s">
        <v>39</v>
      </c>
      <c r="C324" s="34"/>
      <c r="D324" s="50"/>
      <c r="E324" s="49" t="str">
        <f t="shared" si="4"/>
        <v/>
      </c>
      <c r="F324" s="74"/>
      <c r="G324" s="74"/>
    </row>
    <row r="325" spans="1:7" ht="15.75" hidden="1" customHeight="1" thickBot="1" x14ac:dyDescent="0.3">
      <c r="A325" s="6"/>
      <c r="B325" s="10" t="s">
        <v>39</v>
      </c>
      <c r="C325" s="34"/>
      <c r="D325" s="50"/>
      <c r="E325" s="49" t="str">
        <f t="shared" si="4"/>
        <v/>
      </c>
      <c r="F325" s="74"/>
      <c r="G325" s="74"/>
    </row>
    <row r="326" spans="1:7" ht="15.75" hidden="1" customHeight="1" thickBot="1" x14ac:dyDescent="0.3">
      <c r="A326" s="6"/>
      <c r="B326" s="10" t="s">
        <v>39</v>
      </c>
      <c r="C326" s="34"/>
      <c r="D326" s="50"/>
      <c r="E326" s="49" t="str">
        <f t="shared" si="4"/>
        <v/>
      </c>
      <c r="F326" s="74"/>
      <c r="G326" s="74"/>
    </row>
    <row r="327" spans="1:7" ht="15.75" hidden="1" customHeight="1" thickBot="1" x14ac:dyDescent="0.3">
      <c r="A327" s="6"/>
      <c r="B327" s="10" t="s">
        <v>39</v>
      </c>
      <c r="C327" s="34"/>
      <c r="D327" s="50"/>
      <c r="E327" s="49" t="str">
        <f t="shared" si="4"/>
        <v/>
      </c>
      <c r="F327" s="74"/>
      <c r="G327" s="74"/>
    </row>
    <row r="328" spans="1:7" ht="15.75" hidden="1" customHeight="1" thickBot="1" x14ac:dyDescent="0.3">
      <c r="A328" s="6"/>
      <c r="B328" s="10" t="s">
        <v>39</v>
      </c>
      <c r="C328" s="34"/>
      <c r="D328" s="50"/>
      <c r="E328" s="49" t="str">
        <f t="shared" ref="E328:E391" si="5">IF(C328="Active",IF(ISNUMBER(D328),D328-rToday,""),"")</f>
        <v/>
      </c>
      <c r="F328" s="74"/>
      <c r="G328" s="74"/>
    </row>
    <row r="329" spans="1:7" ht="15.75" hidden="1" customHeight="1" thickBot="1" x14ac:dyDescent="0.3">
      <c r="A329" s="6"/>
      <c r="B329" s="10" t="s">
        <v>39</v>
      </c>
      <c r="C329" s="34"/>
      <c r="D329" s="50"/>
      <c r="E329" s="49" t="str">
        <f t="shared" si="5"/>
        <v/>
      </c>
      <c r="F329" s="74"/>
      <c r="G329" s="74"/>
    </row>
    <row r="330" spans="1:7" ht="15.75" hidden="1" customHeight="1" thickBot="1" x14ac:dyDescent="0.3">
      <c r="A330" s="6"/>
      <c r="B330" s="10" t="s">
        <v>39</v>
      </c>
      <c r="C330" s="34"/>
      <c r="D330" s="50"/>
      <c r="E330" s="49" t="str">
        <f t="shared" si="5"/>
        <v/>
      </c>
      <c r="F330" s="74"/>
      <c r="G330" s="74"/>
    </row>
    <row r="331" spans="1:7" ht="15.75" hidden="1" customHeight="1" thickBot="1" x14ac:dyDescent="0.3">
      <c r="A331" s="6"/>
      <c r="B331" s="10" t="s">
        <v>39</v>
      </c>
      <c r="C331" s="34"/>
      <c r="D331" s="50"/>
      <c r="E331" s="49" t="str">
        <f t="shared" si="5"/>
        <v/>
      </c>
      <c r="F331" s="74"/>
      <c r="G331" s="74"/>
    </row>
    <row r="332" spans="1:7" ht="15.75" hidden="1" customHeight="1" thickBot="1" x14ac:dyDescent="0.3">
      <c r="A332" s="6"/>
      <c r="B332" s="10" t="s">
        <v>39</v>
      </c>
      <c r="C332" s="34"/>
      <c r="D332" s="50"/>
      <c r="E332" s="49" t="str">
        <f t="shared" si="5"/>
        <v/>
      </c>
      <c r="F332" s="74"/>
      <c r="G332" s="74"/>
    </row>
    <row r="333" spans="1:7" ht="15.75" hidden="1" customHeight="1" thickBot="1" x14ac:dyDescent="0.3">
      <c r="A333" s="6"/>
      <c r="B333" s="10" t="s">
        <v>39</v>
      </c>
      <c r="C333" s="34"/>
      <c r="D333" s="50"/>
      <c r="E333" s="49" t="str">
        <f t="shared" si="5"/>
        <v/>
      </c>
      <c r="F333" s="74"/>
      <c r="G333" s="74"/>
    </row>
    <row r="334" spans="1:7" ht="15.75" hidden="1" customHeight="1" thickBot="1" x14ac:dyDescent="0.3">
      <c r="A334" s="6"/>
      <c r="B334" s="10" t="s">
        <v>39</v>
      </c>
      <c r="C334" s="34"/>
      <c r="D334" s="50"/>
      <c r="E334" s="49" t="str">
        <f t="shared" si="5"/>
        <v/>
      </c>
      <c r="F334" s="74"/>
      <c r="G334" s="74"/>
    </row>
    <row r="335" spans="1:7" ht="15.75" hidden="1" customHeight="1" thickBot="1" x14ac:dyDescent="0.3">
      <c r="A335" s="6"/>
      <c r="B335" s="10" t="s">
        <v>39</v>
      </c>
      <c r="C335" s="34"/>
      <c r="D335" s="50"/>
      <c r="E335" s="49" t="str">
        <f t="shared" si="5"/>
        <v/>
      </c>
      <c r="F335" s="74"/>
      <c r="G335" s="74"/>
    </row>
    <row r="336" spans="1:7" ht="15.75" hidden="1" customHeight="1" thickBot="1" x14ac:dyDescent="0.3">
      <c r="A336" s="6"/>
      <c r="B336" s="10" t="s">
        <v>39</v>
      </c>
      <c r="C336" s="34"/>
      <c r="D336" s="50"/>
      <c r="E336" s="49" t="str">
        <f t="shared" si="5"/>
        <v/>
      </c>
      <c r="F336" s="74"/>
      <c r="G336" s="74"/>
    </row>
    <row r="337" spans="1:7" ht="15.75" hidden="1" customHeight="1" thickBot="1" x14ac:dyDescent="0.3">
      <c r="A337" s="6"/>
      <c r="B337" s="10" t="s">
        <v>39</v>
      </c>
      <c r="C337" s="34"/>
      <c r="D337" s="50"/>
      <c r="E337" s="49" t="str">
        <f t="shared" si="5"/>
        <v/>
      </c>
      <c r="F337" s="74"/>
      <c r="G337" s="74"/>
    </row>
    <row r="338" spans="1:7" ht="15.75" hidden="1" customHeight="1" thickBot="1" x14ac:dyDescent="0.3">
      <c r="A338" s="6"/>
      <c r="B338" s="10" t="s">
        <v>39</v>
      </c>
      <c r="C338" s="34"/>
      <c r="D338" s="50"/>
      <c r="E338" s="49" t="str">
        <f t="shared" si="5"/>
        <v/>
      </c>
      <c r="F338" s="74"/>
      <c r="G338" s="74"/>
    </row>
    <row r="339" spans="1:7" ht="15.75" hidden="1" customHeight="1" thickBot="1" x14ac:dyDescent="0.3">
      <c r="A339" s="6"/>
      <c r="B339" s="10" t="s">
        <v>39</v>
      </c>
      <c r="C339" s="34"/>
      <c r="D339" s="50"/>
      <c r="E339" s="49" t="str">
        <f t="shared" si="5"/>
        <v/>
      </c>
      <c r="F339" s="74"/>
      <c r="G339" s="74"/>
    </row>
    <row r="340" spans="1:7" ht="15.75" hidden="1" customHeight="1" thickBot="1" x14ac:dyDescent="0.3">
      <c r="A340" s="6"/>
      <c r="B340" s="10" t="s">
        <v>39</v>
      </c>
      <c r="C340" s="34"/>
      <c r="D340" s="50"/>
      <c r="E340" s="49" t="str">
        <f t="shared" si="5"/>
        <v/>
      </c>
      <c r="F340" s="74"/>
      <c r="G340" s="74"/>
    </row>
    <row r="341" spans="1:7" ht="15.75" hidden="1" customHeight="1" thickBot="1" x14ac:dyDescent="0.3">
      <c r="A341" s="6"/>
      <c r="B341" s="10" t="s">
        <v>39</v>
      </c>
      <c r="C341" s="34"/>
      <c r="D341" s="50"/>
      <c r="E341" s="49" t="str">
        <f t="shared" si="5"/>
        <v/>
      </c>
      <c r="F341" s="74"/>
      <c r="G341" s="74"/>
    </row>
    <row r="342" spans="1:7" ht="15.75" hidden="1" customHeight="1" thickBot="1" x14ac:dyDescent="0.3">
      <c r="A342" s="6"/>
      <c r="B342" s="10" t="s">
        <v>39</v>
      </c>
      <c r="C342" s="34"/>
      <c r="D342" s="50"/>
      <c r="E342" s="49" t="str">
        <f t="shared" si="5"/>
        <v/>
      </c>
      <c r="F342" s="74"/>
      <c r="G342" s="74"/>
    </row>
    <row r="343" spans="1:7" ht="15.75" hidden="1" customHeight="1" thickBot="1" x14ac:dyDescent="0.3">
      <c r="A343" s="6"/>
      <c r="B343" s="10" t="s">
        <v>39</v>
      </c>
      <c r="C343" s="34"/>
      <c r="D343" s="50"/>
      <c r="E343" s="49" t="str">
        <f t="shared" si="5"/>
        <v/>
      </c>
      <c r="F343" s="74"/>
      <c r="G343" s="74"/>
    </row>
    <row r="344" spans="1:7" ht="15.75" hidden="1" customHeight="1" thickBot="1" x14ac:dyDescent="0.3">
      <c r="A344" s="6"/>
      <c r="B344" s="10" t="s">
        <v>39</v>
      </c>
      <c r="C344" s="34"/>
      <c r="D344" s="50"/>
      <c r="E344" s="49" t="str">
        <f t="shared" si="5"/>
        <v/>
      </c>
      <c r="F344" s="74"/>
      <c r="G344" s="74"/>
    </row>
    <row r="345" spans="1:7" ht="15.75" hidden="1" customHeight="1" thickBot="1" x14ac:dyDescent="0.3">
      <c r="A345" s="6"/>
      <c r="B345" s="10" t="s">
        <v>39</v>
      </c>
      <c r="C345" s="34"/>
      <c r="D345" s="50"/>
      <c r="E345" s="49" t="str">
        <f t="shared" si="5"/>
        <v/>
      </c>
      <c r="F345" s="74"/>
      <c r="G345" s="74"/>
    </row>
    <row r="346" spans="1:7" ht="15.75" hidden="1" customHeight="1" thickBot="1" x14ac:dyDescent="0.3">
      <c r="A346" s="6"/>
      <c r="B346" s="10" t="s">
        <v>39</v>
      </c>
      <c r="C346" s="34"/>
      <c r="D346" s="50"/>
      <c r="E346" s="49" t="str">
        <f t="shared" si="5"/>
        <v/>
      </c>
      <c r="F346" s="74"/>
      <c r="G346" s="74"/>
    </row>
    <row r="347" spans="1:7" ht="15.75" hidden="1" customHeight="1" thickBot="1" x14ac:dyDescent="0.3">
      <c r="A347" s="6"/>
      <c r="B347" s="10" t="s">
        <v>39</v>
      </c>
      <c r="C347" s="34"/>
      <c r="D347" s="50"/>
      <c r="E347" s="49" t="str">
        <f t="shared" si="5"/>
        <v/>
      </c>
      <c r="F347" s="74"/>
      <c r="G347" s="74"/>
    </row>
    <row r="348" spans="1:7" ht="15.75" hidden="1" customHeight="1" thickBot="1" x14ac:dyDescent="0.3">
      <c r="A348" s="6"/>
      <c r="B348" s="10" t="s">
        <v>39</v>
      </c>
      <c r="C348" s="34"/>
      <c r="D348" s="50"/>
      <c r="E348" s="49" t="str">
        <f t="shared" si="5"/>
        <v/>
      </c>
      <c r="F348" s="74"/>
      <c r="G348" s="74"/>
    </row>
    <row r="349" spans="1:7" ht="15.75" hidden="1" customHeight="1" thickBot="1" x14ac:dyDescent="0.3">
      <c r="A349" s="6"/>
      <c r="B349" s="10" t="s">
        <v>39</v>
      </c>
      <c r="C349" s="34"/>
      <c r="D349" s="50"/>
      <c r="E349" s="49" t="str">
        <f t="shared" si="5"/>
        <v/>
      </c>
      <c r="F349" s="74"/>
      <c r="G349" s="74"/>
    </row>
    <row r="350" spans="1:7" ht="15.75" hidden="1" customHeight="1" thickBot="1" x14ac:dyDescent="0.3">
      <c r="A350" s="6"/>
      <c r="B350" s="10" t="s">
        <v>39</v>
      </c>
      <c r="C350" s="34"/>
      <c r="D350" s="50"/>
      <c r="E350" s="49" t="str">
        <f t="shared" si="5"/>
        <v/>
      </c>
      <c r="F350" s="74"/>
      <c r="G350" s="74"/>
    </row>
    <row r="351" spans="1:7" ht="15.75" hidden="1" customHeight="1" thickBot="1" x14ac:dyDescent="0.3">
      <c r="A351" s="6"/>
      <c r="B351" s="10" t="s">
        <v>39</v>
      </c>
      <c r="C351" s="34"/>
      <c r="D351" s="50"/>
      <c r="E351" s="49" t="str">
        <f t="shared" si="5"/>
        <v/>
      </c>
      <c r="F351" s="74"/>
      <c r="G351" s="74"/>
    </row>
    <row r="352" spans="1:7" ht="15.75" hidden="1" customHeight="1" thickBot="1" x14ac:dyDescent="0.3">
      <c r="A352" s="6"/>
      <c r="B352" s="10" t="s">
        <v>39</v>
      </c>
      <c r="C352" s="34"/>
      <c r="D352" s="50"/>
      <c r="E352" s="49" t="str">
        <f t="shared" si="5"/>
        <v/>
      </c>
      <c r="F352" s="74"/>
      <c r="G352" s="74"/>
    </row>
    <row r="353" spans="1:7" ht="15.75" hidden="1" customHeight="1" thickBot="1" x14ac:dyDescent="0.3">
      <c r="A353" s="6"/>
      <c r="B353" s="10" t="s">
        <v>39</v>
      </c>
      <c r="C353" s="34"/>
      <c r="D353" s="50"/>
      <c r="E353" s="49" t="str">
        <f t="shared" si="5"/>
        <v/>
      </c>
      <c r="F353" s="74"/>
      <c r="G353" s="74"/>
    </row>
    <row r="354" spans="1:7" ht="15.75" hidden="1" customHeight="1" thickBot="1" x14ac:dyDescent="0.3">
      <c r="A354" s="6"/>
      <c r="B354" s="10" t="s">
        <v>39</v>
      </c>
      <c r="C354" s="34"/>
      <c r="D354" s="50"/>
      <c r="E354" s="49" t="str">
        <f t="shared" si="5"/>
        <v/>
      </c>
      <c r="F354" s="74"/>
      <c r="G354" s="74"/>
    </row>
    <row r="355" spans="1:7" ht="15.75" hidden="1" customHeight="1" thickBot="1" x14ac:dyDescent="0.3">
      <c r="A355" s="6"/>
      <c r="B355" s="10" t="s">
        <v>39</v>
      </c>
      <c r="C355" s="34"/>
      <c r="D355" s="50"/>
      <c r="E355" s="49" t="str">
        <f t="shared" si="5"/>
        <v/>
      </c>
      <c r="F355" s="74"/>
      <c r="G355" s="74"/>
    </row>
    <row r="356" spans="1:7" ht="15.75" hidden="1" customHeight="1" thickBot="1" x14ac:dyDescent="0.3">
      <c r="A356" s="6"/>
      <c r="B356" s="10" t="s">
        <v>39</v>
      </c>
      <c r="C356" s="34"/>
      <c r="D356" s="50"/>
      <c r="E356" s="49" t="str">
        <f t="shared" si="5"/>
        <v/>
      </c>
      <c r="F356" s="74"/>
      <c r="G356" s="74"/>
    </row>
    <row r="357" spans="1:7" ht="15.75" hidden="1" customHeight="1" thickBot="1" x14ac:dyDescent="0.3">
      <c r="A357" s="6"/>
      <c r="B357" s="10" t="s">
        <v>39</v>
      </c>
      <c r="C357" s="34"/>
      <c r="D357" s="50"/>
      <c r="E357" s="49" t="str">
        <f t="shared" si="5"/>
        <v/>
      </c>
      <c r="F357" s="74"/>
      <c r="G357" s="74"/>
    </row>
    <row r="358" spans="1:7" ht="15.75" hidden="1" customHeight="1" thickBot="1" x14ac:dyDescent="0.3">
      <c r="A358" s="6"/>
      <c r="B358" s="10" t="s">
        <v>39</v>
      </c>
      <c r="C358" s="34"/>
      <c r="D358" s="50"/>
      <c r="E358" s="49" t="str">
        <f t="shared" si="5"/>
        <v/>
      </c>
      <c r="F358" s="74"/>
      <c r="G358" s="74"/>
    </row>
    <row r="359" spans="1:7" ht="15.75" hidden="1" customHeight="1" thickBot="1" x14ac:dyDescent="0.3">
      <c r="A359" s="6"/>
      <c r="B359" s="10" t="s">
        <v>39</v>
      </c>
      <c r="C359" s="34"/>
      <c r="D359" s="50"/>
      <c r="E359" s="49" t="str">
        <f t="shared" si="5"/>
        <v/>
      </c>
      <c r="F359" s="74"/>
      <c r="G359" s="74"/>
    </row>
    <row r="360" spans="1:7" ht="15.75" hidden="1" customHeight="1" thickBot="1" x14ac:dyDescent="0.3">
      <c r="A360" s="6"/>
      <c r="B360" s="10" t="s">
        <v>39</v>
      </c>
      <c r="C360" s="34"/>
      <c r="D360" s="50"/>
      <c r="E360" s="49" t="str">
        <f t="shared" si="5"/>
        <v/>
      </c>
      <c r="F360" s="74"/>
      <c r="G360" s="74"/>
    </row>
    <row r="361" spans="1:7" ht="15.75" hidden="1" customHeight="1" thickBot="1" x14ac:dyDescent="0.3">
      <c r="A361" s="6"/>
      <c r="B361" s="10" t="s">
        <v>39</v>
      </c>
      <c r="C361" s="34"/>
      <c r="D361" s="50"/>
      <c r="E361" s="49" t="str">
        <f t="shared" si="5"/>
        <v/>
      </c>
      <c r="F361" s="74"/>
      <c r="G361" s="74"/>
    </row>
    <row r="362" spans="1:7" ht="15.75" hidden="1" customHeight="1" thickBot="1" x14ac:dyDescent="0.3">
      <c r="A362" s="6"/>
      <c r="B362" s="10" t="s">
        <v>39</v>
      </c>
      <c r="C362" s="34"/>
      <c r="D362" s="50"/>
      <c r="E362" s="49" t="str">
        <f t="shared" si="5"/>
        <v/>
      </c>
      <c r="F362" s="74"/>
      <c r="G362" s="74"/>
    </row>
    <row r="363" spans="1:7" ht="15.75" hidden="1" customHeight="1" thickBot="1" x14ac:dyDescent="0.3">
      <c r="A363" s="6"/>
      <c r="B363" s="10" t="s">
        <v>39</v>
      </c>
      <c r="C363" s="34"/>
      <c r="D363" s="50"/>
      <c r="E363" s="49" t="str">
        <f t="shared" si="5"/>
        <v/>
      </c>
      <c r="F363" s="74"/>
      <c r="G363" s="74"/>
    </row>
    <row r="364" spans="1:7" ht="15.75" hidden="1" customHeight="1" thickBot="1" x14ac:dyDescent="0.3">
      <c r="A364" s="6"/>
      <c r="B364" s="10" t="s">
        <v>39</v>
      </c>
      <c r="C364" s="34"/>
      <c r="D364" s="50"/>
      <c r="E364" s="49" t="str">
        <f t="shared" si="5"/>
        <v/>
      </c>
      <c r="F364" s="74"/>
      <c r="G364" s="74"/>
    </row>
    <row r="365" spans="1:7" ht="15.75" hidden="1" customHeight="1" thickBot="1" x14ac:dyDescent="0.3">
      <c r="A365" s="6"/>
      <c r="B365" s="10" t="s">
        <v>39</v>
      </c>
      <c r="C365" s="34"/>
      <c r="D365" s="50"/>
      <c r="E365" s="49" t="str">
        <f t="shared" si="5"/>
        <v/>
      </c>
      <c r="F365" s="74"/>
      <c r="G365" s="74"/>
    </row>
    <row r="366" spans="1:7" ht="15.75" hidden="1" customHeight="1" thickBot="1" x14ac:dyDescent="0.3">
      <c r="A366" s="6"/>
      <c r="B366" s="10" t="s">
        <v>39</v>
      </c>
      <c r="C366" s="34"/>
      <c r="D366" s="50"/>
      <c r="E366" s="49" t="str">
        <f t="shared" si="5"/>
        <v/>
      </c>
      <c r="F366" s="74"/>
      <c r="G366" s="74"/>
    </row>
    <row r="367" spans="1:7" ht="15.75" hidden="1" customHeight="1" thickBot="1" x14ac:dyDescent="0.3">
      <c r="A367" s="6"/>
      <c r="B367" s="10" t="s">
        <v>39</v>
      </c>
      <c r="C367" s="34"/>
      <c r="D367" s="50"/>
      <c r="E367" s="49" t="str">
        <f t="shared" si="5"/>
        <v/>
      </c>
      <c r="F367" s="74"/>
      <c r="G367" s="74"/>
    </row>
    <row r="368" spans="1:7" ht="15.75" hidden="1" customHeight="1" thickBot="1" x14ac:dyDescent="0.3">
      <c r="A368" s="6"/>
      <c r="B368" s="10" t="s">
        <v>39</v>
      </c>
      <c r="C368" s="34"/>
      <c r="D368" s="50"/>
      <c r="E368" s="49" t="str">
        <f t="shared" si="5"/>
        <v/>
      </c>
      <c r="F368" s="74"/>
      <c r="G368" s="74"/>
    </row>
    <row r="369" spans="1:7" ht="15.75" hidden="1" customHeight="1" thickBot="1" x14ac:dyDescent="0.3">
      <c r="A369" s="6"/>
      <c r="B369" s="10" t="s">
        <v>39</v>
      </c>
      <c r="C369" s="34"/>
      <c r="D369" s="50"/>
      <c r="E369" s="49" t="str">
        <f t="shared" si="5"/>
        <v/>
      </c>
      <c r="F369" s="74"/>
      <c r="G369" s="74"/>
    </row>
    <row r="370" spans="1:7" ht="15.75" hidden="1" customHeight="1" thickBot="1" x14ac:dyDescent="0.3">
      <c r="A370" s="6"/>
      <c r="B370" s="10" t="s">
        <v>39</v>
      </c>
      <c r="C370" s="34"/>
      <c r="D370" s="50"/>
      <c r="E370" s="49" t="str">
        <f t="shared" si="5"/>
        <v/>
      </c>
      <c r="F370" s="74"/>
      <c r="G370" s="74"/>
    </row>
    <row r="371" spans="1:7" ht="15.75" hidden="1" customHeight="1" thickBot="1" x14ac:dyDescent="0.3">
      <c r="A371" s="6"/>
      <c r="B371" s="10" t="s">
        <v>39</v>
      </c>
      <c r="C371" s="34"/>
      <c r="D371" s="50"/>
      <c r="E371" s="49" t="str">
        <f t="shared" si="5"/>
        <v/>
      </c>
      <c r="F371" s="74"/>
      <c r="G371" s="74"/>
    </row>
    <row r="372" spans="1:7" ht="15.75" hidden="1" customHeight="1" thickBot="1" x14ac:dyDescent="0.3">
      <c r="A372" s="6"/>
      <c r="B372" s="10" t="s">
        <v>39</v>
      </c>
      <c r="C372" s="34"/>
      <c r="D372" s="50"/>
      <c r="E372" s="49" t="str">
        <f t="shared" si="5"/>
        <v/>
      </c>
      <c r="F372" s="74"/>
      <c r="G372" s="74"/>
    </row>
    <row r="373" spans="1:7" ht="15.75" hidden="1" customHeight="1" thickBot="1" x14ac:dyDescent="0.3">
      <c r="A373" s="6"/>
      <c r="B373" s="10" t="s">
        <v>39</v>
      </c>
      <c r="C373" s="34"/>
      <c r="D373" s="50"/>
      <c r="E373" s="49" t="str">
        <f t="shared" si="5"/>
        <v/>
      </c>
      <c r="F373" s="74"/>
      <c r="G373" s="74"/>
    </row>
    <row r="374" spans="1:7" ht="15.75" hidden="1" customHeight="1" thickBot="1" x14ac:dyDescent="0.3">
      <c r="A374" s="6"/>
      <c r="B374" s="10" t="s">
        <v>39</v>
      </c>
      <c r="C374" s="34"/>
      <c r="D374" s="50"/>
      <c r="E374" s="49" t="str">
        <f t="shared" si="5"/>
        <v/>
      </c>
      <c r="F374" s="74"/>
      <c r="G374" s="74"/>
    </row>
    <row r="375" spans="1:7" ht="15.75" hidden="1" customHeight="1" thickBot="1" x14ac:dyDescent="0.3">
      <c r="A375" s="6"/>
      <c r="B375" s="10" t="s">
        <v>39</v>
      </c>
      <c r="C375" s="34"/>
      <c r="D375" s="50"/>
      <c r="E375" s="49" t="str">
        <f t="shared" si="5"/>
        <v/>
      </c>
      <c r="F375" s="74"/>
      <c r="G375" s="74"/>
    </row>
    <row r="376" spans="1:7" ht="15.75" hidden="1" customHeight="1" thickBot="1" x14ac:dyDescent="0.3">
      <c r="A376" s="6"/>
      <c r="B376" s="10" t="s">
        <v>39</v>
      </c>
      <c r="C376" s="34"/>
      <c r="D376" s="50"/>
      <c r="E376" s="49" t="str">
        <f t="shared" si="5"/>
        <v/>
      </c>
      <c r="F376" s="74"/>
      <c r="G376" s="74"/>
    </row>
    <row r="377" spans="1:7" ht="15.75" hidden="1" customHeight="1" thickBot="1" x14ac:dyDescent="0.3">
      <c r="A377" s="6"/>
      <c r="B377" s="10" t="s">
        <v>39</v>
      </c>
      <c r="C377" s="34"/>
      <c r="D377" s="50"/>
      <c r="E377" s="49" t="str">
        <f t="shared" si="5"/>
        <v/>
      </c>
      <c r="F377" s="74"/>
      <c r="G377" s="74"/>
    </row>
    <row r="378" spans="1:7" ht="15.75" hidden="1" customHeight="1" thickBot="1" x14ac:dyDescent="0.3">
      <c r="A378" s="6"/>
      <c r="B378" s="10" t="s">
        <v>39</v>
      </c>
      <c r="C378" s="34"/>
      <c r="D378" s="50"/>
      <c r="E378" s="49" t="str">
        <f t="shared" si="5"/>
        <v/>
      </c>
      <c r="F378" s="74"/>
      <c r="G378" s="74"/>
    </row>
    <row r="379" spans="1:7" ht="15.75" hidden="1" customHeight="1" thickBot="1" x14ac:dyDescent="0.3">
      <c r="A379" s="6"/>
      <c r="B379" s="10" t="s">
        <v>39</v>
      </c>
      <c r="C379" s="34"/>
      <c r="D379" s="50"/>
      <c r="E379" s="49" t="str">
        <f t="shared" si="5"/>
        <v/>
      </c>
      <c r="F379" s="74"/>
      <c r="G379" s="74"/>
    </row>
    <row r="380" spans="1:7" ht="15.75" hidden="1" customHeight="1" thickBot="1" x14ac:dyDescent="0.3">
      <c r="A380" s="6"/>
      <c r="B380" s="10" t="s">
        <v>39</v>
      </c>
      <c r="C380" s="34"/>
      <c r="D380" s="50"/>
      <c r="E380" s="49" t="str">
        <f t="shared" si="5"/>
        <v/>
      </c>
      <c r="F380" s="74"/>
      <c r="G380" s="74"/>
    </row>
    <row r="381" spans="1:7" ht="15.75" hidden="1" customHeight="1" thickBot="1" x14ac:dyDescent="0.3">
      <c r="A381" s="6"/>
      <c r="B381" s="10" t="s">
        <v>39</v>
      </c>
      <c r="C381" s="34"/>
      <c r="D381" s="50"/>
      <c r="E381" s="49" t="str">
        <f t="shared" si="5"/>
        <v/>
      </c>
      <c r="F381" s="74"/>
      <c r="G381" s="74"/>
    </row>
    <row r="382" spans="1:7" ht="15.75" hidden="1" customHeight="1" thickBot="1" x14ac:dyDescent="0.3">
      <c r="A382" s="6"/>
      <c r="B382" s="10" t="s">
        <v>39</v>
      </c>
      <c r="C382" s="34"/>
      <c r="D382" s="50"/>
      <c r="E382" s="49" t="str">
        <f t="shared" si="5"/>
        <v/>
      </c>
      <c r="F382" s="74"/>
      <c r="G382" s="74"/>
    </row>
    <row r="383" spans="1:7" ht="15.75" hidden="1" customHeight="1" thickBot="1" x14ac:dyDescent="0.3">
      <c r="A383" s="6"/>
      <c r="B383" s="10" t="s">
        <v>39</v>
      </c>
      <c r="C383" s="34"/>
      <c r="D383" s="50"/>
      <c r="E383" s="49" t="str">
        <f t="shared" si="5"/>
        <v/>
      </c>
      <c r="F383" s="74"/>
      <c r="G383" s="74"/>
    </row>
    <row r="384" spans="1:7" ht="15.75" hidden="1" customHeight="1" thickBot="1" x14ac:dyDescent="0.3">
      <c r="A384" s="6"/>
      <c r="B384" s="10" t="s">
        <v>39</v>
      </c>
      <c r="C384" s="34"/>
      <c r="D384" s="50"/>
      <c r="E384" s="49" t="str">
        <f t="shared" si="5"/>
        <v/>
      </c>
      <c r="F384" s="74"/>
      <c r="G384" s="74"/>
    </row>
    <row r="385" spans="1:7" ht="15.75" hidden="1" customHeight="1" thickBot="1" x14ac:dyDescent="0.3">
      <c r="A385" s="6"/>
      <c r="B385" s="10" t="s">
        <v>39</v>
      </c>
      <c r="C385" s="34"/>
      <c r="D385" s="50"/>
      <c r="E385" s="49" t="str">
        <f t="shared" si="5"/>
        <v/>
      </c>
      <c r="F385" s="74"/>
      <c r="G385" s="74"/>
    </row>
    <row r="386" spans="1:7" ht="15.75" hidden="1" customHeight="1" thickBot="1" x14ac:dyDescent="0.3">
      <c r="A386" s="6"/>
      <c r="B386" s="10" t="s">
        <v>39</v>
      </c>
      <c r="C386" s="34"/>
      <c r="D386" s="50"/>
      <c r="E386" s="49" t="str">
        <f t="shared" si="5"/>
        <v/>
      </c>
      <c r="F386" s="74"/>
      <c r="G386" s="74"/>
    </row>
    <row r="387" spans="1:7" ht="15.75" hidden="1" customHeight="1" thickBot="1" x14ac:dyDescent="0.3">
      <c r="A387" s="6"/>
      <c r="B387" s="10" t="s">
        <v>39</v>
      </c>
      <c r="C387" s="34"/>
      <c r="D387" s="50"/>
      <c r="E387" s="49" t="str">
        <f t="shared" si="5"/>
        <v/>
      </c>
      <c r="F387" s="74"/>
      <c r="G387" s="74"/>
    </row>
    <row r="388" spans="1:7" ht="15.75" hidden="1" customHeight="1" thickBot="1" x14ac:dyDescent="0.3">
      <c r="A388" s="6"/>
      <c r="B388" s="10" t="s">
        <v>39</v>
      </c>
      <c r="C388" s="34"/>
      <c r="D388" s="50"/>
      <c r="E388" s="49" t="str">
        <f t="shared" si="5"/>
        <v/>
      </c>
      <c r="F388" s="74"/>
      <c r="G388" s="74"/>
    </row>
    <row r="389" spans="1:7" ht="15.75" hidden="1" customHeight="1" thickBot="1" x14ac:dyDescent="0.3">
      <c r="A389" s="6"/>
      <c r="B389" s="10" t="s">
        <v>39</v>
      </c>
      <c r="C389" s="34"/>
      <c r="D389" s="50"/>
      <c r="E389" s="49" t="str">
        <f t="shared" si="5"/>
        <v/>
      </c>
      <c r="F389" s="74"/>
      <c r="G389" s="74"/>
    </row>
    <row r="390" spans="1:7" ht="15.75" hidden="1" customHeight="1" thickBot="1" x14ac:dyDescent="0.3">
      <c r="A390" s="6"/>
      <c r="B390" s="10" t="s">
        <v>39</v>
      </c>
      <c r="C390" s="34"/>
      <c r="D390" s="50"/>
      <c r="E390" s="49" t="str">
        <f t="shared" si="5"/>
        <v/>
      </c>
      <c r="F390" s="74"/>
      <c r="G390" s="74"/>
    </row>
    <row r="391" spans="1:7" ht="15.75" hidden="1" customHeight="1" thickBot="1" x14ac:dyDescent="0.3">
      <c r="A391" s="6"/>
      <c r="B391" s="10" t="s">
        <v>39</v>
      </c>
      <c r="C391" s="34"/>
      <c r="D391" s="50"/>
      <c r="E391" s="49" t="str">
        <f t="shared" si="5"/>
        <v/>
      </c>
      <c r="F391" s="74"/>
      <c r="G391" s="74"/>
    </row>
    <row r="392" spans="1:7" ht="15.75" hidden="1" customHeight="1" thickBot="1" x14ac:dyDescent="0.3">
      <c r="A392" s="6"/>
      <c r="B392" s="10" t="s">
        <v>39</v>
      </c>
      <c r="C392" s="34"/>
      <c r="D392" s="50"/>
      <c r="E392" s="49" t="str">
        <f t="shared" ref="E392:E455" si="6">IF(C392="Active",IF(ISNUMBER(D392),D392-rToday,""),"")</f>
        <v/>
      </c>
      <c r="F392" s="74"/>
      <c r="G392" s="74"/>
    </row>
    <row r="393" spans="1:7" ht="15.75" hidden="1" customHeight="1" thickBot="1" x14ac:dyDescent="0.3">
      <c r="A393" s="6"/>
      <c r="B393" s="10" t="s">
        <v>39</v>
      </c>
      <c r="C393" s="34"/>
      <c r="D393" s="50"/>
      <c r="E393" s="49" t="str">
        <f t="shared" si="6"/>
        <v/>
      </c>
      <c r="F393" s="74"/>
      <c r="G393" s="74"/>
    </row>
    <row r="394" spans="1:7" ht="15.75" hidden="1" customHeight="1" thickBot="1" x14ac:dyDescent="0.3">
      <c r="A394" s="6"/>
      <c r="B394" s="10" t="s">
        <v>39</v>
      </c>
      <c r="C394" s="34"/>
      <c r="D394" s="50"/>
      <c r="E394" s="49" t="str">
        <f t="shared" si="6"/>
        <v/>
      </c>
      <c r="F394" s="74"/>
      <c r="G394" s="74"/>
    </row>
    <row r="395" spans="1:7" ht="15.75" hidden="1" customHeight="1" thickBot="1" x14ac:dyDescent="0.3">
      <c r="A395" s="6"/>
      <c r="B395" s="10" t="s">
        <v>39</v>
      </c>
      <c r="C395" s="34"/>
      <c r="D395" s="50"/>
      <c r="E395" s="49" t="str">
        <f t="shared" si="6"/>
        <v/>
      </c>
      <c r="F395" s="74"/>
      <c r="G395" s="74"/>
    </row>
    <row r="396" spans="1:7" ht="15.75" hidden="1" customHeight="1" thickBot="1" x14ac:dyDescent="0.3">
      <c r="A396" s="6"/>
      <c r="B396" s="10" t="s">
        <v>39</v>
      </c>
      <c r="C396" s="34"/>
      <c r="D396" s="50"/>
      <c r="E396" s="49" t="str">
        <f t="shared" si="6"/>
        <v/>
      </c>
      <c r="F396" s="74"/>
      <c r="G396" s="74"/>
    </row>
    <row r="397" spans="1:7" ht="15.75" hidden="1" customHeight="1" thickBot="1" x14ac:dyDescent="0.3">
      <c r="A397" s="6"/>
      <c r="B397" s="10" t="s">
        <v>39</v>
      </c>
      <c r="C397" s="34"/>
      <c r="D397" s="50"/>
      <c r="E397" s="49" t="str">
        <f t="shared" si="6"/>
        <v/>
      </c>
      <c r="F397" s="74"/>
      <c r="G397" s="74"/>
    </row>
    <row r="398" spans="1:7" ht="15.75" hidden="1" customHeight="1" thickBot="1" x14ac:dyDescent="0.3">
      <c r="A398" s="6"/>
      <c r="B398" s="10" t="s">
        <v>39</v>
      </c>
      <c r="C398" s="34"/>
      <c r="D398" s="50"/>
      <c r="E398" s="49" t="str">
        <f t="shared" si="6"/>
        <v/>
      </c>
      <c r="F398" s="74"/>
      <c r="G398" s="74"/>
    </row>
    <row r="399" spans="1:7" ht="15.75" hidden="1" customHeight="1" thickBot="1" x14ac:dyDescent="0.3">
      <c r="A399" s="6"/>
      <c r="B399" s="10" t="s">
        <v>39</v>
      </c>
      <c r="C399" s="34"/>
      <c r="D399" s="50"/>
      <c r="E399" s="49" t="str">
        <f t="shared" si="6"/>
        <v/>
      </c>
      <c r="F399" s="74"/>
      <c r="G399" s="74"/>
    </row>
    <row r="400" spans="1:7" ht="15.75" hidden="1" customHeight="1" thickBot="1" x14ac:dyDescent="0.3">
      <c r="A400" s="6"/>
      <c r="B400" s="10" t="s">
        <v>39</v>
      </c>
      <c r="C400" s="34"/>
      <c r="D400" s="50"/>
      <c r="E400" s="49" t="str">
        <f t="shared" si="6"/>
        <v/>
      </c>
      <c r="F400" s="74"/>
      <c r="G400" s="74"/>
    </row>
    <row r="401" spans="1:7" ht="15.75" hidden="1" customHeight="1" thickBot="1" x14ac:dyDescent="0.3">
      <c r="A401" s="6"/>
      <c r="B401" s="10" t="s">
        <v>39</v>
      </c>
      <c r="C401" s="34"/>
      <c r="D401" s="50"/>
      <c r="E401" s="49" t="str">
        <f t="shared" si="6"/>
        <v/>
      </c>
      <c r="F401" s="74"/>
      <c r="G401" s="74"/>
    </row>
    <row r="402" spans="1:7" ht="15.75" hidden="1" customHeight="1" thickBot="1" x14ac:dyDescent="0.3">
      <c r="A402" s="6"/>
      <c r="B402" s="10" t="s">
        <v>39</v>
      </c>
      <c r="C402" s="34"/>
      <c r="D402" s="50"/>
      <c r="E402" s="49" t="str">
        <f t="shared" si="6"/>
        <v/>
      </c>
      <c r="F402" s="74"/>
      <c r="G402" s="74"/>
    </row>
    <row r="403" spans="1:7" ht="15.75" hidden="1" customHeight="1" thickBot="1" x14ac:dyDescent="0.3">
      <c r="A403" s="6"/>
      <c r="B403" s="10" t="s">
        <v>39</v>
      </c>
      <c r="C403" s="34"/>
      <c r="D403" s="50"/>
      <c r="E403" s="49" t="str">
        <f t="shared" si="6"/>
        <v/>
      </c>
      <c r="F403" s="74"/>
      <c r="G403" s="74"/>
    </row>
    <row r="404" spans="1:7" ht="15.75" hidden="1" customHeight="1" thickBot="1" x14ac:dyDescent="0.3">
      <c r="A404" s="6"/>
      <c r="B404" s="10" t="s">
        <v>39</v>
      </c>
      <c r="C404" s="34"/>
      <c r="D404" s="50"/>
      <c r="E404" s="49" t="str">
        <f t="shared" si="6"/>
        <v/>
      </c>
      <c r="F404" s="74"/>
      <c r="G404" s="74"/>
    </row>
    <row r="405" spans="1:7" ht="15.75" hidden="1" customHeight="1" thickBot="1" x14ac:dyDescent="0.3">
      <c r="A405" s="6"/>
      <c r="B405" s="10" t="s">
        <v>39</v>
      </c>
      <c r="C405" s="34"/>
      <c r="D405" s="50"/>
      <c r="E405" s="49" t="str">
        <f t="shared" si="6"/>
        <v/>
      </c>
      <c r="F405" s="74"/>
      <c r="G405" s="74"/>
    </row>
    <row r="406" spans="1:7" ht="15.75" hidden="1" customHeight="1" thickBot="1" x14ac:dyDescent="0.3">
      <c r="A406" s="6"/>
      <c r="B406" s="10" t="s">
        <v>39</v>
      </c>
      <c r="C406" s="34"/>
      <c r="D406" s="50"/>
      <c r="E406" s="49" t="str">
        <f t="shared" si="6"/>
        <v/>
      </c>
      <c r="F406" s="74"/>
      <c r="G406" s="74"/>
    </row>
    <row r="407" spans="1:7" ht="15.75" hidden="1" customHeight="1" thickBot="1" x14ac:dyDescent="0.3">
      <c r="A407" s="6"/>
      <c r="B407" s="10" t="s">
        <v>39</v>
      </c>
      <c r="C407" s="34"/>
      <c r="D407" s="50"/>
      <c r="E407" s="49" t="str">
        <f t="shared" si="6"/>
        <v/>
      </c>
      <c r="F407" s="74"/>
      <c r="G407" s="74"/>
    </row>
    <row r="408" spans="1:7" ht="15.75" hidden="1" customHeight="1" thickBot="1" x14ac:dyDescent="0.3">
      <c r="A408" s="6"/>
      <c r="B408" s="10" t="s">
        <v>39</v>
      </c>
      <c r="C408" s="34"/>
      <c r="D408" s="50"/>
      <c r="E408" s="49" t="str">
        <f t="shared" si="6"/>
        <v/>
      </c>
      <c r="F408" s="74"/>
      <c r="G408" s="74"/>
    </row>
    <row r="409" spans="1:7" ht="15.75" hidden="1" customHeight="1" thickBot="1" x14ac:dyDescent="0.3">
      <c r="A409" s="6"/>
      <c r="B409" s="10" t="s">
        <v>39</v>
      </c>
      <c r="C409" s="34"/>
      <c r="D409" s="50"/>
      <c r="E409" s="49" t="str">
        <f t="shared" si="6"/>
        <v/>
      </c>
      <c r="F409" s="74"/>
      <c r="G409" s="74"/>
    </row>
    <row r="410" spans="1:7" ht="15.75" hidden="1" customHeight="1" thickBot="1" x14ac:dyDescent="0.3">
      <c r="A410" s="6"/>
      <c r="B410" s="10" t="s">
        <v>39</v>
      </c>
      <c r="C410" s="34"/>
      <c r="D410" s="50"/>
      <c r="E410" s="49" t="str">
        <f t="shared" si="6"/>
        <v/>
      </c>
      <c r="F410" s="74"/>
      <c r="G410" s="74"/>
    </row>
    <row r="411" spans="1:7" ht="15.75" hidden="1" customHeight="1" thickBot="1" x14ac:dyDescent="0.3">
      <c r="A411" s="6"/>
      <c r="B411" s="10" t="s">
        <v>39</v>
      </c>
      <c r="C411" s="34"/>
      <c r="D411" s="50"/>
      <c r="E411" s="49" t="str">
        <f t="shared" si="6"/>
        <v/>
      </c>
      <c r="F411" s="74"/>
      <c r="G411" s="74"/>
    </row>
    <row r="412" spans="1:7" ht="15.75" hidden="1" customHeight="1" thickBot="1" x14ac:dyDescent="0.3">
      <c r="A412" s="6"/>
      <c r="B412" s="10" t="s">
        <v>39</v>
      </c>
      <c r="C412" s="34"/>
      <c r="D412" s="50"/>
      <c r="E412" s="49" t="str">
        <f t="shared" si="6"/>
        <v/>
      </c>
      <c r="F412" s="74"/>
      <c r="G412" s="74"/>
    </row>
    <row r="413" spans="1:7" ht="15.75" hidden="1" customHeight="1" thickBot="1" x14ac:dyDescent="0.3">
      <c r="A413" s="6"/>
      <c r="B413" s="10" t="s">
        <v>39</v>
      </c>
      <c r="C413" s="34"/>
      <c r="D413" s="50"/>
      <c r="E413" s="49" t="str">
        <f t="shared" si="6"/>
        <v/>
      </c>
      <c r="F413" s="74"/>
      <c r="G413" s="74"/>
    </row>
    <row r="414" spans="1:7" ht="15.75" hidden="1" customHeight="1" thickBot="1" x14ac:dyDescent="0.3">
      <c r="A414" s="6"/>
      <c r="B414" s="10" t="s">
        <v>39</v>
      </c>
      <c r="C414" s="34"/>
      <c r="D414" s="50"/>
      <c r="E414" s="49" t="str">
        <f t="shared" si="6"/>
        <v/>
      </c>
      <c r="F414" s="74"/>
      <c r="G414" s="74"/>
    </row>
    <row r="415" spans="1:7" ht="15.75" hidden="1" customHeight="1" thickBot="1" x14ac:dyDescent="0.3">
      <c r="A415" s="6"/>
      <c r="B415" s="10" t="s">
        <v>39</v>
      </c>
      <c r="C415" s="34"/>
      <c r="D415" s="50"/>
      <c r="E415" s="49" t="str">
        <f t="shared" si="6"/>
        <v/>
      </c>
      <c r="F415" s="74"/>
      <c r="G415" s="74"/>
    </row>
    <row r="416" spans="1:7" ht="15.75" hidden="1" customHeight="1" thickBot="1" x14ac:dyDescent="0.3">
      <c r="A416" s="6"/>
      <c r="B416" s="10" t="s">
        <v>39</v>
      </c>
      <c r="C416" s="34"/>
      <c r="D416" s="50"/>
      <c r="E416" s="49" t="str">
        <f t="shared" si="6"/>
        <v/>
      </c>
      <c r="F416" s="74"/>
      <c r="G416" s="74"/>
    </row>
    <row r="417" spans="1:7" ht="15.75" hidden="1" customHeight="1" thickBot="1" x14ac:dyDescent="0.3">
      <c r="A417" s="6"/>
      <c r="B417" s="10" t="s">
        <v>39</v>
      </c>
      <c r="C417" s="34"/>
      <c r="D417" s="50"/>
      <c r="E417" s="49" t="str">
        <f t="shared" si="6"/>
        <v/>
      </c>
      <c r="F417" s="74"/>
      <c r="G417" s="74"/>
    </row>
    <row r="418" spans="1:7" ht="15.75" hidden="1" customHeight="1" thickBot="1" x14ac:dyDescent="0.3">
      <c r="A418" s="6"/>
      <c r="B418" s="10" t="s">
        <v>39</v>
      </c>
      <c r="C418" s="34"/>
      <c r="D418" s="50"/>
      <c r="E418" s="49" t="str">
        <f t="shared" si="6"/>
        <v/>
      </c>
      <c r="F418" s="74"/>
      <c r="G418" s="74"/>
    </row>
    <row r="419" spans="1:7" ht="15.75" hidden="1" customHeight="1" thickBot="1" x14ac:dyDescent="0.3">
      <c r="A419" s="6"/>
      <c r="B419" s="10" t="s">
        <v>39</v>
      </c>
      <c r="C419" s="34"/>
      <c r="D419" s="50"/>
      <c r="E419" s="49" t="str">
        <f t="shared" si="6"/>
        <v/>
      </c>
      <c r="F419" s="74"/>
      <c r="G419" s="74"/>
    </row>
    <row r="420" spans="1:7" ht="15.75" hidden="1" customHeight="1" thickBot="1" x14ac:dyDescent="0.3">
      <c r="A420" s="6"/>
      <c r="B420" s="10" t="s">
        <v>39</v>
      </c>
      <c r="C420" s="34"/>
      <c r="D420" s="50"/>
      <c r="E420" s="49" t="str">
        <f t="shared" si="6"/>
        <v/>
      </c>
      <c r="F420" s="74"/>
      <c r="G420" s="74"/>
    </row>
    <row r="421" spans="1:7" ht="15.75" hidden="1" customHeight="1" thickBot="1" x14ac:dyDescent="0.3">
      <c r="A421" s="6"/>
      <c r="B421" s="10" t="s">
        <v>39</v>
      </c>
      <c r="C421" s="34"/>
      <c r="D421" s="50"/>
      <c r="E421" s="49" t="str">
        <f t="shared" si="6"/>
        <v/>
      </c>
      <c r="F421" s="74"/>
      <c r="G421" s="74"/>
    </row>
    <row r="422" spans="1:7" ht="15.75" hidden="1" customHeight="1" thickBot="1" x14ac:dyDescent="0.3">
      <c r="A422" s="6"/>
      <c r="B422" s="10" t="s">
        <v>39</v>
      </c>
      <c r="C422" s="34"/>
      <c r="D422" s="50"/>
      <c r="E422" s="49" t="str">
        <f t="shared" si="6"/>
        <v/>
      </c>
      <c r="F422" s="74"/>
      <c r="G422" s="74"/>
    </row>
    <row r="423" spans="1:7" ht="15.75" hidden="1" customHeight="1" thickBot="1" x14ac:dyDescent="0.3">
      <c r="A423" s="6"/>
      <c r="B423" s="10" t="s">
        <v>39</v>
      </c>
      <c r="C423" s="34"/>
      <c r="D423" s="50"/>
      <c r="E423" s="49" t="str">
        <f t="shared" si="6"/>
        <v/>
      </c>
      <c r="F423" s="74"/>
      <c r="G423" s="74"/>
    </row>
    <row r="424" spans="1:7" ht="15.75" hidden="1" customHeight="1" thickBot="1" x14ac:dyDescent="0.3">
      <c r="A424" s="6"/>
      <c r="B424" s="10" t="s">
        <v>39</v>
      </c>
      <c r="C424" s="34"/>
      <c r="D424" s="50"/>
      <c r="E424" s="49" t="str">
        <f t="shared" si="6"/>
        <v/>
      </c>
      <c r="F424" s="74"/>
      <c r="G424" s="74"/>
    </row>
    <row r="425" spans="1:7" ht="15.75" hidden="1" customHeight="1" thickBot="1" x14ac:dyDescent="0.3">
      <c r="A425" s="6"/>
      <c r="B425" s="10" t="s">
        <v>39</v>
      </c>
      <c r="C425" s="34"/>
      <c r="D425" s="50"/>
      <c r="E425" s="49" t="str">
        <f t="shared" si="6"/>
        <v/>
      </c>
      <c r="F425" s="74"/>
      <c r="G425" s="74"/>
    </row>
    <row r="426" spans="1:7" ht="15.75" hidden="1" customHeight="1" thickBot="1" x14ac:dyDescent="0.3">
      <c r="A426" s="6"/>
      <c r="B426" s="10" t="s">
        <v>39</v>
      </c>
      <c r="C426" s="34"/>
      <c r="D426" s="50"/>
      <c r="E426" s="49" t="str">
        <f t="shared" si="6"/>
        <v/>
      </c>
      <c r="F426" s="74"/>
      <c r="G426" s="74"/>
    </row>
    <row r="427" spans="1:7" ht="15.75" hidden="1" customHeight="1" thickBot="1" x14ac:dyDescent="0.3">
      <c r="A427" s="6"/>
      <c r="B427" s="10" t="s">
        <v>39</v>
      </c>
      <c r="C427" s="34"/>
      <c r="D427" s="50"/>
      <c r="E427" s="49" t="str">
        <f t="shared" si="6"/>
        <v/>
      </c>
      <c r="F427" s="74"/>
      <c r="G427" s="74"/>
    </row>
    <row r="428" spans="1:7" ht="15.75" hidden="1" customHeight="1" thickBot="1" x14ac:dyDescent="0.3">
      <c r="A428" s="6"/>
      <c r="B428" s="10" t="s">
        <v>39</v>
      </c>
      <c r="C428" s="34"/>
      <c r="D428" s="50"/>
      <c r="E428" s="49" t="str">
        <f t="shared" si="6"/>
        <v/>
      </c>
      <c r="F428" s="74"/>
      <c r="G428" s="74"/>
    </row>
    <row r="429" spans="1:7" ht="15.75" hidden="1" customHeight="1" thickBot="1" x14ac:dyDescent="0.3">
      <c r="A429" s="6"/>
      <c r="B429" s="10" t="s">
        <v>39</v>
      </c>
      <c r="C429" s="34"/>
      <c r="D429" s="50"/>
      <c r="E429" s="49" t="str">
        <f t="shared" si="6"/>
        <v/>
      </c>
      <c r="F429" s="74"/>
      <c r="G429" s="74"/>
    </row>
    <row r="430" spans="1:7" ht="15.75" hidden="1" customHeight="1" thickBot="1" x14ac:dyDescent="0.3">
      <c r="A430" s="6"/>
      <c r="B430" s="10" t="s">
        <v>39</v>
      </c>
      <c r="C430" s="34"/>
      <c r="D430" s="50"/>
      <c r="E430" s="49" t="str">
        <f t="shared" si="6"/>
        <v/>
      </c>
      <c r="F430" s="74"/>
      <c r="G430" s="74"/>
    </row>
    <row r="431" spans="1:7" ht="15.75" hidden="1" customHeight="1" thickBot="1" x14ac:dyDescent="0.3">
      <c r="A431" s="6"/>
      <c r="B431" s="10" t="s">
        <v>39</v>
      </c>
      <c r="C431" s="34"/>
      <c r="D431" s="50"/>
      <c r="E431" s="49" t="str">
        <f t="shared" si="6"/>
        <v/>
      </c>
      <c r="F431" s="74"/>
      <c r="G431" s="74"/>
    </row>
    <row r="432" spans="1:7" ht="15.75" hidden="1" customHeight="1" thickBot="1" x14ac:dyDescent="0.3">
      <c r="A432" s="6"/>
      <c r="B432" s="10" t="s">
        <v>39</v>
      </c>
      <c r="C432" s="34"/>
      <c r="D432" s="50"/>
      <c r="E432" s="49" t="str">
        <f t="shared" si="6"/>
        <v/>
      </c>
      <c r="F432" s="74"/>
      <c r="G432" s="74"/>
    </row>
    <row r="433" spans="1:7" ht="15.75" hidden="1" customHeight="1" thickBot="1" x14ac:dyDescent="0.3">
      <c r="A433" s="6"/>
      <c r="B433" s="10" t="s">
        <v>39</v>
      </c>
      <c r="C433" s="34"/>
      <c r="D433" s="50"/>
      <c r="E433" s="49" t="str">
        <f t="shared" si="6"/>
        <v/>
      </c>
      <c r="F433" s="74"/>
      <c r="G433" s="74"/>
    </row>
    <row r="434" spans="1:7" ht="15.75" hidden="1" customHeight="1" thickBot="1" x14ac:dyDescent="0.3">
      <c r="A434" s="6"/>
      <c r="B434" s="10" t="s">
        <v>39</v>
      </c>
      <c r="C434" s="34"/>
      <c r="D434" s="50"/>
      <c r="E434" s="49" t="str">
        <f t="shared" si="6"/>
        <v/>
      </c>
      <c r="F434" s="74"/>
      <c r="G434" s="74"/>
    </row>
    <row r="435" spans="1:7" ht="15.75" hidden="1" customHeight="1" thickBot="1" x14ac:dyDescent="0.3">
      <c r="A435" s="6"/>
      <c r="B435" s="10" t="s">
        <v>39</v>
      </c>
      <c r="C435" s="34"/>
      <c r="D435" s="50"/>
      <c r="E435" s="49" t="str">
        <f t="shared" si="6"/>
        <v/>
      </c>
      <c r="F435" s="74"/>
      <c r="G435" s="74"/>
    </row>
    <row r="436" spans="1:7" ht="15.75" hidden="1" customHeight="1" thickBot="1" x14ac:dyDescent="0.3">
      <c r="A436" s="6"/>
      <c r="B436" s="10" t="s">
        <v>39</v>
      </c>
      <c r="C436" s="34"/>
      <c r="D436" s="50"/>
      <c r="E436" s="49" t="str">
        <f t="shared" si="6"/>
        <v/>
      </c>
      <c r="F436" s="74"/>
      <c r="G436" s="74"/>
    </row>
    <row r="437" spans="1:7" ht="15.75" hidden="1" customHeight="1" thickBot="1" x14ac:dyDescent="0.3">
      <c r="A437" s="6"/>
      <c r="B437" s="10" t="s">
        <v>39</v>
      </c>
      <c r="C437" s="34"/>
      <c r="D437" s="50"/>
      <c r="E437" s="49" t="str">
        <f t="shared" si="6"/>
        <v/>
      </c>
      <c r="F437" s="74"/>
      <c r="G437" s="74"/>
    </row>
    <row r="438" spans="1:7" ht="15.75" hidden="1" customHeight="1" thickBot="1" x14ac:dyDescent="0.3">
      <c r="A438" s="6"/>
      <c r="B438" s="10" t="s">
        <v>39</v>
      </c>
      <c r="C438" s="34"/>
      <c r="D438" s="50"/>
      <c r="E438" s="49" t="str">
        <f t="shared" si="6"/>
        <v/>
      </c>
      <c r="F438" s="74"/>
      <c r="G438" s="74"/>
    </row>
    <row r="439" spans="1:7" ht="15.75" hidden="1" customHeight="1" thickBot="1" x14ac:dyDescent="0.3">
      <c r="A439" s="6"/>
      <c r="B439" s="10" t="s">
        <v>39</v>
      </c>
      <c r="C439" s="34"/>
      <c r="D439" s="50"/>
      <c r="E439" s="49" t="str">
        <f t="shared" si="6"/>
        <v/>
      </c>
      <c r="F439" s="74"/>
      <c r="G439" s="74"/>
    </row>
    <row r="440" spans="1:7" ht="15.75" hidden="1" customHeight="1" thickBot="1" x14ac:dyDescent="0.3">
      <c r="A440" s="6"/>
      <c r="B440" s="10" t="s">
        <v>39</v>
      </c>
      <c r="C440" s="34"/>
      <c r="D440" s="50"/>
      <c r="E440" s="49" t="str">
        <f t="shared" si="6"/>
        <v/>
      </c>
      <c r="F440" s="74"/>
      <c r="G440" s="74"/>
    </row>
    <row r="441" spans="1:7" ht="15.75" hidden="1" customHeight="1" thickBot="1" x14ac:dyDescent="0.3">
      <c r="A441" s="6"/>
      <c r="B441" s="10" t="s">
        <v>39</v>
      </c>
      <c r="C441" s="34"/>
      <c r="D441" s="50"/>
      <c r="E441" s="49" t="str">
        <f t="shared" si="6"/>
        <v/>
      </c>
      <c r="F441" s="74"/>
      <c r="G441" s="74"/>
    </row>
    <row r="442" spans="1:7" ht="15.75" hidden="1" customHeight="1" thickBot="1" x14ac:dyDescent="0.3">
      <c r="A442" s="6"/>
      <c r="B442" s="10" t="s">
        <v>39</v>
      </c>
      <c r="C442" s="34"/>
      <c r="D442" s="50"/>
      <c r="E442" s="49" t="str">
        <f t="shared" si="6"/>
        <v/>
      </c>
      <c r="F442" s="74"/>
      <c r="G442" s="74"/>
    </row>
    <row r="443" spans="1:7" ht="15.75" hidden="1" customHeight="1" thickBot="1" x14ac:dyDescent="0.3">
      <c r="A443" s="6"/>
      <c r="B443" s="10" t="s">
        <v>39</v>
      </c>
      <c r="C443" s="34"/>
      <c r="D443" s="50"/>
      <c r="E443" s="49" t="str">
        <f t="shared" si="6"/>
        <v/>
      </c>
      <c r="F443" s="74"/>
      <c r="G443" s="74"/>
    </row>
    <row r="444" spans="1:7" ht="15.75" hidden="1" customHeight="1" thickBot="1" x14ac:dyDescent="0.3">
      <c r="A444" s="6"/>
      <c r="B444" s="10" t="s">
        <v>39</v>
      </c>
      <c r="C444" s="34"/>
      <c r="D444" s="50"/>
      <c r="E444" s="49" t="str">
        <f t="shared" si="6"/>
        <v/>
      </c>
      <c r="F444" s="74"/>
      <c r="G444" s="74"/>
    </row>
    <row r="445" spans="1:7" ht="15.75" hidden="1" customHeight="1" thickBot="1" x14ac:dyDescent="0.3">
      <c r="A445" s="6"/>
      <c r="B445" s="10" t="s">
        <v>39</v>
      </c>
      <c r="C445" s="34"/>
      <c r="D445" s="50"/>
      <c r="E445" s="49" t="str">
        <f t="shared" si="6"/>
        <v/>
      </c>
      <c r="F445" s="74"/>
      <c r="G445" s="74"/>
    </row>
    <row r="446" spans="1:7" ht="15.75" hidden="1" customHeight="1" thickBot="1" x14ac:dyDescent="0.3">
      <c r="A446" s="6"/>
      <c r="B446" s="10" t="s">
        <v>39</v>
      </c>
      <c r="C446" s="34"/>
      <c r="D446" s="50"/>
      <c r="E446" s="49" t="str">
        <f t="shared" si="6"/>
        <v/>
      </c>
      <c r="F446" s="74"/>
      <c r="G446" s="74"/>
    </row>
    <row r="447" spans="1:7" ht="15.75" hidden="1" customHeight="1" thickBot="1" x14ac:dyDescent="0.3">
      <c r="A447" s="6"/>
      <c r="B447" s="10" t="s">
        <v>39</v>
      </c>
      <c r="C447" s="34"/>
      <c r="D447" s="50"/>
      <c r="E447" s="49" t="str">
        <f t="shared" si="6"/>
        <v/>
      </c>
      <c r="F447" s="74"/>
      <c r="G447" s="74"/>
    </row>
    <row r="448" spans="1:7" ht="15.75" hidden="1" customHeight="1" thickBot="1" x14ac:dyDescent="0.3">
      <c r="A448" s="6"/>
      <c r="B448" s="10" t="s">
        <v>39</v>
      </c>
      <c r="C448" s="34"/>
      <c r="D448" s="50"/>
      <c r="E448" s="49" t="str">
        <f t="shared" si="6"/>
        <v/>
      </c>
      <c r="F448" s="74"/>
      <c r="G448" s="74"/>
    </row>
    <row r="449" spans="1:7" ht="15.75" hidden="1" customHeight="1" thickBot="1" x14ac:dyDescent="0.3">
      <c r="A449" s="6"/>
      <c r="B449" s="10" t="s">
        <v>39</v>
      </c>
      <c r="C449" s="34"/>
      <c r="D449" s="50"/>
      <c r="E449" s="49" t="str">
        <f t="shared" si="6"/>
        <v/>
      </c>
      <c r="F449" s="74"/>
      <c r="G449" s="74"/>
    </row>
    <row r="450" spans="1:7" ht="15.75" hidden="1" customHeight="1" thickBot="1" x14ac:dyDescent="0.3">
      <c r="A450" s="6"/>
      <c r="B450" s="10" t="s">
        <v>39</v>
      </c>
      <c r="C450" s="34"/>
      <c r="D450" s="50"/>
      <c r="E450" s="49" t="str">
        <f t="shared" si="6"/>
        <v/>
      </c>
      <c r="F450" s="74"/>
      <c r="G450" s="74"/>
    </row>
    <row r="451" spans="1:7" ht="15.75" hidden="1" customHeight="1" thickBot="1" x14ac:dyDescent="0.3">
      <c r="A451" s="6"/>
      <c r="B451" s="10" t="s">
        <v>39</v>
      </c>
      <c r="C451" s="34"/>
      <c r="D451" s="50"/>
      <c r="E451" s="49" t="str">
        <f t="shared" si="6"/>
        <v/>
      </c>
      <c r="F451" s="74"/>
      <c r="G451" s="74"/>
    </row>
    <row r="452" spans="1:7" ht="15.75" hidden="1" customHeight="1" thickBot="1" x14ac:dyDescent="0.3">
      <c r="A452" s="6"/>
      <c r="B452" s="10" t="s">
        <v>39</v>
      </c>
      <c r="C452" s="34"/>
      <c r="D452" s="50"/>
      <c r="E452" s="49" t="str">
        <f t="shared" si="6"/>
        <v/>
      </c>
      <c r="F452" s="74"/>
      <c r="G452" s="74"/>
    </row>
    <row r="453" spans="1:7" ht="15.75" hidden="1" customHeight="1" thickBot="1" x14ac:dyDescent="0.3">
      <c r="A453" s="6"/>
      <c r="B453" s="10" t="s">
        <v>39</v>
      </c>
      <c r="C453" s="34"/>
      <c r="D453" s="50"/>
      <c r="E453" s="49" t="str">
        <f t="shared" si="6"/>
        <v/>
      </c>
      <c r="F453" s="74"/>
      <c r="G453" s="74"/>
    </row>
    <row r="454" spans="1:7" ht="15.75" hidden="1" customHeight="1" thickBot="1" x14ac:dyDescent="0.3">
      <c r="A454" s="6"/>
      <c r="B454" s="10" t="s">
        <v>39</v>
      </c>
      <c r="C454" s="34"/>
      <c r="D454" s="50"/>
      <c r="E454" s="49" t="str">
        <f t="shared" si="6"/>
        <v/>
      </c>
      <c r="F454" s="74"/>
      <c r="G454" s="74"/>
    </row>
    <row r="455" spans="1:7" ht="15.75" hidden="1" customHeight="1" thickBot="1" x14ac:dyDescent="0.3">
      <c r="A455" s="6"/>
      <c r="B455" s="10" t="s">
        <v>39</v>
      </c>
      <c r="C455" s="34"/>
      <c r="D455" s="50"/>
      <c r="E455" s="49" t="str">
        <f t="shared" si="6"/>
        <v/>
      </c>
      <c r="F455" s="74"/>
      <c r="G455" s="74"/>
    </row>
    <row r="456" spans="1:7" ht="15.75" hidden="1" customHeight="1" thickBot="1" x14ac:dyDescent="0.3">
      <c r="A456" s="6"/>
      <c r="B456" s="10" t="s">
        <v>39</v>
      </c>
      <c r="C456" s="34"/>
      <c r="D456" s="50"/>
      <c r="E456" s="49" t="str">
        <f t="shared" ref="E456:E519" si="7">IF(C456="Active",IF(ISNUMBER(D456),D456-rToday,""),"")</f>
        <v/>
      </c>
      <c r="F456" s="74"/>
      <c r="G456" s="74"/>
    </row>
    <row r="457" spans="1:7" ht="15.75" hidden="1" customHeight="1" thickBot="1" x14ac:dyDescent="0.3">
      <c r="A457" s="6"/>
      <c r="B457" s="10" t="s">
        <v>39</v>
      </c>
      <c r="C457" s="34"/>
      <c r="D457" s="50"/>
      <c r="E457" s="49" t="str">
        <f t="shared" si="7"/>
        <v/>
      </c>
      <c r="F457" s="74"/>
      <c r="G457" s="74"/>
    </row>
    <row r="458" spans="1:7" ht="15.75" hidden="1" customHeight="1" thickBot="1" x14ac:dyDescent="0.3">
      <c r="A458" s="6"/>
      <c r="B458" s="10" t="s">
        <v>39</v>
      </c>
      <c r="C458" s="34"/>
      <c r="D458" s="50"/>
      <c r="E458" s="49" t="str">
        <f t="shared" si="7"/>
        <v/>
      </c>
      <c r="F458" s="74"/>
      <c r="G458" s="74"/>
    </row>
    <row r="459" spans="1:7" ht="15.75" hidden="1" customHeight="1" thickBot="1" x14ac:dyDescent="0.3">
      <c r="A459" s="6"/>
      <c r="B459" s="10" t="s">
        <v>39</v>
      </c>
      <c r="C459" s="34"/>
      <c r="D459" s="50"/>
      <c r="E459" s="49" t="str">
        <f t="shared" si="7"/>
        <v/>
      </c>
      <c r="F459" s="74"/>
      <c r="G459" s="74"/>
    </row>
    <row r="460" spans="1:7" ht="15.75" hidden="1" customHeight="1" thickBot="1" x14ac:dyDescent="0.3">
      <c r="A460" s="6"/>
      <c r="B460" s="10" t="s">
        <v>39</v>
      </c>
      <c r="C460" s="34"/>
      <c r="D460" s="50"/>
      <c r="E460" s="49" t="str">
        <f t="shared" si="7"/>
        <v/>
      </c>
      <c r="F460" s="74"/>
      <c r="G460" s="74"/>
    </row>
    <row r="461" spans="1:7" ht="15.75" hidden="1" customHeight="1" thickBot="1" x14ac:dyDescent="0.3">
      <c r="A461" s="6"/>
      <c r="B461" s="10" t="s">
        <v>39</v>
      </c>
      <c r="C461" s="34"/>
      <c r="D461" s="50"/>
      <c r="E461" s="49" t="str">
        <f t="shared" si="7"/>
        <v/>
      </c>
      <c r="F461" s="74"/>
      <c r="G461" s="74"/>
    </row>
    <row r="462" spans="1:7" ht="15.75" hidden="1" customHeight="1" thickBot="1" x14ac:dyDescent="0.3">
      <c r="A462" s="6"/>
      <c r="B462" s="10" t="s">
        <v>39</v>
      </c>
      <c r="C462" s="34"/>
      <c r="D462" s="50"/>
      <c r="E462" s="49" t="str">
        <f t="shared" si="7"/>
        <v/>
      </c>
      <c r="F462" s="74"/>
      <c r="G462" s="74"/>
    </row>
    <row r="463" spans="1:7" ht="15.75" hidden="1" customHeight="1" thickBot="1" x14ac:dyDescent="0.3">
      <c r="A463" s="6"/>
      <c r="B463" s="10" t="s">
        <v>39</v>
      </c>
      <c r="C463" s="34"/>
      <c r="D463" s="50"/>
      <c r="E463" s="49" t="str">
        <f t="shared" si="7"/>
        <v/>
      </c>
      <c r="F463" s="74"/>
      <c r="G463" s="74"/>
    </row>
    <row r="464" spans="1:7" ht="15.75" hidden="1" customHeight="1" thickBot="1" x14ac:dyDescent="0.3">
      <c r="A464" s="6"/>
      <c r="B464" s="10" t="s">
        <v>39</v>
      </c>
      <c r="C464" s="34"/>
      <c r="D464" s="50"/>
      <c r="E464" s="49" t="str">
        <f t="shared" si="7"/>
        <v/>
      </c>
      <c r="F464" s="74"/>
      <c r="G464" s="74"/>
    </row>
    <row r="465" spans="1:7" ht="15.75" hidden="1" customHeight="1" thickBot="1" x14ac:dyDescent="0.3">
      <c r="A465" s="6"/>
      <c r="B465" s="10" t="s">
        <v>39</v>
      </c>
      <c r="C465" s="34"/>
      <c r="D465" s="50"/>
      <c r="E465" s="49" t="str">
        <f t="shared" si="7"/>
        <v/>
      </c>
      <c r="F465" s="74"/>
      <c r="G465" s="74"/>
    </row>
    <row r="466" spans="1:7" ht="15.75" hidden="1" customHeight="1" thickBot="1" x14ac:dyDescent="0.3">
      <c r="A466" s="6"/>
      <c r="B466" s="10" t="s">
        <v>39</v>
      </c>
      <c r="C466" s="34"/>
      <c r="D466" s="50"/>
      <c r="E466" s="49" t="str">
        <f t="shared" si="7"/>
        <v/>
      </c>
      <c r="F466" s="74"/>
      <c r="G466" s="74"/>
    </row>
    <row r="467" spans="1:7" ht="15.75" hidden="1" customHeight="1" thickBot="1" x14ac:dyDescent="0.3">
      <c r="A467" s="6"/>
      <c r="B467" s="10" t="s">
        <v>39</v>
      </c>
      <c r="C467" s="34"/>
      <c r="D467" s="50"/>
      <c r="E467" s="49" t="str">
        <f t="shared" si="7"/>
        <v/>
      </c>
      <c r="F467" s="74"/>
      <c r="G467" s="74"/>
    </row>
    <row r="468" spans="1:7" ht="15.75" hidden="1" customHeight="1" thickBot="1" x14ac:dyDescent="0.3">
      <c r="A468" s="6"/>
      <c r="B468" s="10" t="s">
        <v>39</v>
      </c>
      <c r="C468" s="34"/>
      <c r="D468" s="50"/>
      <c r="E468" s="49" t="str">
        <f t="shared" si="7"/>
        <v/>
      </c>
      <c r="F468" s="74"/>
      <c r="G468" s="74"/>
    </row>
    <row r="469" spans="1:7" ht="15.75" hidden="1" customHeight="1" thickBot="1" x14ac:dyDescent="0.3">
      <c r="A469" s="6"/>
      <c r="B469" s="10" t="s">
        <v>39</v>
      </c>
      <c r="C469" s="34"/>
      <c r="D469" s="50"/>
      <c r="E469" s="49" t="str">
        <f t="shared" si="7"/>
        <v/>
      </c>
      <c r="F469" s="74"/>
      <c r="G469" s="74"/>
    </row>
    <row r="470" spans="1:7" ht="15.75" hidden="1" customHeight="1" thickBot="1" x14ac:dyDescent="0.3">
      <c r="A470" s="6"/>
      <c r="B470" s="10" t="s">
        <v>39</v>
      </c>
      <c r="C470" s="34"/>
      <c r="D470" s="50"/>
      <c r="E470" s="49" t="str">
        <f t="shared" si="7"/>
        <v/>
      </c>
      <c r="F470" s="74"/>
      <c r="G470" s="74"/>
    </row>
    <row r="471" spans="1:7" ht="15.75" hidden="1" customHeight="1" thickBot="1" x14ac:dyDescent="0.3">
      <c r="A471" s="6"/>
      <c r="B471" s="10" t="s">
        <v>39</v>
      </c>
      <c r="C471" s="34"/>
      <c r="D471" s="50"/>
      <c r="E471" s="49" t="str">
        <f t="shared" si="7"/>
        <v/>
      </c>
      <c r="F471" s="74"/>
      <c r="G471" s="74"/>
    </row>
    <row r="472" spans="1:7" ht="15.75" hidden="1" customHeight="1" thickBot="1" x14ac:dyDescent="0.3">
      <c r="A472" s="6"/>
      <c r="B472" s="10" t="s">
        <v>39</v>
      </c>
      <c r="C472" s="34"/>
      <c r="D472" s="50"/>
      <c r="E472" s="49" t="str">
        <f t="shared" si="7"/>
        <v/>
      </c>
      <c r="F472" s="74"/>
      <c r="G472" s="74"/>
    </row>
    <row r="473" spans="1:7" ht="15.75" hidden="1" customHeight="1" thickBot="1" x14ac:dyDescent="0.3">
      <c r="A473" s="6"/>
      <c r="B473" s="10" t="s">
        <v>39</v>
      </c>
      <c r="C473" s="34"/>
      <c r="D473" s="50"/>
      <c r="E473" s="49" t="str">
        <f t="shared" si="7"/>
        <v/>
      </c>
      <c r="F473" s="74"/>
      <c r="G473" s="74"/>
    </row>
    <row r="474" spans="1:7" ht="15.75" hidden="1" customHeight="1" thickBot="1" x14ac:dyDescent="0.3">
      <c r="A474" s="6"/>
      <c r="B474" s="10" t="s">
        <v>39</v>
      </c>
      <c r="C474" s="34"/>
      <c r="D474" s="50"/>
      <c r="E474" s="49" t="str">
        <f t="shared" si="7"/>
        <v/>
      </c>
      <c r="F474" s="74"/>
      <c r="G474" s="74"/>
    </row>
    <row r="475" spans="1:7" ht="15.75" hidden="1" customHeight="1" thickBot="1" x14ac:dyDescent="0.3">
      <c r="A475" s="6"/>
      <c r="B475" s="10" t="s">
        <v>39</v>
      </c>
      <c r="C475" s="34"/>
      <c r="D475" s="50"/>
      <c r="E475" s="49" t="str">
        <f t="shared" si="7"/>
        <v/>
      </c>
      <c r="F475" s="74"/>
      <c r="G475" s="74"/>
    </row>
    <row r="476" spans="1:7" ht="15.75" hidden="1" customHeight="1" thickBot="1" x14ac:dyDescent="0.3">
      <c r="A476" s="6"/>
      <c r="B476" s="10" t="s">
        <v>39</v>
      </c>
      <c r="C476" s="34"/>
      <c r="D476" s="50"/>
      <c r="E476" s="49" t="str">
        <f t="shared" si="7"/>
        <v/>
      </c>
      <c r="F476" s="74"/>
      <c r="G476" s="74"/>
    </row>
    <row r="477" spans="1:7" ht="15.75" hidden="1" customHeight="1" thickBot="1" x14ac:dyDescent="0.3">
      <c r="A477" s="6"/>
      <c r="B477" s="10" t="s">
        <v>39</v>
      </c>
      <c r="C477" s="34"/>
      <c r="D477" s="50"/>
      <c r="E477" s="49" t="str">
        <f t="shared" si="7"/>
        <v/>
      </c>
      <c r="F477" s="74"/>
      <c r="G477" s="74"/>
    </row>
    <row r="478" spans="1:7" ht="15.75" hidden="1" customHeight="1" thickBot="1" x14ac:dyDescent="0.3">
      <c r="A478" s="6"/>
      <c r="B478" s="10" t="s">
        <v>39</v>
      </c>
      <c r="C478" s="34"/>
      <c r="D478" s="50"/>
      <c r="E478" s="49" t="str">
        <f t="shared" si="7"/>
        <v/>
      </c>
      <c r="F478" s="74"/>
      <c r="G478" s="74"/>
    </row>
    <row r="479" spans="1:7" ht="15.75" hidden="1" customHeight="1" thickBot="1" x14ac:dyDescent="0.3">
      <c r="A479" s="6"/>
      <c r="B479" s="10" t="s">
        <v>39</v>
      </c>
      <c r="C479" s="34"/>
      <c r="D479" s="50"/>
      <c r="E479" s="49" t="str">
        <f t="shared" si="7"/>
        <v/>
      </c>
      <c r="F479" s="74"/>
      <c r="G479" s="74"/>
    </row>
    <row r="480" spans="1:7" ht="15.75" hidden="1" customHeight="1" thickBot="1" x14ac:dyDescent="0.3">
      <c r="A480" s="6"/>
      <c r="B480" s="10" t="s">
        <v>39</v>
      </c>
      <c r="C480" s="34"/>
      <c r="D480" s="50"/>
      <c r="E480" s="49" t="str">
        <f t="shared" si="7"/>
        <v/>
      </c>
      <c r="F480" s="74"/>
      <c r="G480" s="74"/>
    </row>
    <row r="481" spans="1:7" ht="15.75" hidden="1" customHeight="1" thickBot="1" x14ac:dyDescent="0.3">
      <c r="A481" s="6"/>
      <c r="B481" s="10" t="s">
        <v>39</v>
      </c>
      <c r="C481" s="34"/>
      <c r="D481" s="50"/>
      <c r="E481" s="49" t="str">
        <f t="shared" si="7"/>
        <v/>
      </c>
      <c r="F481" s="74"/>
      <c r="G481" s="74"/>
    </row>
    <row r="482" spans="1:7" ht="15.75" hidden="1" customHeight="1" thickBot="1" x14ac:dyDescent="0.3">
      <c r="A482" s="6"/>
      <c r="B482" s="10" t="s">
        <v>39</v>
      </c>
      <c r="C482" s="34"/>
      <c r="D482" s="50"/>
      <c r="E482" s="49" t="str">
        <f t="shared" si="7"/>
        <v/>
      </c>
      <c r="F482" s="74"/>
      <c r="G482" s="74"/>
    </row>
    <row r="483" spans="1:7" ht="15.75" hidden="1" customHeight="1" thickBot="1" x14ac:dyDescent="0.3">
      <c r="A483" s="6"/>
      <c r="B483" s="10" t="s">
        <v>39</v>
      </c>
      <c r="C483" s="34"/>
      <c r="D483" s="50"/>
      <c r="E483" s="49" t="str">
        <f t="shared" si="7"/>
        <v/>
      </c>
      <c r="F483" s="74"/>
      <c r="G483" s="74"/>
    </row>
    <row r="484" spans="1:7" ht="15.75" hidden="1" customHeight="1" thickBot="1" x14ac:dyDescent="0.3">
      <c r="A484" s="6"/>
      <c r="B484" s="10" t="s">
        <v>39</v>
      </c>
      <c r="C484" s="34"/>
      <c r="D484" s="50"/>
      <c r="E484" s="49" t="str">
        <f t="shared" si="7"/>
        <v/>
      </c>
      <c r="F484" s="74"/>
      <c r="G484" s="74"/>
    </row>
    <row r="485" spans="1:7" ht="15.75" hidden="1" customHeight="1" thickBot="1" x14ac:dyDescent="0.3">
      <c r="A485" s="6"/>
      <c r="B485" s="10" t="s">
        <v>39</v>
      </c>
      <c r="C485" s="34"/>
      <c r="D485" s="50"/>
      <c r="E485" s="49" t="str">
        <f t="shared" si="7"/>
        <v/>
      </c>
      <c r="F485" s="74"/>
      <c r="G485" s="74"/>
    </row>
    <row r="486" spans="1:7" ht="15.75" hidden="1" customHeight="1" thickBot="1" x14ac:dyDescent="0.3">
      <c r="A486" s="6"/>
      <c r="B486" s="10" t="s">
        <v>39</v>
      </c>
      <c r="C486" s="34"/>
      <c r="D486" s="50"/>
      <c r="E486" s="49" t="str">
        <f t="shared" si="7"/>
        <v/>
      </c>
      <c r="F486" s="74"/>
      <c r="G486" s="74"/>
    </row>
    <row r="487" spans="1:7" ht="15.75" hidden="1" customHeight="1" thickBot="1" x14ac:dyDescent="0.3">
      <c r="A487" s="6"/>
      <c r="B487" s="10" t="s">
        <v>39</v>
      </c>
      <c r="C487" s="34"/>
      <c r="D487" s="50"/>
      <c r="E487" s="49" t="str">
        <f t="shared" si="7"/>
        <v/>
      </c>
      <c r="F487" s="74"/>
      <c r="G487" s="74"/>
    </row>
    <row r="488" spans="1:7" ht="15.75" hidden="1" customHeight="1" thickBot="1" x14ac:dyDescent="0.3">
      <c r="A488" s="6"/>
      <c r="B488" s="10" t="s">
        <v>39</v>
      </c>
      <c r="C488" s="34"/>
      <c r="D488" s="50"/>
      <c r="E488" s="49" t="str">
        <f t="shared" si="7"/>
        <v/>
      </c>
      <c r="F488" s="74"/>
      <c r="G488" s="74"/>
    </row>
    <row r="489" spans="1:7" ht="15.75" hidden="1" customHeight="1" thickBot="1" x14ac:dyDescent="0.3">
      <c r="A489" s="6"/>
      <c r="B489" s="10" t="s">
        <v>39</v>
      </c>
      <c r="C489" s="34"/>
      <c r="D489" s="50"/>
      <c r="E489" s="49" t="str">
        <f t="shared" si="7"/>
        <v/>
      </c>
      <c r="F489" s="74"/>
      <c r="G489" s="74"/>
    </row>
    <row r="490" spans="1:7" ht="15.75" hidden="1" customHeight="1" thickBot="1" x14ac:dyDescent="0.3">
      <c r="A490" s="6"/>
      <c r="B490" s="10" t="s">
        <v>39</v>
      </c>
      <c r="C490" s="34"/>
      <c r="D490" s="50"/>
      <c r="E490" s="49" t="str">
        <f t="shared" si="7"/>
        <v/>
      </c>
      <c r="F490" s="74"/>
      <c r="G490" s="74"/>
    </row>
    <row r="491" spans="1:7" ht="15.75" hidden="1" customHeight="1" thickBot="1" x14ac:dyDescent="0.3">
      <c r="A491" s="6"/>
      <c r="B491" s="10" t="s">
        <v>39</v>
      </c>
      <c r="C491" s="34"/>
      <c r="D491" s="50"/>
      <c r="E491" s="49" t="str">
        <f t="shared" si="7"/>
        <v/>
      </c>
      <c r="F491" s="74"/>
      <c r="G491" s="74"/>
    </row>
    <row r="492" spans="1:7" ht="15.75" hidden="1" customHeight="1" thickBot="1" x14ac:dyDescent="0.3">
      <c r="A492" s="6"/>
      <c r="B492" s="10" t="s">
        <v>39</v>
      </c>
      <c r="C492" s="34"/>
      <c r="D492" s="50"/>
      <c r="E492" s="49" t="str">
        <f t="shared" si="7"/>
        <v/>
      </c>
      <c r="F492" s="74"/>
      <c r="G492" s="74"/>
    </row>
    <row r="493" spans="1:7" ht="15.75" hidden="1" customHeight="1" thickBot="1" x14ac:dyDescent="0.3">
      <c r="A493" s="6"/>
      <c r="B493" s="10" t="s">
        <v>39</v>
      </c>
      <c r="C493" s="34"/>
      <c r="D493" s="50"/>
      <c r="E493" s="49" t="str">
        <f t="shared" si="7"/>
        <v/>
      </c>
      <c r="F493" s="74"/>
      <c r="G493" s="74"/>
    </row>
    <row r="494" spans="1:7" ht="15.75" hidden="1" customHeight="1" thickBot="1" x14ac:dyDescent="0.3">
      <c r="A494" s="6"/>
      <c r="B494" s="10" t="s">
        <v>39</v>
      </c>
      <c r="C494" s="34"/>
      <c r="D494" s="50"/>
      <c r="E494" s="49" t="str">
        <f t="shared" si="7"/>
        <v/>
      </c>
      <c r="F494" s="74"/>
      <c r="G494" s="74"/>
    </row>
    <row r="495" spans="1:7" ht="15.75" hidden="1" customHeight="1" thickBot="1" x14ac:dyDescent="0.3">
      <c r="A495" s="6"/>
      <c r="B495" s="10" t="s">
        <v>39</v>
      </c>
      <c r="C495" s="34"/>
      <c r="D495" s="50"/>
      <c r="E495" s="49" t="str">
        <f t="shared" si="7"/>
        <v/>
      </c>
      <c r="F495" s="74"/>
      <c r="G495" s="74"/>
    </row>
    <row r="496" spans="1:7" ht="15.75" hidden="1" customHeight="1" thickBot="1" x14ac:dyDescent="0.3">
      <c r="A496" s="6"/>
      <c r="B496" s="10" t="s">
        <v>39</v>
      </c>
      <c r="C496" s="34"/>
      <c r="D496" s="50"/>
      <c r="E496" s="49" t="str">
        <f t="shared" si="7"/>
        <v/>
      </c>
      <c r="F496" s="74"/>
      <c r="G496" s="74"/>
    </row>
    <row r="497" spans="1:7" ht="15.75" hidden="1" customHeight="1" thickBot="1" x14ac:dyDescent="0.3">
      <c r="A497" s="6"/>
      <c r="B497" s="10" t="s">
        <v>39</v>
      </c>
      <c r="C497" s="34"/>
      <c r="D497" s="50"/>
      <c r="E497" s="49" t="str">
        <f t="shared" si="7"/>
        <v/>
      </c>
      <c r="F497" s="74"/>
      <c r="G497" s="74"/>
    </row>
    <row r="498" spans="1:7" ht="15.75" hidden="1" customHeight="1" thickBot="1" x14ac:dyDescent="0.3">
      <c r="A498" s="6"/>
      <c r="B498" s="10" t="s">
        <v>39</v>
      </c>
      <c r="C498" s="34"/>
      <c r="D498" s="50"/>
      <c r="E498" s="49" t="str">
        <f t="shared" si="7"/>
        <v/>
      </c>
      <c r="F498" s="74"/>
      <c r="G498" s="74"/>
    </row>
    <row r="499" spans="1:7" ht="15.75" hidden="1" customHeight="1" thickBot="1" x14ac:dyDescent="0.3">
      <c r="A499" s="6"/>
      <c r="B499" s="10" t="s">
        <v>39</v>
      </c>
      <c r="C499" s="34"/>
      <c r="D499" s="50"/>
      <c r="E499" s="49" t="str">
        <f t="shared" si="7"/>
        <v/>
      </c>
      <c r="F499" s="74"/>
      <c r="G499" s="74"/>
    </row>
    <row r="500" spans="1:7" ht="15.75" hidden="1" customHeight="1" thickBot="1" x14ac:dyDescent="0.3">
      <c r="A500" s="6"/>
      <c r="B500" s="10" t="s">
        <v>39</v>
      </c>
      <c r="C500" s="34"/>
      <c r="D500" s="50"/>
      <c r="E500" s="49" t="str">
        <f t="shared" si="7"/>
        <v/>
      </c>
      <c r="F500" s="74"/>
      <c r="G500" s="74"/>
    </row>
    <row r="501" spans="1:7" ht="15.75" hidden="1" customHeight="1" thickBot="1" x14ac:dyDescent="0.3">
      <c r="A501" s="6"/>
      <c r="B501" s="10" t="s">
        <v>39</v>
      </c>
      <c r="C501" s="34"/>
      <c r="D501" s="50"/>
      <c r="E501" s="49" t="str">
        <f t="shared" si="7"/>
        <v/>
      </c>
      <c r="F501" s="74"/>
      <c r="G501" s="74"/>
    </row>
    <row r="502" spans="1:7" ht="15.75" hidden="1" customHeight="1" thickBot="1" x14ac:dyDescent="0.3">
      <c r="A502" s="6"/>
      <c r="B502" s="10" t="s">
        <v>39</v>
      </c>
      <c r="C502" s="34"/>
      <c r="D502" s="50"/>
      <c r="E502" s="49" t="str">
        <f t="shared" si="7"/>
        <v/>
      </c>
      <c r="F502" s="74"/>
      <c r="G502" s="74"/>
    </row>
    <row r="503" spans="1:7" ht="15.75" hidden="1" customHeight="1" thickBot="1" x14ac:dyDescent="0.3">
      <c r="A503" s="6"/>
      <c r="B503" s="10" t="s">
        <v>39</v>
      </c>
      <c r="C503" s="34"/>
      <c r="D503" s="50"/>
      <c r="E503" s="49" t="str">
        <f t="shared" si="7"/>
        <v/>
      </c>
      <c r="F503" s="74"/>
      <c r="G503" s="74"/>
    </row>
    <row r="504" spans="1:7" ht="15.75" hidden="1" customHeight="1" thickBot="1" x14ac:dyDescent="0.3">
      <c r="A504" s="6"/>
      <c r="B504" s="10" t="s">
        <v>39</v>
      </c>
      <c r="C504" s="34"/>
      <c r="D504" s="50"/>
      <c r="E504" s="49" t="str">
        <f t="shared" si="7"/>
        <v/>
      </c>
      <c r="F504" s="74"/>
      <c r="G504" s="74"/>
    </row>
    <row r="505" spans="1:7" ht="15.75" hidden="1" customHeight="1" thickBot="1" x14ac:dyDescent="0.3">
      <c r="A505" s="6"/>
      <c r="B505" s="10" t="s">
        <v>39</v>
      </c>
      <c r="C505" s="34"/>
      <c r="D505" s="50"/>
      <c r="E505" s="49" t="str">
        <f t="shared" si="7"/>
        <v/>
      </c>
      <c r="F505" s="74"/>
      <c r="G505" s="74"/>
    </row>
    <row r="506" spans="1:7" ht="15.75" hidden="1" customHeight="1" thickBot="1" x14ac:dyDescent="0.3">
      <c r="A506" s="6"/>
      <c r="B506" s="10" t="s">
        <v>39</v>
      </c>
      <c r="C506" s="34"/>
      <c r="D506" s="50"/>
      <c r="E506" s="49" t="str">
        <f t="shared" si="7"/>
        <v/>
      </c>
      <c r="F506" s="74"/>
      <c r="G506" s="74"/>
    </row>
    <row r="507" spans="1:7" ht="15.75" hidden="1" customHeight="1" thickBot="1" x14ac:dyDescent="0.3">
      <c r="A507" s="6"/>
      <c r="B507" s="10" t="s">
        <v>39</v>
      </c>
      <c r="C507" s="34"/>
      <c r="D507" s="50"/>
      <c r="E507" s="49" t="str">
        <f t="shared" si="7"/>
        <v/>
      </c>
      <c r="F507" s="74"/>
      <c r="G507" s="74"/>
    </row>
    <row r="508" spans="1:7" ht="15.75" hidden="1" customHeight="1" thickBot="1" x14ac:dyDescent="0.3">
      <c r="A508" s="6"/>
      <c r="B508" s="10" t="s">
        <v>39</v>
      </c>
      <c r="C508" s="34"/>
      <c r="D508" s="50"/>
      <c r="E508" s="49" t="str">
        <f t="shared" si="7"/>
        <v/>
      </c>
      <c r="F508" s="74"/>
      <c r="G508" s="74"/>
    </row>
    <row r="509" spans="1:7" ht="15.75" hidden="1" customHeight="1" thickBot="1" x14ac:dyDescent="0.3">
      <c r="A509" s="6"/>
      <c r="B509" s="10" t="s">
        <v>39</v>
      </c>
      <c r="C509" s="34"/>
      <c r="D509" s="50"/>
      <c r="E509" s="49" t="str">
        <f t="shared" si="7"/>
        <v/>
      </c>
      <c r="F509" s="74"/>
      <c r="G509" s="74"/>
    </row>
    <row r="510" spans="1:7" ht="15.75" hidden="1" customHeight="1" thickBot="1" x14ac:dyDescent="0.3">
      <c r="A510" s="6"/>
      <c r="B510" s="10" t="s">
        <v>39</v>
      </c>
      <c r="C510" s="34"/>
      <c r="D510" s="50"/>
      <c r="E510" s="49" t="str">
        <f t="shared" si="7"/>
        <v/>
      </c>
      <c r="F510" s="74"/>
      <c r="G510" s="74"/>
    </row>
    <row r="511" spans="1:7" ht="15.75" hidden="1" customHeight="1" thickBot="1" x14ac:dyDescent="0.3">
      <c r="A511" s="6"/>
      <c r="B511" s="10" t="s">
        <v>39</v>
      </c>
      <c r="C511" s="34"/>
      <c r="D511" s="50"/>
      <c r="E511" s="49" t="str">
        <f t="shared" si="7"/>
        <v/>
      </c>
      <c r="F511" s="74"/>
      <c r="G511" s="74"/>
    </row>
    <row r="512" spans="1:7" ht="15.75" hidden="1" customHeight="1" thickBot="1" x14ac:dyDescent="0.3">
      <c r="A512" s="6"/>
      <c r="B512" s="10" t="s">
        <v>39</v>
      </c>
      <c r="C512" s="34"/>
      <c r="D512" s="50"/>
      <c r="E512" s="49" t="str">
        <f t="shared" si="7"/>
        <v/>
      </c>
      <c r="F512" s="74"/>
      <c r="G512" s="74"/>
    </row>
    <row r="513" spans="1:7" ht="15.75" hidden="1" customHeight="1" thickBot="1" x14ac:dyDescent="0.3">
      <c r="A513" s="6"/>
      <c r="B513" s="10" t="s">
        <v>39</v>
      </c>
      <c r="C513" s="34"/>
      <c r="D513" s="50"/>
      <c r="E513" s="49" t="str">
        <f t="shared" si="7"/>
        <v/>
      </c>
      <c r="F513" s="74"/>
      <c r="G513" s="74"/>
    </row>
    <row r="514" spans="1:7" ht="15.75" hidden="1" customHeight="1" thickBot="1" x14ac:dyDescent="0.3">
      <c r="A514" s="6"/>
      <c r="B514" s="10" t="s">
        <v>39</v>
      </c>
      <c r="C514" s="34"/>
      <c r="D514" s="50"/>
      <c r="E514" s="49" t="str">
        <f t="shared" si="7"/>
        <v/>
      </c>
      <c r="F514" s="74"/>
      <c r="G514" s="74"/>
    </row>
    <row r="515" spans="1:7" ht="15.75" hidden="1" customHeight="1" thickBot="1" x14ac:dyDescent="0.3">
      <c r="A515" s="6"/>
      <c r="B515" s="10" t="s">
        <v>39</v>
      </c>
      <c r="C515" s="34"/>
      <c r="D515" s="50"/>
      <c r="E515" s="49" t="str">
        <f t="shared" si="7"/>
        <v/>
      </c>
      <c r="F515" s="74"/>
      <c r="G515" s="74"/>
    </row>
    <row r="516" spans="1:7" ht="15.75" hidden="1" customHeight="1" thickBot="1" x14ac:dyDescent="0.3">
      <c r="A516" s="6"/>
      <c r="B516" s="10" t="s">
        <v>39</v>
      </c>
      <c r="C516" s="34"/>
      <c r="D516" s="50"/>
      <c r="E516" s="49" t="str">
        <f t="shared" si="7"/>
        <v/>
      </c>
      <c r="F516" s="74"/>
      <c r="G516" s="74"/>
    </row>
    <row r="517" spans="1:7" ht="15.75" hidden="1" customHeight="1" thickBot="1" x14ac:dyDescent="0.3">
      <c r="A517" s="6"/>
      <c r="B517" s="10" t="s">
        <v>39</v>
      </c>
      <c r="C517" s="34"/>
      <c r="D517" s="50"/>
      <c r="E517" s="49" t="str">
        <f t="shared" si="7"/>
        <v/>
      </c>
      <c r="F517" s="74"/>
      <c r="G517" s="74"/>
    </row>
    <row r="518" spans="1:7" ht="15.75" hidden="1" customHeight="1" thickBot="1" x14ac:dyDescent="0.3">
      <c r="A518" s="6"/>
      <c r="B518" s="10" t="s">
        <v>39</v>
      </c>
      <c r="C518" s="34"/>
      <c r="D518" s="50"/>
      <c r="E518" s="49" t="str">
        <f t="shared" si="7"/>
        <v/>
      </c>
      <c r="F518" s="74"/>
      <c r="G518" s="74"/>
    </row>
    <row r="519" spans="1:7" ht="15.75" hidden="1" customHeight="1" thickBot="1" x14ac:dyDescent="0.3">
      <c r="A519" s="6"/>
      <c r="B519" s="10" t="s">
        <v>39</v>
      </c>
      <c r="C519" s="34"/>
      <c r="D519" s="50"/>
      <c r="E519" s="49" t="str">
        <f t="shared" si="7"/>
        <v/>
      </c>
      <c r="F519" s="74"/>
      <c r="G519" s="74"/>
    </row>
    <row r="520" spans="1:7" ht="15.75" hidden="1" customHeight="1" thickBot="1" x14ac:dyDescent="0.3">
      <c r="A520" s="6"/>
      <c r="B520" s="10" t="s">
        <v>39</v>
      </c>
      <c r="C520" s="34"/>
      <c r="D520" s="50"/>
      <c r="E520" s="49" t="str">
        <f t="shared" ref="E520:E583" si="8">IF(C520="Active",IF(ISNUMBER(D520),D520-rToday,""),"")</f>
        <v/>
      </c>
      <c r="F520" s="74"/>
      <c r="G520" s="74"/>
    </row>
    <row r="521" spans="1:7" ht="15.75" hidden="1" customHeight="1" thickBot="1" x14ac:dyDescent="0.3">
      <c r="A521" s="6"/>
      <c r="B521" s="10" t="s">
        <v>39</v>
      </c>
      <c r="C521" s="34"/>
      <c r="D521" s="50"/>
      <c r="E521" s="49" t="str">
        <f t="shared" si="8"/>
        <v/>
      </c>
      <c r="F521" s="74"/>
      <c r="G521" s="74"/>
    </row>
    <row r="522" spans="1:7" ht="15.75" hidden="1" customHeight="1" thickBot="1" x14ac:dyDescent="0.3">
      <c r="A522" s="6"/>
      <c r="B522" s="10" t="s">
        <v>39</v>
      </c>
      <c r="C522" s="34"/>
      <c r="D522" s="50"/>
      <c r="E522" s="49" t="str">
        <f t="shared" si="8"/>
        <v/>
      </c>
      <c r="F522" s="74"/>
      <c r="G522" s="74"/>
    </row>
    <row r="523" spans="1:7" ht="15.75" hidden="1" customHeight="1" thickBot="1" x14ac:dyDescent="0.3">
      <c r="A523" s="6"/>
      <c r="B523" s="10" t="s">
        <v>39</v>
      </c>
      <c r="C523" s="34"/>
      <c r="D523" s="50"/>
      <c r="E523" s="49" t="str">
        <f t="shared" si="8"/>
        <v/>
      </c>
      <c r="F523" s="74"/>
      <c r="G523" s="74"/>
    </row>
    <row r="524" spans="1:7" ht="15.75" hidden="1" customHeight="1" thickBot="1" x14ac:dyDescent="0.3">
      <c r="A524" s="6"/>
      <c r="B524" s="10" t="s">
        <v>39</v>
      </c>
      <c r="C524" s="34"/>
      <c r="D524" s="50"/>
      <c r="E524" s="49" t="str">
        <f t="shared" si="8"/>
        <v/>
      </c>
      <c r="F524" s="74"/>
      <c r="G524" s="74"/>
    </row>
    <row r="525" spans="1:7" ht="15.75" hidden="1" customHeight="1" thickBot="1" x14ac:dyDescent="0.3">
      <c r="A525" s="6"/>
      <c r="B525" s="10" t="s">
        <v>39</v>
      </c>
      <c r="C525" s="34"/>
      <c r="D525" s="50"/>
      <c r="E525" s="49" t="str">
        <f t="shared" si="8"/>
        <v/>
      </c>
      <c r="F525" s="74"/>
      <c r="G525" s="74"/>
    </row>
    <row r="526" spans="1:7" ht="15.75" hidden="1" customHeight="1" thickBot="1" x14ac:dyDescent="0.3">
      <c r="A526" s="6"/>
      <c r="B526" s="10" t="s">
        <v>39</v>
      </c>
      <c r="C526" s="34"/>
      <c r="D526" s="50"/>
      <c r="E526" s="49" t="str">
        <f t="shared" si="8"/>
        <v/>
      </c>
      <c r="F526" s="74"/>
      <c r="G526" s="74"/>
    </row>
    <row r="527" spans="1:7" ht="15.75" hidden="1" customHeight="1" thickBot="1" x14ac:dyDescent="0.3">
      <c r="A527" s="6"/>
      <c r="B527" s="10" t="s">
        <v>39</v>
      </c>
      <c r="C527" s="34"/>
      <c r="D527" s="50"/>
      <c r="E527" s="49" t="str">
        <f t="shared" si="8"/>
        <v/>
      </c>
      <c r="F527" s="74"/>
      <c r="G527" s="74"/>
    </row>
    <row r="528" spans="1:7" ht="15.75" hidden="1" customHeight="1" thickBot="1" x14ac:dyDescent="0.3">
      <c r="A528" s="6"/>
      <c r="B528" s="10" t="s">
        <v>39</v>
      </c>
      <c r="C528" s="34"/>
      <c r="D528" s="50"/>
      <c r="E528" s="49" t="str">
        <f t="shared" si="8"/>
        <v/>
      </c>
      <c r="F528" s="74"/>
      <c r="G528" s="74"/>
    </row>
    <row r="529" spans="1:7" ht="15.75" hidden="1" customHeight="1" thickBot="1" x14ac:dyDescent="0.3">
      <c r="A529" s="6"/>
      <c r="B529" s="10" t="s">
        <v>39</v>
      </c>
      <c r="C529" s="34"/>
      <c r="D529" s="50"/>
      <c r="E529" s="49" t="str">
        <f t="shared" si="8"/>
        <v/>
      </c>
      <c r="F529" s="74"/>
      <c r="G529" s="74"/>
    </row>
    <row r="530" spans="1:7" ht="15.75" hidden="1" customHeight="1" thickBot="1" x14ac:dyDescent="0.3">
      <c r="A530" s="6"/>
      <c r="B530" s="10" t="s">
        <v>39</v>
      </c>
      <c r="C530" s="34"/>
      <c r="D530" s="50"/>
      <c r="E530" s="49" t="str">
        <f t="shared" si="8"/>
        <v/>
      </c>
      <c r="F530" s="74"/>
      <c r="G530" s="74"/>
    </row>
    <row r="531" spans="1:7" ht="15.75" hidden="1" customHeight="1" thickBot="1" x14ac:dyDescent="0.3">
      <c r="A531" s="6"/>
      <c r="B531" s="10" t="s">
        <v>39</v>
      </c>
      <c r="C531" s="34"/>
      <c r="D531" s="50"/>
      <c r="E531" s="49" t="str">
        <f t="shared" si="8"/>
        <v/>
      </c>
      <c r="F531" s="74"/>
      <c r="G531" s="74"/>
    </row>
    <row r="532" spans="1:7" ht="15.75" hidden="1" customHeight="1" thickBot="1" x14ac:dyDescent="0.3">
      <c r="A532" s="6"/>
      <c r="B532" s="10" t="s">
        <v>39</v>
      </c>
      <c r="C532" s="34"/>
      <c r="D532" s="50"/>
      <c r="E532" s="49" t="str">
        <f t="shared" si="8"/>
        <v/>
      </c>
      <c r="F532" s="74"/>
      <c r="G532" s="74"/>
    </row>
    <row r="533" spans="1:7" ht="15.75" hidden="1" customHeight="1" thickBot="1" x14ac:dyDescent="0.3">
      <c r="A533" s="6"/>
      <c r="B533" s="10" t="s">
        <v>39</v>
      </c>
      <c r="C533" s="34"/>
      <c r="D533" s="50"/>
      <c r="E533" s="49" t="str">
        <f t="shared" si="8"/>
        <v/>
      </c>
      <c r="F533" s="74"/>
      <c r="G533" s="74"/>
    </row>
    <row r="534" spans="1:7" ht="15.75" hidden="1" customHeight="1" thickBot="1" x14ac:dyDescent="0.3">
      <c r="A534" s="6"/>
      <c r="B534" s="10" t="s">
        <v>39</v>
      </c>
      <c r="C534" s="34"/>
      <c r="D534" s="50"/>
      <c r="E534" s="49" t="str">
        <f t="shared" si="8"/>
        <v/>
      </c>
      <c r="F534" s="74"/>
      <c r="G534" s="74"/>
    </row>
    <row r="535" spans="1:7" ht="15.75" hidden="1" customHeight="1" thickBot="1" x14ac:dyDescent="0.3">
      <c r="A535" s="6"/>
      <c r="B535" s="10" t="s">
        <v>39</v>
      </c>
      <c r="C535" s="34"/>
      <c r="D535" s="50"/>
      <c r="E535" s="49" t="str">
        <f t="shared" si="8"/>
        <v/>
      </c>
      <c r="F535" s="74"/>
      <c r="G535" s="74"/>
    </row>
    <row r="536" spans="1:7" ht="15.75" hidden="1" customHeight="1" thickBot="1" x14ac:dyDescent="0.3">
      <c r="A536" s="6"/>
      <c r="B536" s="10" t="s">
        <v>39</v>
      </c>
      <c r="C536" s="34"/>
      <c r="D536" s="50"/>
      <c r="E536" s="49" t="str">
        <f t="shared" si="8"/>
        <v/>
      </c>
      <c r="F536" s="74"/>
      <c r="G536" s="74"/>
    </row>
    <row r="537" spans="1:7" ht="15.75" hidden="1" customHeight="1" thickBot="1" x14ac:dyDescent="0.3">
      <c r="A537" s="6"/>
      <c r="B537" s="10" t="s">
        <v>39</v>
      </c>
      <c r="C537" s="34"/>
      <c r="D537" s="50"/>
      <c r="E537" s="49" t="str">
        <f t="shared" si="8"/>
        <v/>
      </c>
      <c r="F537" s="74"/>
      <c r="G537" s="74"/>
    </row>
    <row r="538" spans="1:7" ht="15.75" hidden="1" customHeight="1" thickBot="1" x14ac:dyDescent="0.3">
      <c r="A538" s="6"/>
      <c r="B538" s="10" t="s">
        <v>39</v>
      </c>
      <c r="C538" s="34"/>
      <c r="D538" s="50"/>
      <c r="E538" s="49" t="str">
        <f t="shared" si="8"/>
        <v/>
      </c>
      <c r="F538" s="74"/>
      <c r="G538" s="74"/>
    </row>
    <row r="539" spans="1:7" ht="15.75" hidden="1" customHeight="1" thickBot="1" x14ac:dyDescent="0.3">
      <c r="A539" s="6"/>
      <c r="B539" s="10" t="s">
        <v>39</v>
      </c>
      <c r="C539" s="34"/>
      <c r="D539" s="50"/>
      <c r="E539" s="49" t="str">
        <f t="shared" si="8"/>
        <v/>
      </c>
      <c r="F539" s="74"/>
      <c r="G539" s="74"/>
    </row>
    <row r="540" spans="1:7" ht="15.75" hidden="1" customHeight="1" thickBot="1" x14ac:dyDescent="0.3">
      <c r="A540" s="6"/>
      <c r="B540" s="10" t="s">
        <v>39</v>
      </c>
      <c r="C540" s="34"/>
      <c r="D540" s="50"/>
      <c r="E540" s="49" t="str">
        <f t="shared" si="8"/>
        <v/>
      </c>
      <c r="F540" s="74"/>
      <c r="G540" s="74"/>
    </row>
    <row r="541" spans="1:7" ht="15.75" hidden="1" customHeight="1" thickBot="1" x14ac:dyDescent="0.3">
      <c r="A541" s="6"/>
      <c r="B541" s="10" t="s">
        <v>39</v>
      </c>
      <c r="C541" s="34"/>
      <c r="D541" s="50"/>
      <c r="E541" s="49" t="str">
        <f t="shared" si="8"/>
        <v/>
      </c>
      <c r="F541" s="74"/>
      <c r="G541" s="74"/>
    </row>
    <row r="542" spans="1:7" ht="15.75" hidden="1" customHeight="1" thickBot="1" x14ac:dyDescent="0.3">
      <c r="A542" s="6"/>
      <c r="B542" s="10" t="s">
        <v>39</v>
      </c>
      <c r="C542" s="34"/>
      <c r="D542" s="50"/>
      <c r="E542" s="49" t="str">
        <f t="shared" si="8"/>
        <v/>
      </c>
      <c r="F542" s="74"/>
      <c r="G542" s="74"/>
    </row>
    <row r="543" spans="1:7" ht="15.75" hidden="1" customHeight="1" thickBot="1" x14ac:dyDescent="0.3">
      <c r="A543" s="6"/>
      <c r="B543" s="10" t="s">
        <v>39</v>
      </c>
      <c r="C543" s="34"/>
      <c r="D543" s="50"/>
      <c r="E543" s="49" t="str">
        <f t="shared" si="8"/>
        <v/>
      </c>
      <c r="F543" s="74"/>
      <c r="G543" s="74"/>
    </row>
    <row r="544" spans="1:7" ht="15.75" hidden="1" customHeight="1" thickBot="1" x14ac:dyDescent="0.3">
      <c r="A544" s="6"/>
      <c r="B544" s="10" t="s">
        <v>39</v>
      </c>
      <c r="C544" s="34"/>
      <c r="D544" s="50"/>
      <c r="E544" s="49" t="str">
        <f t="shared" si="8"/>
        <v/>
      </c>
      <c r="F544" s="74"/>
      <c r="G544" s="74"/>
    </row>
    <row r="545" spans="1:7" ht="15.75" hidden="1" customHeight="1" thickBot="1" x14ac:dyDescent="0.3">
      <c r="A545" s="6"/>
      <c r="B545" s="10" t="s">
        <v>39</v>
      </c>
      <c r="C545" s="34"/>
      <c r="D545" s="50"/>
      <c r="E545" s="49" t="str">
        <f t="shared" si="8"/>
        <v/>
      </c>
      <c r="F545" s="74"/>
      <c r="G545" s="74"/>
    </row>
    <row r="546" spans="1:7" ht="15.75" hidden="1" customHeight="1" thickBot="1" x14ac:dyDescent="0.3">
      <c r="A546" s="6"/>
      <c r="B546" s="10" t="s">
        <v>39</v>
      </c>
      <c r="C546" s="34"/>
      <c r="D546" s="50"/>
      <c r="E546" s="49" t="str">
        <f t="shared" si="8"/>
        <v/>
      </c>
      <c r="F546" s="74"/>
      <c r="G546" s="74"/>
    </row>
    <row r="547" spans="1:7" ht="15.75" hidden="1" customHeight="1" thickBot="1" x14ac:dyDescent="0.3">
      <c r="A547" s="6"/>
      <c r="B547" s="10" t="s">
        <v>39</v>
      </c>
      <c r="C547" s="34"/>
      <c r="D547" s="50"/>
      <c r="E547" s="49" t="str">
        <f t="shared" si="8"/>
        <v/>
      </c>
      <c r="F547" s="74"/>
      <c r="G547" s="74"/>
    </row>
    <row r="548" spans="1:7" ht="15.75" hidden="1" customHeight="1" thickBot="1" x14ac:dyDescent="0.3">
      <c r="A548" s="6"/>
      <c r="B548" s="10" t="s">
        <v>39</v>
      </c>
      <c r="C548" s="34"/>
      <c r="D548" s="50"/>
      <c r="E548" s="49" t="str">
        <f t="shared" si="8"/>
        <v/>
      </c>
      <c r="F548" s="74"/>
      <c r="G548" s="74"/>
    </row>
    <row r="549" spans="1:7" ht="15.75" hidden="1" customHeight="1" thickBot="1" x14ac:dyDescent="0.3">
      <c r="A549" s="6"/>
      <c r="B549" s="10" t="s">
        <v>39</v>
      </c>
      <c r="C549" s="34"/>
      <c r="D549" s="50"/>
      <c r="E549" s="49" t="str">
        <f t="shared" si="8"/>
        <v/>
      </c>
      <c r="F549" s="74"/>
      <c r="G549" s="74"/>
    </row>
    <row r="550" spans="1:7" ht="15.75" hidden="1" customHeight="1" thickBot="1" x14ac:dyDescent="0.3">
      <c r="A550" s="6"/>
      <c r="B550" s="10" t="s">
        <v>39</v>
      </c>
      <c r="C550" s="34"/>
      <c r="D550" s="50"/>
      <c r="E550" s="49" t="str">
        <f t="shared" si="8"/>
        <v/>
      </c>
      <c r="F550" s="74"/>
      <c r="G550" s="74"/>
    </row>
    <row r="551" spans="1:7" ht="15.75" hidden="1" customHeight="1" thickBot="1" x14ac:dyDescent="0.3">
      <c r="A551" s="6"/>
      <c r="B551" s="10" t="s">
        <v>39</v>
      </c>
      <c r="C551" s="34"/>
      <c r="D551" s="50"/>
      <c r="E551" s="49" t="str">
        <f t="shared" si="8"/>
        <v/>
      </c>
      <c r="F551" s="74"/>
      <c r="G551" s="74"/>
    </row>
    <row r="552" spans="1:7" ht="15.75" hidden="1" customHeight="1" thickBot="1" x14ac:dyDescent="0.3">
      <c r="A552" s="6"/>
      <c r="B552" s="10" t="s">
        <v>39</v>
      </c>
      <c r="C552" s="34"/>
      <c r="D552" s="50"/>
      <c r="E552" s="49" t="str">
        <f t="shared" si="8"/>
        <v/>
      </c>
      <c r="F552" s="74"/>
      <c r="G552" s="74"/>
    </row>
    <row r="553" spans="1:7" ht="15.75" hidden="1" customHeight="1" thickBot="1" x14ac:dyDescent="0.3">
      <c r="A553" s="6"/>
      <c r="B553" s="10" t="s">
        <v>39</v>
      </c>
      <c r="C553" s="34"/>
      <c r="D553" s="50"/>
      <c r="E553" s="49" t="str">
        <f t="shared" si="8"/>
        <v/>
      </c>
      <c r="F553" s="74"/>
      <c r="G553" s="74"/>
    </row>
    <row r="554" spans="1:7" ht="15.75" hidden="1" customHeight="1" thickBot="1" x14ac:dyDescent="0.3">
      <c r="A554" s="6"/>
      <c r="B554" s="10" t="s">
        <v>39</v>
      </c>
      <c r="C554" s="34"/>
      <c r="D554" s="50"/>
      <c r="E554" s="49" t="str">
        <f t="shared" si="8"/>
        <v/>
      </c>
      <c r="F554" s="74"/>
      <c r="G554" s="74"/>
    </row>
    <row r="555" spans="1:7" ht="15.75" hidden="1" customHeight="1" thickBot="1" x14ac:dyDescent="0.3">
      <c r="A555" s="6"/>
      <c r="B555" s="10" t="s">
        <v>39</v>
      </c>
      <c r="C555" s="34"/>
      <c r="D555" s="50"/>
      <c r="E555" s="49" t="str">
        <f t="shared" si="8"/>
        <v/>
      </c>
      <c r="F555" s="74"/>
      <c r="G555" s="74"/>
    </row>
    <row r="556" spans="1:7" ht="15.75" hidden="1" customHeight="1" thickBot="1" x14ac:dyDescent="0.3">
      <c r="A556" s="6"/>
      <c r="B556" s="10" t="s">
        <v>39</v>
      </c>
      <c r="C556" s="34"/>
      <c r="D556" s="50"/>
      <c r="E556" s="49" t="str">
        <f t="shared" si="8"/>
        <v/>
      </c>
      <c r="F556" s="74"/>
      <c r="G556" s="74"/>
    </row>
    <row r="557" spans="1:7" ht="15.75" hidden="1" customHeight="1" thickBot="1" x14ac:dyDescent="0.3">
      <c r="A557" s="6"/>
      <c r="B557" s="10" t="s">
        <v>39</v>
      </c>
      <c r="C557" s="34"/>
      <c r="D557" s="50"/>
      <c r="E557" s="49" t="str">
        <f t="shared" si="8"/>
        <v/>
      </c>
      <c r="F557" s="74"/>
      <c r="G557" s="74"/>
    </row>
    <row r="558" spans="1:7" ht="15.75" hidden="1" customHeight="1" thickBot="1" x14ac:dyDescent="0.3">
      <c r="A558" s="6"/>
      <c r="B558" s="10" t="s">
        <v>39</v>
      </c>
      <c r="C558" s="34"/>
      <c r="D558" s="50"/>
      <c r="E558" s="49" t="str">
        <f t="shared" si="8"/>
        <v/>
      </c>
      <c r="F558" s="74"/>
      <c r="G558" s="74"/>
    </row>
    <row r="559" spans="1:7" ht="15.75" hidden="1" customHeight="1" thickBot="1" x14ac:dyDescent="0.3">
      <c r="A559" s="6"/>
      <c r="B559" s="10" t="s">
        <v>39</v>
      </c>
      <c r="C559" s="34"/>
      <c r="D559" s="50"/>
      <c r="E559" s="49" t="str">
        <f t="shared" si="8"/>
        <v/>
      </c>
      <c r="F559" s="74"/>
      <c r="G559" s="74"/>
    </row>
    <row r="560" spans="1:7" ht="15.75" hidden="1" customHeight="1" thickBot="1" x14ac:dyDescent="0.3">
      <c r="A560" s="6"/>
      <c r="B560" s="10" t="s">
        <v>39</v>
      </c>
      <c r="C560" s="34"/>
      <c r="D560" s="50"/>
      <c r="E560" s="49" t="str">
        <f t="shared" si="8"/>
        <v/>
      </c>
      <c r="F560" s="74"/>
      <c r="G560" s="74"/>
    </row>
    <row r="561" spans="1:7" ht="15.75" hidden="1" customHeight="1" thickBot="1" x14ac:dyDescent="0.3">
      <c r="A561" s="6"/>
      <c r="B561" s="10" t="s">
        <v>39</v>
      </c>
      <c r="C561" s="34"/>
      <c r="D561" s="50"/>
      <c r="E561" s="49" t="str">
        <f t="shared" si="8"/>
        <v/>
      </c>
      <c r="F561" s="74"/>
      <c r="G561" s="74"/>
    </row>
    <row r="562" spans="1:7" ht="15.75" hidden="1" customHeight="1" thickBot="1" x14ac:dyDescent="0.3">
      <c r="A562" s="6"/>
      <c r="B562" s="10" t="s">
        <v>39</v>
      </c>
      <c r="C562" s="34"/>
      <c r="D562" s="50"/>
      <c r="E562" s="49" t="str">
        <f t="shared" si="8"/>
        <v/>
      </c>
      <c r="F562" s="74"/>
      <c r="G562" s="74"/>
    </row>
    <row r="563" spans="1:7" ht="15.75" hidden="1" customHeight="1" thickBot="1" x14ac:dyDescent="0.3">
      <c r="A563" s="6"/>
      <c r="B563" s="10" t="s">
        <v>39</v>
      </c>
      <c r="C563" s="34"/>
      <c r="D563" s="50"/>
      <c r="E563" s="49" t="str">
        <f t="shared" si="8"/>
        <v/>
      </c>
      <c r="F563" s="74"/>
      <c r="G563" s="74"/>
    </row>
    <row r="564" spans="1:7" ht="15.75" hidden="1" customHeight="1" thickBot="1" x14ac:dyDescent="0.3">
      <c r="A564" s="6"/>
      <c r="B564" s="10" t="s">
        <v>39</v>
      </c>
      <c r="C564" s="34"/>
      <c r="D564" s="50"/>
      <c r="E564" s="49" t="str">
        <f t="shared" si="8"/>
        <v/>
      </c>
      <c r="F564" s="74"/>
      <c r="G564" s="74"/>
    </row>
    <row r="565" spans="1:7" ht="15.75" hidden="1" customHeight="1" thickBot="1" x14ac:dyDescent="0.3">
      <c r="A565" s="6"/>
      <c r="B565" s="10" t="s">
        <v>39</v>
      </c>
      <c r="C565" s="34"/>
      <c r="D565" s="50"/>
      <c r="E565" s="49" t="str">
        <f t="shared" si="8"/>
        <v/>
      </c>
      <c r="F565" s="74"/>
      <c r="G565" s="74"/>
    </row>
    <row r="566" spans="1:7" ht="15.75" hidden="1" customHeight="1" thickBot="1" x14ac:dyDescent="0.3">
      <c r="A566" s="6"/>
      <c r="B566" s="10" t="s">
        <v>39</v>
      </c>
      <c r="C566" s="34"/>
      <c r="D566" s="50"/>
      <c r="E566" s="49" t="str">
        <f t="shared" si="8"/>
        <v/>
      </c>
      <c r="F566" s="74"/>
      <c r="G566" s="74"/>
    </row>
    <row r="567" spans="1:7" ht="15.75" hidden="1" customHeight="1" thickBot="1" x14ac:dyDescent="0.3">
      <c r="A567" s="6"/>
      <c r="B567" s="10" t="s">
        <v>39</v>
      </c>
      <c r="C567" s="34"/>
      <c r="D567" s="50"/>
      <c r="E567" s="49" t="str">
        <f t="shared" si="8"/>
        <v/>
      </c>
      <c r="F567" s="74"/>
      <c r="G567" s="74"/>
    </row>
    <row r="568" spans="1:7" ht="15.75" hidden="1" customHeight="1" thickBot="1" x14ac:dyDescent="0.3">
      <c r="A568" s="6"/>
      <c r="B568" s="10" t="s">
        <v>39</v>
      </c>
      <c r="C568" s="34"/>
      <c r="D568" s="50"/>
      <c r="E568" s="49" t="str">
        <f t="shared" si="8"/>
        <v/>
      </c>
      <c r="F568" s="74"/>
      <c r="G568" s="74"/>
    </row>
    <row r="569" spans="1:7" ht="15.75" hidden="1" customHeight="1" thickBot="1" x14ac:dyDescent="0.3">
      <c r="A569" s="6"/>
      <c r="B569" s="10" t="s">
        <v>39</v>
      </c>
      <c r="C569" s="34"/>
      <c r="D569" s="50"/>
      <c r="E569" s="49" t="str">
        <f t="shared" si="8"/>
        <v/>
      </c>
      <c r="F569" s="74"/>
      <c r="G569" s="74"/>
    </row>
    <row r="570" spans="1:7" ht="15.75" hidden="1" customHeight="1" thickBot="1" x14ac:dyDescent="0.3">
      <c r="A570" s="6"/>
      <c r="B570" s="10" t="s">
        <v>39</v>
      </c>
      <c r="C570" s="34"/>
      <c r="D570" s="50"/>
      <c r="E570" s="49" t="str">
        <f t="shared" si="8"/>
        <v/>
      </c>
      <c r="F570" s="74"/>
      <c r="G570" s="74"/>
    </row>
    <row r="571" spans="1:7" ht="15.75" hidden="1" customHeight="1" thickBot="1" x14ac:dyDescent="0.3">
      <c r="A571" s="6"/>
      <c r="B571" s="10" t="s">
        <v>39</v>
      </c>
      <c r="C571" s="34"/>
      <c r="D571" s="50"/>
      <c r="E571" s="49" t="str">
        <f t="shared" si="8"/>
        <v/>
      </c>
      <c r="F571" s="74"/>
      <c r="G571" s="74"/>
    </row>
    <row r="572" spans="1:7" ht="15.75" hidden="1" customHeight="1" thickBot="1" x14ac:dyDescent="0.3">
      <c r="A572" s="6"/>
      <c r="B572" s="10" t="s">
        <v>39</v>
      </c>
      <c r="C572" s="34"/>
      <c r="D572" s="50"/>
      <c r="E572" s="49" t="str">
        <f t="shared" si="8"/>
        <v/>
      </c>
      <c r="F572" s="74"/>
      <c r="G572" s="74"/>
    </row>
    <row r="573" spans="1:7" ht="15.75" hidden="1" customHeight="1" thickBot="1" x14ac:dyDescent="0.3">
      <c r="A573" s="6"/>
      <c r="B573" s="10" t="s">
        <v>39</v>
      </c>
      <c r="C573" s="34"/>
      <c r="D573" s="50"/>
      <c r="E573" s="49" t="str">
        <f t="shared" si="8"/>
        <v/>
      </c>
      <c r="F573" s="74"/>
      <c r="G573" s="74"/>
    </row>
    <row r="574" spans="1:7" ht="15.75" hidden="1" customHeight="1" thickBot="1" x14ac:dyDescent="0.3">
      <c r="A574" s="6"/>
      <c r="B574" s="10" t="s">
        <v>39</v>
      </c>
      <c r="C574" s="34"/>
      <c r="D574" s="50"/>
      <c r="E574" s="49" t="str">
        <f t="shared" si="8"/>
        <v/>
      </c>
      <c r="F574" s="74"/>
      <c r="G574" s="74"/>
    </row>
    <row r="575" spans="1:7" ht="15.75" hidden="1" customHeight="1" thickBot="1" x14ac:dyDescent="0.3">
      <c r="A575" s="6"/>
      <c r="B575" s="10" t="s">
        <v>39</v>
      </c>
      <c r="C575" s="34"/>
      <c r="D575" s="50"/>
      <c r="E575" s="49" t="str">
        <f t="shared" si="8"/>
        <v/>
      </c>
      <c r="F575" s="74"/>
      <c r="G575" s="74"/>
    </row>
    <row r="576" spans="1:7" ht="15.75" hidden="1" customHeight="1" thickBot="1" x14ac:dyDescent="0.3">
      <c r="A576" s="6"/>
      <c r="B576" s="10" t="s">
        <v>39</v>
      </c>
      <c r="C576" s="34"/>
      <c r="D576" s="50"/>
      <c r="E576" s="49" t="str">
        <f t="shared" si="8"/>
        <v/>
      </c>
      <c r="F576" s="74"/>
      <c r="G576" s="74"/>
    </row>
    <row r="577" spans="1:7" ht="15.75" hidden="1" customHeight="1" thickBot="1" x14ac:dyDescent="0.3">
      <c r="A577" s="6"/>
      <c r="B577" s="10" t="s">
        <v>39</v>
      </c>
      <c r="C577" s="34"/>
      <c r="D577" s="50"/>
      <c r="E577" s="49" t="str">
        <f t="shared" si="8"/>
        <v/>
      </c>
      <c r="F577" s="74"/>
      <c r="G577" s="74"/>
    </row>
    <row r="578" spans="1:7" ht="15.75" hidden="1" customHeight="1" thickBot="1" x14ac:dyDescent="0.3">
      <c r="A578" s="6"/>
      <c r="B578" s="10" t="s">
        <v>39</v>
      </c>
      <c r="C578" s="34"/>
      <c r="D578" s="50"/>
      <c r="E578" s="49" t="str">
        <f t="shared" si="8"/>
        <v/>
      </c>
      <c r="F578" s="74"/>
      <c r="G578" s="74"/>
    </row>
    <row r="579" spans="1:7" ht="15.75" hidden="1" customHeight="1" thickBot="1" x14ac:dyDescent="0.3">
      <c r="A579" s="6"/>
      <c r="B579" s="10" t="s">
        <v>39</v>
      </c>
      <c r="C579" s="34"/>
      <c r="D579" s="50"/>
      <c r="E579" s="49" t="str">
        <f t="shared" si="8"/>
        <v/>
      </c>
      <c r="F579" s="74"/>
      <c r="G579" s="74"/>
    </row>
    <row r="580" spans="1:7" ht="15.75" hidden="1" customHeight="1" thickBot="1" x14ac:dyDescent="0.3">
      <c r="A580" s="6"/>
      <c r="B580" s="10" t="s">
        <v>39</v>
      </c>
      <c r="C580" s="34"/>
      <c r="D580" s="50"/>
      <c r="E580" s="49" t="str">
        <f t="shared" si="8"/>
        <v/>
      </c>
      <c r="F580" s="74"/>
      <c r="G580" s="74"/>
    </row>
    <row r="581" spans="1:7" ht="15.75" hidden="1" customHeight="1" thickBot="1" x14ac:dyDescent="0.3">
      <c r="A581" s="6"/>
      <c r="B581" s="10" t="s">
        <v>39</v>
      </c>
      <c r="C581" s="34"/>
      <c r="D581" s="50"/>
      <c r="E581" s="49" t="str">
        <f t="shared" si="8"/>
        <v/>
      </c>
      <c r="F581" s="74"/>
      <c r="G581" s="74"/>
    </row>
    <row r="582" spans="1:7" ht="15.75" hidden="1" customHeight="1" thickBot="1" x14ac:dyDescent="0.3">
      <c r="A582" s="6"/>
      <c r="B582" s="10" t="s">
        <v>39</v>
      </c>
      <c r="C582" s="34"/>
      <c r="D582" s="50"/>
      <c r="E582" s="49" t="str">
        <f t="shared" si="8"/>
        <v/>
      </c>
      <c r="F582" s="74"/>
      <c r="G582" s="74"/>
    </row>
    <row r="583" spans="1:7" ht="15.75" hidden="1" customHeight="1" thickBot="1" x14ac:dyDescent="0.3">
      <c r="A583" s="6"/>
      <c r="B583" s="10" t="s">
        <v>39</v>
      </c>
      <c r="C583" s="34"/>
      <c r="D583" s="50"/>
      <c r="E583" s="49" t="str">
        <f t="shared" si="8"/>
        <v/>
      </c>
      <c r="F583" s="74"/>
      <c r="G583" s="74"/>
    </row>
    <row r="584" spans="1:7" ht="15.75" hidden="1" customHeight="1" thickBot="1" x14ac:dyDescent="0.3">
      <c r="A584" s="6"/>
      <c r="B584" s="10" t="s">
        <v>39</v>
      </c>
      <c r="C584" s="34"/>
      <c r="D584" s="50"/>
      <c r="E584" s="49" t="str">
        <f t="shared" ref="E584:E647" si="9">IF(C584="Active",IF(ISNUMBER(D584),D584-rToday,""),"")</f>
        <v/>
      </c>
      <c r="F584" s="74"/>
      <c r="G584" s="74"/>
    </row>
    <row r="585" spans="1:7" ht="15.75" hidden="1" customHeight="1" thickBot="1" x14ac:dyDescent="0.3">
      <c r="A585" s="6"/>
      <c r="B585" s="10" t="s">
        <v>39</v>
      </c>
      <c r="C585" s="34"/>
      <c r="D585" s="50"/>
      <c r="E585" s="49" t="str">
        <f t="shared" si="9"/>
        <v/>
      </c>
      <c r="F585" s="74"/>
      <c r="G585" s="74"/>
    </row>
    <row r="586" spans="1:7" ht="15.75" hidden="1" customHeight="1" thickBot="1" x14ac:dyDescent="0.3">
      <c r="A586" s="6"/>
      <c r="B586" s="10" t="s">
        <v>39</v>
      </c>
      <c r="C586" s="34"/>
      <c r="D586" s="50"/>
      <c r="E586" s="49" t="str">
        <f t="shared" si="9"/>
        <v/>
      </c>
      <c r="F586" s="74"/>
      <c r="G586" s="74"/>
    </row>
    <row r="587" spans="1:7" ht="15.75" hidden="1" customHeight="1" thickBot="1" x14ac:dyDescent="0.3">
      <c r="A587" s="6"/>
      <c r="B587" s="10" t="s">
        <v>39</v>
      </c>
      <c r="C587" s="34"/>
      <c r="D587" s="50"/>
      <c r="E587" s="49" t="str">
        <f t="shared" si="9"/>
        <v/>
      </c>
      <c r="F587" s="74"/>
      <c r="G587" s="74"/>
    </row>
    <row r="588" spans="1:7" ht="15.75" hidden="1" customHeight="1" thickBot="1" x14ac:dyDescent="0.3">
      <c r="A588" s="6"/>
      <c r="B588" s="10" t="s">
        <v>39</v>
      </c>
      <c r="C588" s="34"/>
      <c r="D588" s="50"/>
      <c r="E588" s="49" t="str">
        <f t="shared" si="9"/>
        <v/>
      </c>
      <c r="F588" s="74"/>
      <c r="G588" s="74"/>
    </row>
    <row r="589" spans="1:7" ht="15.75" hidden="1" customHeight="1" thickBot="1" x14ac:dyDescent="0.3">
      <c r="A589" s="6"/>
      <c r="B589" s="10" t="s">
        <v>39</v>
      </c>
      <c r="C589" s="34"/>
      <c r="D589" s="50"/>
      <c r="E589" s="49" t="str">
        <f t="shared" si="9"/>
        <v/>
      </c>
      <c r="F589" s="74"/>
      <c r="G589" s="74"/>
    </row>
    <row r="590" spans="1:7" ht="15.75" hidden="1" customHeight="1" thickBot="1" x14ac:dyDescent="0.3">
      <c r="A590" s="6"/>
      <c r="B590" s="10" t="s">
        <v>39</v>
      </c>
      <c r="C590" s="34"/>
      <c r="D590" s="50"/>
      <c r="E590" s="49" t="str">
        <f t="shared" si="9"/>
        <v/>
      </c>
      <c r="F590" s="74"/>
      <c r="G590" s="74"/>
    </row>
    <row r="591" spans="1:7" ht="15.75" hidden="1" customHeight="1" thickBot="1" x14ac:dyDescent="0.3">
      <c r="A591" s="6"/>
      <c r="B591" s="10" t="s">
        <v>39</v>
      </c>
      <c r="C591" s="34"/>
      <c r="D591" s="50"/>
      <c r="E591" s="49" t="str">
        <f t="shared" si="9"/>
        <v/>
      </c>
      <c r="F591" s="74"/>
      <c r="G591" s="74"/>
    </row>
    <row r="592" spans="1:7" ht="15.75" hidden="1" customHeight="1" thickBot="1" x14ac:dyDescent="0.3">
      <c r="A592" s="6"/>
      <c r="B592" s="10" t="s">
        <v>39</v>
      </c>
      <c r="C592" s="34"/>
      <c r="D592" s="50"/>
      <c r="E592" s="49" t="str">
        <f t="shared" si="9"/>
        <v/>
      </c>
      <c r="F592" s="74"/>
      <c r="G592" s="74"/>
    </row>
    <row r="593" spans="1:7" ht="15.75" hidden="1" customHeight="1" thickBot="1" x14ac:dyDescent="0.3">
      <c r="A593" s="6"/>
      <c r="B593" s="10" t="s">
        <v>39</v>
      </c>
      <c r="C593" s="34"/>
      <c r="D593" s="50"/>
      <c r="E593" s="49" t="str">
        <f t="shared" si="9"/>
        <v/>
      </c>
      <c r="F593" s="74"/>
      <c r="G593" s="74"/>
    </row>
    <row r="594" spans="1:7" ht="15.75" hidden="1" customHeight="1" thickBot="1" x14ac:dyDescent="0.3">
      <c r="A594" s="6"/>
      <c r="B594" s="10" t="s">
        <v>39</v>
      </c>
      <c r="C594" s="34"/>
      <c r="D594" s="50"/>
      <c r="E594" s="49" t="str">
        <f t="shared" si="9"/>
        <v/>
      </c>
      <c r="F594" s="74"/>
      <c r="G594" s="74"/>
    </row>
    <row r="595" spans="1:7" ht="15.75" hidden="1" customHeight="1" thickBot="1" x14ac:dyDescent="0.3">
      <c r="A595" s="6"/>
      <c r="B595" s="10" t="s">
        <v>39</v>
      </c>
      <c r="C595" s="34"/>
      <c r="D595" s="50"/>
      <c r="E595" s="49" t="str">
        <f t="shared" si="9"/>
        <v/>
      </c>
      <c r="F595" s="74"/>
      <c r="G595" s="74"/>
    </row>
    <row r="596" spans="1:7" ht="15.75" hidden="1" customHeight="1" thickBot="1" x14ac:dyDescent="0.3">
      <c r="A596" s="6"/>
      <c r="B596" s="10" t="s">
        <v>39</v>
      </c>
      <c r="C596" s="34"/>
      <c r="D596" s="50"/>
      <c r="E596" s="49" t="str">
        <f t="shared" si="9"/>
        <v/>
      </c>
      <c r="F596" s="74"/>
      <c r="G596" s="74"/>
    </row>
    <row r="597" spans="1:7" ht="15.75" hidden="1" customHeight="1" thickBot="1" x14ac:dyDescent="0.3">
      <c r="A597" s="6"/>
      <c r="B597" s="10" t="s">
        <v>39</v>
      </c>
      <c r="C597" s="34"/>
      <c r="D597" s="50"/>
      <c r="E597" s="49" t="str">
        <f t="shared" si="9"/>
        <v/>
      </c>
      <c r="F597" s="74"/>
      <c r="G597" s="74"/>
    </row>
    <row r="598" spans="1:7" ht="15.75" hidden="1" customHeight="1" thickBot="1" x14ac:dyDescent="0.3">
      <c r="A598" s="6"/>
      <c r="B598" s="10" t="s">
        <v>39</v>
      </c>
      <c r="C598" s="34"/>
      <c r="D598" s="50"/>
      <c r="E598" s="49" t="str">
        <f t="shared" si="9"/>
        <v/>
      </c>
      <c r="F598" s="74"/>
      <c r="G598" s="74"/>
    </row>
    <row r="599" spans="1:7" ht="15.75" hidden="1" customHeight="1" thickBot="1" x14ac:dyDescent="0.3">
      <c r="A599" s="6"/>
      <c r="B599" s="10" t="s">
        <v>39</v>
      </c>
      <c r="C599" s="34"/>
      <c r="D599" s="50"/>
      <c r="E599" s="49" t="str">
        <f t="shared" si="9"/>
        <v/>
      </c>
      <c r="F599" s="74"/>
      <c r="G599" s="74"/>
    </row>
    <row r="600" spans="1:7" ht="15.75" hidden="1" customHeight="1" thickBot="1" x14ac:dyDescent="0.3">
      <c r="A600" s="6"/>
      <c r="B600" s="10" t="s">
        <v>39</v>
      </c>
      <c r="C600" s="34"/>
      <c r="D600" s="50"/>
      <c r="E600" s="49" t="str">
        <f t="shared" si="9"/>
        <v/>
      </c>
      <c r="F600" s="74"/>
      <c r="G600" s="74"/>
    </row>
    <row r="601" spans="1:7" ht="15.75" hidden="1" customHeight="1" thickBot="1" x14ac:dyDescent="0.3">
      <c r="A601" s="6"/>
      <c r="B601" s="10" t="s">
        <v>39</v>
      </c>
      <c r="C601" s="34"/>
      <c r="D601" s="50"/>
      <c r="E601" s="49" t="str">
        <f t="shared" si="9"/>
        <v/>
      </c>
      <c r="F601" s="74"/>
      <c r="G601" s="74"/>
    </row>
    <row r="602" spans="1:7" ht="15.75" hidden="1" customHeight="1" thickBot="1" x14ac:dyDescent="0.3">
      <c r="A602" s="6"/>
      <c r="B602" s="10" t="s">
        <v>39</v>
      </c>
      <c r="C602" s="34"/>
      <c r="D602" s="50"/>
      <c r="E602" s="49" t="str">
        <f t="shared" si="9"/>
        <v/>
      </c>
      <c r="F602" s="74"/>
      <c r="G602" s="74"/>
    </row>
    <row r="603" spans="1:7" ht="15.75" hidden="1" customHeight="1" thickBot="1" x14ac:dyDescent="0.3">
      <c r="A603" s="6"/>
      <c r="B603" s="10" t="s">
        <v>39</v>
      </c>
      <c r="C603" s="34"/>
      <c r="D603" s="50"/>
      <c r="E603" s="49" t="str">
        <f t="shared" si="9"/>
        <v/>
      </c>
      <c r="F603" s="74"/>
      <c r="G603" s="74"/>
    </row>
    <row r="604" spans="1:7" ht="15.75" hidden="1" customHeight="1" thickBot="1" x14ac:dyDescent="0.3">
      <c r="A604" s="6"/>
      <c r="B604" s="10" t="s">
        <v>39</v>
      </c>
      <c r="C604" s="34"/>
      <c r="D604" s="50"/>
      <c r="E604" s="49" t="str">
        <f t="shared" si="9"/>
        <v/>
      </c>
      <c r="F604" s="74"/>
      <c r="G604" s="74"/>
    </row>
    <row r="605" spans="1:7" ht="15.75" hidden="1" customHeight="1" thickBot="1" x14ac:dyDescent="0.3">
      <c r="A605" s="6"/>
      <c r="B605" s="10" t="s">
        <v>39</v>
      </c>
      <c r="C605" s="34"/>
      <c r="D605" s="50"/>
      <c r="E605" s="49" t="str">
        <f t="shared" si="9"/>
        <v/>
      </c>
      <c r="F605" s="74"/>
      <c r="G605" s="74"/>
    </row>
    <row r="606" spans="1:7" ht="15.75" hidden="1" customHeight="1" thickBot="1" x14ac:dyDescent="0.3">
      <c r="A606" s="6"/>
      <c r="B606" s="10" t="s">
        <v>39</v>
      </c>
      <c r="C606" s="34"/>
      <c r="D606" s="50"/>
      <c r="E606" s="49" t="str">
        <f t="shared" si="9"/>
        <v/>
      </c>
      <c r="F606" s="74"/>
      <c r="G606" s="74"/>
    </row>
    <row r="607" spans="1:7" ht="15.75" hidden="1" customHeight="1" thickBot="1" x14ac:dyDescent="0.3">
      <c r="A607" s="6"/>
      <c r="B607" s="10" t="s">
        <v>39</v>
      </c>
      <c r="C607" s="34"/>
      <c r="D607" s="50"/>
      <c r="E607" s="49" t="str">
        <f t="shared" si="9"/>
        <v/>
      </c>
      <c r="F607" s="74"/>
      <c r="G607" s="74"/>
    </row>
    <row r="608" spans="1:7" ht="15.75" hidden="1" customHeight="1" thickBot="1" x14ac:dyDescent="0.3">
      <c r="A608" s="6"/>
      <c r="B608" s="10" t="s">
        <v>39</v>
      </c>
      <c r="C608" s="34"/>
      <c r="D608" s="50"/>
      <c r="E608" s="49" t="str">
        <f t="shared" si="9"/>
        <v/>
      </c>
      <c r="F608" s="74"/>
      <c r="G608" s="74"/>
    </row>
    <row r="609" spans="1:7" ht="15.75" hidden="1" customHeight="1" thickBot="1" x14ac:dyDescent="0.3">
      <c r="A609" s="6"/>
      <c r="B609" s="10" t="s">
        <v>39</v>
      </c>
      <c r="C609" s="34"/>
      <c r="D609" s="50"/>
      <c r="E609" s="49" t="str">
        <f t="shared" si="9"/>
        <v/>
      </c>
      <c r="F609" s="74"/>
      <c r="G609" s="74"/>
    </row>
    <row r="610" spans="1:7" ht="15.75" hidden="1" customHeight="1" thickBot="1" x14ac:dyDescent="0.3">
      <c r="A610" s="6"/>
      <c r="B610" s="10" t="s">
        <v>39</v>
      </c>
      <c r="C610" s="34"/>
      <c r="D610" s="50"/>
      <c r="E610" s="49" t="str">
        <f t="shared" si="9"/>
        <v/>
      </c>
      <c r="F610" s="74"/>
      <c r="G610" s="74"/>
    </row>
    <row r="611" spans="1:7" ht="15.75" hidden="1" customHeight="1" thickBot="1" x14ac:dyDescent="0.3">
      <c r="A611" s="6"/>
      <c r="B611" s="10" t="s">
        <v>39</v>
      </c>
      <c r="C611" s="34"/>
      <c r="D611" s="50"/>
      <c r="E611" s="49" t="str">
        <f t="shared" si="9"/>
        <v/>
      </c>
      <c r="F611" s="74"/>
      <c r="G611" s="74"/>
    </row>
    <row r="612" spans="1:7" ht="15.75" hidden="1" customHeight="1" thickBot="1" x14ac:dyDescent="0.3">
      <c r="A612" s="6"/>
      <c r="B612" s="10" t="s">
        <v>39</v>
      </c>
      <c r="C612" s="34"/>
      <c r="D612" s="50"/>
      <c r="E612" s="49" t="str">
        <f t="shared" si="9"/>
        <v/>
      </c>
      <c r="F612" s="74"/>
      <c r="G612" s="74"/>
    </row>
    <row r="613" spans="1:7" ht="15.75" hidden="1" customHeight="1" thickBot="1" x14ac:dyDescent="0.3">
      <c r="A613" s="6"/>
      <c r="B613" s="10" t="s">
        <v>39</v>
      </c>
      <c r="C613" s="34"/>
      <c r="D613" s="50"/>
      <c r="E613" s="49" t="str">
        <f t="shared" si="9"/>
        <v/>
      </c>
      <c r="F613" s="74"/>
      <c r="G613" s="74"/>
    </row>
    <row r="614" spans="1:7" ht="15.75" hidden="1" customHeight="1" thickBot="1" x14ac:dyDescent="0.3">
      <c r="A614" s="6"/>
      <c r="B614" s="10" t="s">
        <v>39</v>
      </c>
      <c r="C614" s="34"/>
      <c r="D614" s="50"/>
      <c r="E614" s="49" t="str">
        <f t="shared" si="9"/>
        <v/>
      </c>
      <c r="F614" s="74"/>
      <c r="G614" s="74"/>
    </row>
    <row r="615" spans="1:7" ht="15.75" hidden="1" customHeight="1" thickBot="1" x14ac:dyDescent="0.3">
      <c r="A615" s="6"/>
      <c r="B615" s="10" t="s">
        <v>39</v>
      </c>
      <c r="C615" s="34"/>
      <c r="D615" s="50"/>
      <c r="E615" s="49" t="str">
        <f t="shared" si="9"/>
        <v/>
      </c>
      <c r="F615" s="74"/>
      <c r="G615" s="74"/>
    </row>
    <row r="616" spans="1:7" ht="15.75" hidden="1" customHeight="1" thickBot="1" x14ac:dyDescent="0.3">
      <c r="A616" s="6"/>
      <c r="B616" s="10" t="s">
        <v>39</v>
      </c>
      <c r="C616" s="34"/>
      <c r="D616" s="50"/>
      <c r="E616" s="49" t="str">
        <f t="shared" si="9"/>
        <v/>
      </c>
      <c r="F616" s="74"/>
      <c r="G616" s="74"/>
    </row>
    <row r="617" spans="1:7" ht="15.75" hidden="1" customHeight="1" thickBot="1" x14ac:dyDescent="0.3">
      <c r="A617" s="6"/>
      <c r="B617" s="10" t="s">
        <v>39</v>
      </c>
      <c r="C617" s="34"/>
      <c r="D617" s="50"/>
      <c r="E617" s="49" t="str">
        <f t="shared" si="9"/>
        <v/>
      </c>
      <c r="F617" s="74"/>
      <c r="G617" s="74"/>
    </row>
    <row r="618" spans="1:7" ht="15.75" hidden="1" customHeight="1" thickBot="1" x14ac:dyDescent="0.3">
      <c r="A618" s="6"/>
      <c r="B618" s="10" t="s">
        <v>39</v>
      </c>
      <c r="C618" s="34"/>
      <c r="D618" s="50"/>
      <c r="E618" s="49" t="str">
        <f t="shared" si="9"/>
        <v/>
      </c>
      <c r="F618" s="74"/>
      <c r="G618" s="74"/>
    </row>
    <row r="619" spans="1:7" ht="15.75" hidden="1" customHeight="1" thickBot="1" x14ac:dyDescent="0.3">
      <c r="A619" s="6"/>
      <c r="B619" s="10" t="s">
        <v>39</v>
      </c>
      <c r="C619" s="34"/>
      <c r="D619" s="50"/>
      <c r="E619" s="49" t="str">
        <f t="shared" si="9"/>
        <v/>
      </c>
      <c r="F619" s="74"/>
      <c r="G619" s="74"/>
    </row>
    <row r="620" spans="1:7" ht="15.75" hidden="1" customHeight="1" thickBot="1" x14ac:dyDescent="0.3">
      <c r="A620" s="6"/>
      <c r="B620" s="10" t="s">
        <v>39</v>
      </c>
      <c r="C620" s="34"/>
      <c r="D620" s="50"/>
      <c r="E620" s="49" t="str">
        <f t="shared" si="9"/>
        <v/>
      </c>
      <c r="F620" s="74"/>
      <c r="G620" s="74"/>
    </row>
    <row r="621" spans="1:7" ht="15.75" hidden="1" customHeight="1" thickBot="1" x14ac:dyDescent="0.3">
      <c r="A621" s="6"/>
      <c r="B621" s="10" t="s">
        <v>39</v>
      </c>
      <c r="C621" s="34"/>
      <c r="D621" s="50"/>
      <c r="E621" s="49" t="str">
        <f t="shared" si="9"/>
        <v/>
      </c>
      <c r="F621" s="74"/>
      <c r="G621" s="74"/>
    </row>
    <row r="622" spans="1:7" ht="15.75" hidden="1" customHeight="1" thickBot="1" x14ac:dyDescent="0.3">
      <c r="A622" s="6"/>
      <c r="B622" s="10" t="s">
        <v>39</v>
      </c>
      <c r="C622" s="34"/>
      <c r="D622" s="50"/>
      <c r="E622" s="49" t="str">
        <f t="shared" si="9"/>
        <v/>
      </c>
      <c r="F622" s="74"/>
      <c r="G622" s="74"/>
    </row>
    <row r="623" spans="1:7" ht="15.75" hidden="1" customHeight="1" thickBot="1" x14ac:dyDescent="0.3">
      <c r="A623" s="6"/>
      <c r="B623" s="10" t="s">
        <v>39</v>
      </c>
      <c r="C623" s="34"/>
      <c r="D623" s="50"/>
      <c r="E623" s="49" t="str">
        <f t="shared" si="9"/>
        <v/>
      </c>
      <c r="F623" s="74"/>
      <c r="G623" s="74"/>
    </row>
    <row r="624" spans="1:7" ht="15.75" hidden="1" customHeight="1" thickBot="1" x14ac:dyDescent="0.3">
      <c r="A624" s="6"/>
      <c r="B624" s="10" t="s">
        <v>39</v>
      </c>
      <c r="C624" s="34"/>
      <c r="D624" s="50"/>
      <c r="E624" s="49" t="str">
        <f t="shared" si="9"/>
        <v/>
      </c>
      <c r="F624" s="74"/>
      <c r="G624" s="74"/>
    </row>
    <row r="625" spans="1:7" ht="15.75" hidden="1" customHeight="1" thickBot="1" x14ac:dyDescent="0.3">
      <c r="A625" s="6"/>
      <c r="B625" s="10" t="s">
        <v>39</v>
      </c>
      <c r="C625" s="34"/>
      <c r="D625" s="50"/>
      <c r="E625" s="49" t="str">
        <f t="shared" si="9"/>
        <v/>
      </c>
      <c r="F625" s="74"/>
      <c r="G625" s="74"/>
    </row>
    <row r="626" spans="1:7" ht="15.75" hidden="1" customHeight="1" thickBot="1" x14ac:dyDescent="0.3">
      <c r="A626" s="6"/>
      <c r="B626" s="10" t="s">
        <v>39</v>
      </c>
      <c r="C626" s="34"/>
      <c r="D626" s="50"/>
      <c r="E626" s="49" t="str">
        <f t="shared" si="9"/>
        <v/>
      </c>
      <c r="F626" s="74"/>
      <c r="G626" s="74"/>
    </row>
    <row r="627" spans="1:7" ht="15.75" hidden="1" customHeight="1" thickBot="1" x14ac:dyDescent="0.3">
      <c r="A627" s="6"/>
      <c r="B627" s="10" t="s">
        <v>39</v>
      </c>
      <c r="C627" s="34"/>
      <c r="D627" s="50"/>
      <c r="E627" s="49" t="str">
        <f t="shared" si="9"/>
        <v/>
      </c>
      <c r="F627" s="74"/>
      <c r="G627" s="74"/>
    </row>
    <row r="628" spans="1:7" ht="15.75" hidden="1" customHeight="1" thickBot="1" x14ac:dyDescent="0.3">
      <c r="A628" s="6"/>
      <c r="B628" s="10" t="s">
        <v>39</v>
      </c>
      <c r="C628" s="34"/>
      <c r="D628" s="50"/>
      <c r="E628" s="49" t="str">
        <f t="shared" si="9"/>
        <v/>
      </c>
      <c r="F628" s="74"/>
      <c r="G628" s="74"/>
    </row>
    <row r="629" spans="1:7" ht="15.75" hidden="1" customHeight="1" thickBot="1" x14ac:dyDescent="0.3">
      <c r="A629" s="6"/>
      <c r="B629" s="10" t="s">
        <v>39</v>
      </c>
      <c r="C629" s="34"/>
      <c r="D629" s="50"/>
      <c r="E629" s="49" t="str">
        <f t="shared" si="9"/>
        <v/>
      </c>
      <c r="F629" s="74"/>
      <c r="G629" s="74"/>
    </row>
    <row r="630" spans="1:7" ht="15.75" hidden="1" customHeight="1" thickBot="1" x14ac:dyDescent="0.3">
      <c r="A630" s="6"/>
      <c r="B630" s="10" t="s">
        <v>39</v>
      </c>
      <c r="C630" s="34"/>
      <c r="D630" s="50"/>
      <c r="E630" s="49" t="str">
        <f t="shared" si="9"/>
        <v/>
      </c>
      <c r="F630" s="74"/>
      <c r="G630" s="74"/>
    </row>
    <row r="631" spans="1:7" ht="15.75" hidden="1" customHeight="1" thickBot="1" x14ac:dyDescent="0.3">
      <c r="A631" s="6"/>
      <c r="B631" s="10" t="s">
        <v>39</v>
      </c>
      <c r="C631" s="34"/>
      <c r="D631" s="50"/>
      <c r="E631" s="49" t="str">
        <f t="shared" si="9"/>
        <v/>
      </c>
      <c r="F631" s="74"/>
      <c r="G631" s="74"/>
    </row>
    <row r="632" spans="1:7" ht="15.75" hidden="1" customHeight="1" thickBot="1" x14ac:dyDescent="0.3">
      <c r="A632" s="6"/>
      <c r="B632" s="10" t="s">
        <v>39</v>
      </c>
      <c r="C632" s="34"/>
      <c r="D632" s="50"/>
      <c r="E632" s="49" t="str">
        <f t="shared" si="9"/>
        <v/>
      </c>
      <c r="F632" s="74"/>
      <c r="G632" s="74"/>
    </row>
    <row r="633" spans="1:7" ht="15.75" hidden="1" customHeight="1" thickBot="1" x14ac:dyDescent="0.3">
      <c r="A633" s="6"/>
      <c r="B633" s="10" t="s">
        <v>39</v>
      </c>
      <c r="C633" s="34"/>
      <c r="D633" s="50"/>
      <c r="E633" s="49" t="str">
        <f t="shared" si="9"/>
        <v/>
      </c>
      <c r="F633" s="74"/>
      <c r="G633" s="74"/>
    </row>
    <row r="634" spans="1:7" ht="15.75" hidden="1" customHeight="1" thickBot="1" x14ac:dyDescent="0.3">
      <c r="A634" s="6"/>
      <c r="B634" s="10" t="s">
        <v>39</v>
      </c>
      <c r="C634" s="34"/>
      <c r="D634" s="50"/>
      <c r="E634" s="49" t="str">
        <f t="shared" si="9"/>
        <v/>
      </c>
      <c r="F634" s="74"/>
      <c r="G634" s="74"/>
    </row>
    <row r="635" spans="1:7" ht="15.75" hidden="1" customHeight="1" thickBot="1" x14ac:dyDescent="0.3">
      <c r="A635" s="6"/>
      <c r="B635" s="10" t="s">
        <v>39</v>
      </c>
      <c r="C635" s="34"/>
      <c r="D635" s="50"/>
      <c r="E635" s="49" t="str">
        <f t="shared" si="9"/>
        <v/>
      </c>
      <c r="F635" s="74"/>
      <c r="G635" s="74"/>
    </row>
    <row r="636" spans="1:7" ht="15.75" hidden="1" customHeight="1" thickBot="1" x14ac:dyDescent="0.3">
      <c r="A636" s="6"/>
      <c r="B636" s="10" t="s">
        <v>39</v>
      </c>
      <c r="C636" s="34"/>
      <c r="D636" s="50"/>
      <c r="E636" s="49" t="str">
        <f t="shared" si="9"/>
        <v/>
      </c>
      <c r="F636" s="74"/>
      <c r="G636" s="74"/>
    </row>
    <row r="637" spans="1:7" ht="15.75" hidden="1" customHeight="1" thickBot="1" x14ac:dyDescent="0.3">
      <c r="A637" s="6"/>
      <c r="B637" s="10" t="s">
        <v>39</v>
      </c>
      <c r="C637" s="34"/>
      <c r="D637" s="50"/>
      <c r="E637" s="49" t="str">
        <f t="shared" si="9"/>
        <v/>
      </c>
      <c r="F637" s="74"/>
      <c r="G637" s="74"/>
    </row>
    <row r="638" spans="1:7" ht="15.75" hidden="1" customHeight="1" thickBot="1" x14ac:dyDescent="0.3">
      <c r="A638" s="6"/>
      <c r="B638" s="10" t="s">
        <v>39</v>
      </c>
      <c r="C638" s="34"/>
      <c r="D638" s="50"/>
      <c r="E638" s="49" t="str">
        <f t="shared" si="9"/>
        <v/>
      </c>
      <c r="F638" s="74"/>
      <c r="G638" s="74"/>
    </row>
    <row r="639" spans="1:7" ht="15.75" hidden="1" customHeight="1" thickBot="1" x14ac:dyDescent="0.3">
      <c r="A639" s="6"/>
      <c r="B639" s="10" t="s">
        <v>39</v>
      </c>
      <c r="C639" s="34"/>
      <c r="D639" s="50"/>
      <c r="E639" s="49" t="str">
        <f t="shared" si="9"/>
        <v/>
      </c>
      <c r="F639" s="74"/>
      <c r="G639" s="74"/>
    </row>
    <row r="640" spans="1:7" ht="15.75" hidden="1" customHeight="1" thickBot="1" x14ac:dyDescent="0.3">
      <c r="A640" s="6"/>
      <c r="B640" s="10" t="s">
        <v>39</v>
      </c>
      <c r="C640" s="34"/>
      <c r="D640" s="50"/>
      <c r="E640" s="49" t="str">
        <f t="shared" si="9"/>
        <v/>
      </c>
      <c r="F640" s="74"/>
      <c r="G640" s="74"/>
    </row>
    <row r="641" spans="1:7" ht="15.75" hidden="1" customHeight="1" thickBot="1" x14ac:dyDescent="0.3">
      <c r="A641" s="6"/>
      <c r="B641" s="10" t="s">
        <v>39</v>
      </c>
      <c r="C641" s="34"/>
      <c r="D641" s="50"/>
      <c r="E641" s="49" t="str">
        <f t="shared" si="9"/>
        <v/>
      </c>
      <c r="F641" s="74"/>
      <c r="G641" s="74"/>
    </row>
    <row r="642" spans="1:7" ht="15.75" hidden="1" customHeight="1" thickBot="1" x14ac:dyDescent="0.3">
      <c r="A642" s="6"/>
      <c r="B642" s="10" t="s">
        <v>39</v>
      </c>
      <c r="C642" s="34"/>
      <c r="D642" s="50"/>
      <c r="E642" s="49" t="str">
        <f t="shared" si="9"/>
        <v/>
      </c>
      <c r="F642" s="74"/>
      <c r="G642" s="74"/>
    </row>
    <row r="643" spans="1:7" ht="15.75" hidden="1" customHeight="1" thickBot="1" x14ac:dyDescent="0.3">
      <c r="A643" s="6"/>
      <c r="B643" s="10" t="s">
        <v>39</v>
      </c>
      <c r="C643" s="34"/>
      <c r="D643" s="50"/>
      <c r="E643" s="49" t="str">
        <f t="shared" si="9"/>
        <v/>
      </c>
      <c r="F643" s="74"/>
      <c r="G643" s="74"/>
    </row>
    <row r="644" spans="1:7" ht="15.75" hidden="1" customHeight="1" thickBot="1" x14ac:dyDescent="0.3">
      <c r="A644" s="6"/>
      <c r="B644" s="10" t="s">
        <v>39</v>
      </c>
      <c r="C644" s="34"/>
      <c r="D644" s="50"/>
      <c r="E644" s="49" t="str">
        <f t="shared" si="9"/>
        <v/>
      </c>
      <c r="F644" s="74"/>
      <c r="G644" s="74"/>
    </row>
    <row r="645" spans="1:7" ht="15.75" hidden="1" customHeight="1" thickBot="1" x14ac:dyDescent="0.3">
      <c r="A645" s="6"/>
      <c r="B645" s="10" t="s">
        <v>39</v>
      </c>
      <c r="C645" s="34"/>
      <c r="D645" s="50"/>
      <c r="E645" s="49" t="str">
        <f t="shared" si="9"/>
        <v/>
      </c>
      <c r="F645" s="74"/>
      <c r="G645" s="74"/>
    </row>
    <row r="646" spans="1:7" ht="15.75" hidden="1" customHeight="1" thickBot="1" x14ac:dyDescent="0.3">
      <c r="A646" s="6"/>
      <c r="B646" s="10" t="s">
        <v>39</v>
      </c>
      <c r="C646" s="34"/>
      <c r="D646" s="50"/>
      <c r="E646" s="49" t="str">
        <f t="shared" si="9"/>
        <v/>
      </c>
      <c r="F646" s="74"/>
      <c r="G646" s="74"/>
    </row>
    <row r="647" spans="1:7" ht="15.75" hidden="1" customHeight="1" thickBot="1" x14ac:dyDescent="0.3">
      <c r="A647" s="6"/>
      <c r="B647" s="10" t="s">
        <v>39</v>
      </c>
      <c r="C647" s="34"/>
      <c r="D647" s="50"/>
      <c r="E647" s="49" t="str">
        <f t="shared" si="9"/>
        <v/>
      </c>
      <c r="F647" s="74"/>
      <c r="G647" s="74"/>
    </row>
    <row r="648" spans="1:7" ht="15.75" hidden="1" customHeight="1" thickBot="1" x14ac:dyDescent="0.3">
      <c r="A648" s="6"/>
      <c r="B648" s="10" t="s">
        <v>39</v>
      </c>
      <c r="C648" s="34"/>
      <c r="D648" s="50"/>
      <c r="E648" s="49" t="str">
        <f t="shared" ref="E648:E711" si="10">IF(C648="Active",IF(ISNUMBER(D648),D648-rToday,""),"")</f>
        <v/>
      </c>
      <c r="F648" s="74"/>
      <c r="G648" s="74"/>
    </row>
    <row r="649" spans="1:7" ht="15.75" hidden="1" customHeight="1" thickBot="1" x14ac:dyDescent="0.3">
      <c r="A649" s="6"/>
      <c r="B649" s="10" t="s">
        <v>39</v>
      </c>
      <c r="C649" s="34"/>
      <c r="D649" s="50"/>
      <c r="E649" s="49" t="str">
        <f t="shared" si="10"/>
        <v/>
      </c>
      <c r="F649" s="74"/>
      <c r="G649" s="74"/>
    </row>
    <row r="650" spans="1:7" ht="15.75" hidden="1" customHeight="1" thickBot="1" x14ac:dyDescent="0.3">
      <c r="A650" s="6"/>
      <c r="B650" s="10" t="s">
        <v>39</v>
      </c>
      <c r="C650" s="34"/>
      <c r="D650" s="50"/>
      <c r="E650" s="49" t="str">
        <f t="shared" si="10"/>
        <v/>
      </c>
      <c r="F650" s="74"/>
      <c r="G650" s="74"/>
    </row>
    <row r="651" spans="1:7" ht="15.75" hidden="1" customHeight="1" thickBot="1" x14ac:dyDescent="0.3">
      <c r="A651" s="6"/>
      <c r="B651" s="10" t="s">
        <v>39</v>
      </c>
      <c r="C651" s="34"/>
      <c r="D651" s="50"/>
      <c r="E651" s="49" t="str">
        <f t="shared" si="10"/>
        <v/>
      </c>
      <c r="F651" s="74"/>
      <c r="G651" s="74"/>
    </row>
    <row r="652" spans="1:7" ht="15.75" hidden="1" customHeight="1" thickBot="1" x14ac:dyDescent="0.3">
      <c r="A652" s="6"/>
      <c r="B652" s="10" t="s">
        <v>39</v>
      </c>
      <c r="C652" s="34"/>
      <c r="D652" s="50"/>
      <c r="E652" s="49" t="str">
        <f t="shared" si="10"/>
        <v/>
      </c>
      <c r="F652" s="74"/>
      <c r="G652" s="74"/>
    </row>
    <row r="653" spans="1:7" ht="15.75" hidden="1" customHeight="1" thickBot="1" x14ac:dyDescent="0.3">
      <c r="A653" s="6"/>
      <c r="B653" s="10" t="s">
        <v>39</v>
      </c>
      <c r="C653" s="34"/>
      <c r="D653" s="50"/>
      <c r="E653" s="49" t="str">
        <f t="shared" si="10"/>
        <v/>
      </c>
      <c r="F653" s="74"/>
      <c r="G653" s="74"/>
    </row>
    <row r="654" spans="1:7" ht="15.75" hidden="1" customHeight="1" thickBot="1" x14ac:dyDescent="0.3">
      <c r="A654" s="6"/>
      <c r="B654" s="10" t="s">
        <v>39</v>
      </c>
      <c r="C654" s="34"/>
      <c r="D654" s="50"/>
      <c r="E654" s="49" t="str">
        <f t="shared" si="10"/>
        <v/>
      </c>
      <c r="F654" s="74"/>
      <c r="G654" s="74"/>
    </row>
    <row r="655" spans="1:7" ht="15.75" hidden="1" customHeight="1" thickBot="1" x14ac:dyDescent="0.3">
      <c r="A655" s="6"/>
      <c r="B655" s="10" t="s">
        <v>39</v>
      </c>
      <c r="C655" s="34"/>
      <c r="D655" s="50"/>
      <c r="E655" s="49" t="str">
        <f t="shared" si="10"/>
        <v/>
      </c>
      <c r="F655" s="74"/>
      <c r="G655" s="74"/>
    </row>
    <row r="656" spans="1:7" ht="15.75" hidden="1" customHeight="1" thickBot="1" x14ac:dyDescent="0.3">
      <c r="A656" s="6"/>
      <c r="B656" s="10" t="s">
        <v>39</v>
      </c>
      <c r="C656" s="34"/>
      <c r="D656" s="50"/>
      <c r="E656" s="49" t="str">
        <f t="shared" si="10"/>
        <v/>
      </c>
      <c r="F656" s="74"/>
      <c r="G656" s="74"/>
    </row>
    <row r="657" spans="1:7" ht="15.75" hidden="1" customHeight="1" thickBot="1" x14ac:dyDescent="0.3">
      <c r="A657" s="6"/>
      <c r="B657" s="10" t="s">
        <v>39</v>
      </c>
      <c r="C657" s="34"/>
      <c r="D657" s="50"/>
      <c r="E657" s="49" t="str">
        <f t="shared" si="10"/>
        <v/>
      </c>
      <c r="F657" s="74"/>
      <c r="G657" s="74"/>
    </row>
    <row r="658" spans="1:7" ht="15.75" hidden="1" customHeight="1" thickBot="1" x14ac:dyDescent="0.3">
      <c r="A658" s="6"/>
      <c r="B658" s="10" t="s">
        <v>39</v>
      </c>
      <c r="C658" s="34"/>
      <c r="D658" s="50"/>
      <c r="E658" s="49" t="str">
        <f t="shared" si="10"/>
        <v/>
      </c>
      <c r="F658" s="74"/>
      <c r="G658" s="74"/>
    </row>
    <row r="659" spans="1:7" ht="15.75" hidden="1" customHeight="1" thickBot="1" x14ac:dyDescent="0.3">
      <c r="A659" s="6"/>
      <c r="B659" s="10" t="s">
        <v>39</v>
      </c>
      <c r="C659" s="34"/>
      <c r="D659" s="50"/>
      <c r="E659" s="49" t="str">
        <f t="shared" si="10"/>
        <v/>
      </c>
      <c r="F659" s="74"/>
      <c r="G659" s="74"/>
    </row>
    <row r="660" spans="1:7" ht="15.75" hidden="1" customHeight="1" thickBot="1" x14ac:dyDescent="0.3">
      <c r="A660" s="6"/>
      <c r="B660" s="10" t="s">
        <v>39</v>
      </c>
      <c r="C660" s="34"/>
      <c r="D660" s="50"/>
      <c r="E660" s="49" t="str">
        <f t="shared" si="10"/>
        <v/>
      </c>
      <c r="F660" s="74"/>
      <c r="G660" s="74"/>
    </row>
    <row r="661" spans="1:7" ht="15.75" hidden="1" customHeight="1" thickBot="1" x14ac:dyDescent="0.3">
      <c r="A661" s="6"/>
      <c r="B661" s="10" t="s">
        <v>39</v>
      </c>
      <c r="C661" s="34"/>
      <c r="D661" s="50"/>
      <c r="E661" s="49" t="str">
        <f t="shared" si="10"/>
        <v/>
      </c>
      <c r="F661" s="74"/>
      <c r="G661" s="74"/>
    </row>
    <row r="662" spans="1:7" ht="15.75" hidden="1" customHeight="1" thickBot="1" x14ac:dyDescent="0.3">
      <c r="A662" s="6"/>
      <c r="B662" s="10" t="s">
        <v>39</v>
      </c>
      <c r="C662" s="34"/>
      <c r="D662" s="50"/>
      <c r="E662" s="49" t="str">
        <f t="shared" si="10"/>
        <v/>
      </c>
      <c r="F662" s="74"/>
      <c r="G662" s="74"/>
    </row>
    <row r="663" spans="1:7" ht="15.75" hidden="1" customHeight="1" thickBot="1" x14ac:dyDescent="0.3">
      <c r="A663" s="6"/>
      <c r="B663" s="10" t="s">
        <v>39</v>
      </c>
      <c r="C663" s="34"/>
      <c r="D663" s="50"/>
      <c r="E663" s="49" t="str">
        <f t="shared" si="10"/>
        <v/>
      </c>
      <c r="F663" s="74"/>
      <c r="G663" s="74"/>
    </row>
    <row r="664" spans="1:7" ht="15.75" hidden="1" customHeight="1" thickBot="1" x14ac:dyDescent="0.3">
      <c r="A664" s="6"/>
      <c r="B664" s="10" t="s">
        <v>39</v>
      </c>
      <c r="C664" s="34"/>
      <c r="D664" s="50"/>
      <c r="E664" s="49" t="str">
        <f t="shared" si="10"/>
        <v/>
      </c>
      <c r="F664" s="74"/>
      <c r="G664" s="74"/>
    </row>
    <row r="665" spans="1:7" ht="15.75" hidden="1" customHeight="1" thickBot="1" x14ac:dyDescent="0.3">
      <c r="A665" s="6"/>
      <c r="B665" s="10" t="s">
        <v>39</v>
      </c>
      <c r="C665" s="34"/>
      <c r="D665" s="50"/>
      <c r="E665" s="49" t="str">
        <f t="shared" si="10"/>
        <v/>
      </c>
      <c r="F665" s="74"/>
      <c r="G665" s="74"/>
    </row>
    <row r="666" spans="1:7" ht="15.75" hidden="1" customHeight="1" thickBot="1" x14ac:dyDescent="0.3">
      <c r="A666" s="6"/>
      <c r="B666" s="10" t="s">
        <v>39</v>
      </c>
      <c r="C666" s="34"/>
      <c r="D666" s="50"/>
      <c r="E666" s="49" t="str">
        <f t="shared" si="10"/>
        <v/>
      </c>
      <c r="F666" s="74"/>
      <c r="G666" s="74"/>
    </row>
    <row r="667" spans="1:7" ht="15.75" hidden="1" customHeight="1" thickBot="1" x14ac:dyDescent="0.3">
      <c r="A667" s="6"/>
      <c r="B667" s="10" t="s">
        <v>39</v>
      </c>
      <c r="C667" s="34"/>
      <c r="D667" s="50"/>
      <c r="E667" s="49" t="str">
        <f t="shared" si="10"/>
        <v/>
      </c>
      <c r="F667" s="74"/>
      <c r="G667" s="74"/>
    </row>
    <row r="668" spans="1:7" ht="15.75" hidden="1" customHeight="1" thickBot="1" x14ac:dyDescent="0.3">
      <c r="A668" s="6"/>
      <c r="B668" s="10" t="s">
        <v>39</v>
      </c>
      <c r="C668" s="34"/>
      <c r="D668" s="50"/>
      <c r="E668" s="49" t="str">
        <f t="shared" si="10"/>
        <v/>
      </c>
      <c r="F668" s="74"/>
      <c r="G668" s="74"/>
    </row>
    <row r="669" spans="1:7" ht="15.75" hidden="1" customHeight="1" thickBot="1" x14ac:dyDescent="0.3">
      <c r="A669" s="6"/>
      <c r="B669" s="10" t="s">
        <v>39</v>
      </c>
      <c r="C669" s="34"/>
      <c r="D669" s="50"/>
      <c r="E669" s="49" t="str">
        <f t="shared" si="10"/>
        <v/>
      </c>
      <c r="F669" s="74"/>
      <c r="G669" s="74"/>
    </row>
    <row r="670" spans="1:7" ht="15.75" hidden="1" customHeight="1" thickBot="1" x14ac:dyDescent="0.3">
      <c r="A670" s="6"/>
      <c r="B670" s="10" t="s">
        <v>39</v>
      </c>
      <c r="C670" s="34"/>
      <c r="D670" s="50"/>
      <c r="E670" s="49" t="str">
        <f t="shared" si="10"/>
        <v/>
      </c>
      <c r="F670" s="74"/>
      <c r="G670" s="74"/>
    </row>
    <row r="671" spans="1:7" ht="15.75" hidden="1" customHeight="1" thickBot="1" x14ac:dyDescent="0.3">
      <c r="A671" s="6"/>
      <c r="B671" s="10" t="s">
        <v>39</v>
      </c>
      <c r="C671" s="34"/>
      <c r="D671" s="50"/>
      <c r="E671" s="49" t="str">
        <f t="shared" si="10"/>
        <v/>
      </c>
      <c r="F671" s="74"/>
      <c r="G671" s="74"/>
    </row>
    <row r="672" spans="1:7" ht="15.75" hidden="1" customHeight="1" thickBot="1" x14ac:dyDescent="0.3">
      <c r="A672" s="6"/>
      <c r="B672" s="10" t="s">
        <v>39</v>
      </c>
      <c r="C672" s="34"/>
      <c r="D672" s="50"/>
      <c r="E672" s="49" t="str">
        <f t="shared" si="10"/>
        <v/>
      </c>
      <c r="F672" s="74"/>
      <c r="G672" s="74"/>
    </row>
    <row r="673" spans="1:7" ht="15.75" hidden="1" customHeight="1" thickBot="1" x14ac:dyDescent="0.3">
      <c r="A673" s="6"/>
      <c r="B673" s="10" t="s">
        <v>39</v>
      </c>
      <c r="C673" s="34"/>
      <c r="D673" s="50"/>
      <c r="E673" s="49" t="str">
        <f t="shared" si="10"/>
        <v/>
      </c>
      <c r="F673" s="74"/>
      <c r="G673" s="74"/>
    </row>
    <row r="674" spans="1:7" ht="15.75" hidden="1" customHeight="1" thickBot="1" x14ac:dyDescent="0.3">
      <c r="A674" s="6"/>
      <c r="B674" s="10" t="s">
        <v>39</v>
      </c>
      <c r="C674" s="34"/>
      <c r="D674" s="50"/>
      <c r="E674" s="49" t="str">
        <f t="shared" si="10"/>
        <v/>
      </c>
      <c r="F674" s="74"/>
      <c r="G674" s="74"/>
    </row>
    <row r="675" spans="1:7" ht="15.75" hidden="1" customHeight="1" thickBot="1" x14ac:dyDescent="0.3">
      <c r="A675" s="6"/>
      <c r="B675" s="10" t="s">
        <v>39</v>
      </c>
      <c r="C675" s="34"/>
      <c r="D675" s="50"/>
      <c r="E675" s="49" t="str">
        <f t="shared" si="10"/>
        <v/>
      </c>
      <c r="F675" s="74"/>
      <c r="G675" s="74"/>
    </row>
    <row r="676" spans="1:7" ht="15.75" hidden="1" customHeight="1" thickBot="1" x14ac:dyDescent="0.3">
      <c r="A676" s="6"/>
      <c r="B676" s="10" t="s">
        <v>39</v>
      </c>
      <c r="C676" s="34"/>
      <c r="D676" s="50"/>
      <c r="E676" s="49" t="str">
        <f t="shared" si="10"/>
        <v/>
      </c>
      <c r="F676" s="74"/>
      <c r="G676" s="74"/>
    </row>
    <row r="677" spans="1:7" ht="15.75" hidden="1" customHeight="1" thickBot="1" x14ac:dyDescent="0.3">
      <c r="A677" s="6"/>
      <c r="B677" s="10" t="s">
        <v>39</v>
      </c>
      <c r="C677" s="34"/>
      <c r="D677" s="50"/>
      <c r="E677" s="49" t="str">
        <f t="shared" si="10"/>
        <v/>
      </c>
      <c r="F677" s="74"/>
      <c r="G677" s="74"/>
    </row>
    <row r="678" spans="1:7" ht="15.75" hidden="1" customHeight="1" thickBot="1" x14ac:dyDescent="0.3">
      <c r="A678" s="6"/>
      <c r="B678" s="10" t="s">
        <v>39</v>
      </c>
      <c r="C678" s="34"/>
      <c r="D678" s="50"/>
      <c r="E678" s="49" t="str">
        <f t="shared" si="10"/>
        <v/>
      </c>
      <c r="F678" s="74"/>
      <c r="G678" s="74"/>
    </row>
    <row r="679" spans="1:7" ht="15.75" hidden="1" customHeight="1" thickBot="1" x14ac:dyDescent="0.3">
      <c r="A679" s="6"/>
      <c r="B679" s="10" t="s">
        <v>39</v>
      </c>
      <c r="C679" s="34"/>
      <c r="D679" s="50"/>
      <c r="E679" s="49" t="str">
        <f t="shared" si="10"/>
        <v/>
      </c>
      <c r="F679" s="74"/>
      <c r="G679" s="74"/>
    </row>
    <row r="680" spans="1:7" ht="15.75" hidden="1" customHeight="1" thickBot="1" x14ac:dyDescent="0.3">
      <c r="A680" s="6"/>
      <c r="B680" s="10" t="s">
        <v>39</v>
      </c>
      <c r="C680" s="34"/>
      <c r="D680" s="50"/>
      <c r="E680" s="49" t="str">
        <f t="shared" si="10"/>
        <v/>
      </c>
      <c r="F680" s="74"/>
      <c r="G680" s="74"/>
    </row>
    <row r="681" spans="1:7" ht="15.75" hidden="1" customHeight="1" thickBot="1" x14ac:dyDescent="0.3">
      <c r="A681" s="6"/>
      <c r="B681" s="10" t="s">
        <v>39</v>
      </c>
      <c r="C681" s="34"/>
      <c r="D681" s="50"/>
      <c r="E681" s="49" t="str">
        <f t="shared" si="10"/>
        <v/>
      </c>
      <c r="F681" s="74"/>
      <c r="G681" s="74"/>
    </row>
    <row r="682" spans="1:7" ht="15.75" hidden="1" customHeight="1" thickBot="1" x14ac:dyDescent="0.3">
      <c r="A682" s="6"/>
      <c r="B682" s="10" t="s">
        <v>39</v>
      </c>
      <c r="C682" s="34"/>
      <c r="D682" s="50"/>
      <c r="E682" s="49" t="str">
        <f t="shared" si="10"/>
        <v/>
      </c>
      <c r="F682" s="74"/>
      <c r="G682" s="74"/>
    </row>
    <row r="683" spans="1:7" ht="15.75" hidden="1" customHeight="1" thickBot="1" x14ac:dyDescent="0.3">
      <c r="A683" s="6"/>
      <c r="B683" s="10" t="s">
        <v>39</v>
      </c>
      <c r="C683" s="34"/>
      <c r="D683" s="50"/>
      <c r="E683" s="49" t="str">
        <f t="shared" si="10"/>
        <v/>
      </c>
      <c r="F683" s="74"/>
      <c r="G683" s="74"/>
    </row>
    <row r="684" spans="1:7" ht="15.75" hidden="1" customHeight="1" thickBot="1" x14ac:dyDescent="0.3">
      <c r="A684" s="6"/>
      <c r="B684" s="10" t="s">
        <v>39</v>
      </c>
      <c r="C684" s="34"/>
      <c r="D684" s="50"/>
      <c r="E684" s="49" t="str">
        <f t="shared" si="10"/>
        <v/>
      </c>
      <c r="F684" s="74"/>
      <c r="G684" s="74"/>
    </row>
    <row r="685" spans="1:7" ht="15.75" hidden="1" customHeight="1" thickBot="1" x14ac:dyDescent="0.3">
      <c r="A685" s="6"/>
      <c r="B685" s="10" t="s">
        <v>39</v>
      </c>
      <c r="C685" s="34"/>
      <c r="D685" s="50"/>
      <c r="E685" s="49" t="str">
        <f t="shared" si="10"/>
        <v/>
      </c>
      <c r="F685" s="74"/>
      <c r="G685" s="74"/>
    </row>
    <row r="686" spans="1:7" ht="15.75" hidden="1" customHeight="1" thickBot="1" x14ac:dyDescent="0.3">
      <c r="A686" s="6"/>
      <c r="B686" s="10" t="s">
        <v>39</v>
      </c>
      <c r="C686" s="34"/>
      <c r="D686" s="50"/>
      <c r="E686" s="49" t="str">
        <f t="shared" si="10"/>
        <v/>
      </c>
      <c r="F686" s="74"/>
      <c r="G686" s="74"/>
    </row>
    <row r="687" spans="1:7" ht="15.75" hidden="1" customHeight="1" thickBot="1" x14ac:dyDescent="0.3">
      <c r="A687" s="6"/>
      <c r="B687" s="10" t="s">
        <v>39</v>
      </c>
      <c r="C687" s="34"/>
      <c r="D687" s="50"/>
      <c r="E687" s="49" t="str">
        <f t="shared" si="10"/>
        <v/>
      </c>
      <c r="F687" s="74"/>
      <c r="G687" s="74"/>
    </row>
    <row r="688" spans="1:7" ht="15.75" hidden="1" customHeight="1" thickBot="1" x14ac:dyDescent="0.3">
      <c r="A688" s="6"/>
      <c r="B688" s="10" t="s">
        <v>39</v>
      </c>
      <c r="C688" s="34"/>
      <c r="D688" s="50"/>
      <c r="E688" s="49" t="str">
        <f t="shared" si="10"/>
        <v/>
      </c>
      <c r="F688" s="74"/>
      <c r="G688" s="74"/>
    </row>
    <row r="689" spans="1:7" ht="15.75" hidden="1" customHeight="1" thickBot="1" x14ac:dyDescent="0.3">
      <c r="A689" s="6"/>
      <c r="B689" s="10" t="s">
        <v>39</v>
      </c>
      <c r="C689" s="34"/>
      <c r="D689" s="50"/>
      <c r="E689" s="49" t="str">
        <f t="shared" si="10"/>
        <v/>
      </c>
      <c r="F689" s="74"/>
      <c r="G689" s="74"/>
    </row>
    <row r="690" spans="1:7" ht="15.75" hidden="1" customHeight="1" thickBot="1" x14ac:dyDescent="0.3">
      <c r="A690" s="6"/>
      <c r="B690" s="10" t="s">
        <v>39</v>
      </c>
      <c r="C690" s="34"/>
      <c r="D690" s="50"/>
      <c r="E690" s="49" t="str">
        <f t="shared" si="10"/>
        <v/>
      </c>
      <c r="F690" s="74"/>
      <c r="G690" s="74"/>
    </row>
    <row r="691" spans="1:7" ht="15.75" hidden="1" customHeight="1" thickBot="1" x14ac:dyDescent="0.3">
      <c r="A691" s="6"/>
      <c r="B691" s="10" t="s">
        <v>39</v>
      </c>
      <c r="C691" s="34"/>
      <c r="D691" s="50"/>
      <c r="E691" s="49" t="str">
        <f t="shared" si="10"/>
        <v/>
      </c>
      <c r="F691" s="74"/>
      <c r="G691" s="74"/>
    </row>
    <row r="692" spans="1:7" ht="15.75" hidden="1" customHeight="1" thickBot="1" x14ac:dyDescent="0.3">
      <c r="A692" s="6"/>
      <c r="B692" s="10" t="s">
        <v>39</v>
      </c>
      <c r="C692" s="34"/>
      <c r="D692" s="50"/>
      <c r="E692" s="49" t="str">
        <f t="shared" si="10"/>
        <v/>
      </c>
      <c r="F692" s="74"/>
      <c r="G692" s="74"/>
    </row>
    <row r="693" spans="1:7" ht="15.75" hidden="1" customHeight="1" thickBot="1" x14ac:dyDescent="0.3">
      <c r="A693" s="6"/>
      <c r="B693" s="10" t="s">
        <v>39</v>
      </c>
      <c r="C693" s="34"/>
      <c r="D693" s="50"/>
      <c r="E693" s="49" t="str">
        <f t="shared" si="10"/>
        <v/>
      </c>
      <c r="F693" s="74"/>
      <c r="G693" s="74"/>
    </row>
    <row r="694" spans="1:7" ht="15.75" hidden="1" customHeight="1" thickBot="1" x14ac:dyDescent="0.3">
      <c r="A694" s="6"/>
      <c r="B694" s="10" t="s">
        <v>39</v>
      </c>
      <c r="C694" s="34"/>
      <c r="D694" s="50"/>
      <c r="E694" s="49" t="str">
        <f t="shared" si="10"/>
        <v/>
      </c>
      <c r="F694" s="74"/>
      <c r="G694" s="74"/>
    </row>
    <row r="695" spans="1:7" ht="15.75" hidden="1" customHeight="1" thickBot="1" x14ac:dyDescent="0.3">
      <c r="A695" s="6"/>
      <c r="B695" s="10" t="s">
        <v>39</v>
      </c>
      <c r="C695" s="34"/>
      <c r="D695" s="50"/>
      <c r="E695" s="49" t="str">
        <f t="shared" si="10"/>
        <v/>
      </c>
      <c r="F695" s="74"/>
      <c r="G695" s="74"/>
    </row>
    <row r="696" spans="1:7" ht="15.75" hidden="1" customHeight="1" thickBot="1" x14ac:dyDescent="0.3">
      <c r="A696" s="6"/>
      <c r="B696" s="10" t="s">
        <v>39</v>
      </c>
      <c r="C696" s="34"/>
      <c r="D696" s="50"/>
      <c r="E696" s="49" t="str">
        <f t="shared" si="10"/>
        <v/>
      </c>
      <c r="F696" s="74"/>
      <c r="G696" s="74"/>
    </row>
    <row r="697" spans="1:7" ht="15.75" hidden="1" customHeight="1" thickBot="1" x14ac:dyDescent="0.3">
      <c r="A697" s="6"/>
      <c r="B697" s="10" t="s">
        <v>39</v>
      </c>
      <c r="C697" s="34"/>
      <c r="D697" s="50"/>
      <c r="E697" s="49" t="str">
        <f t="shared" si="10"/>
        <v/>
      </c>
      <c r="F697" s="74"/>
      <c r="G697" s="74"/>
    </row>
    <row r="698" spans="1:7" ht="15.75" hidden="1" customHeight="1" thickBot="1" x14ac:dyDescent="0.3">
      <c r="A698" s="6"/>
      <c r="B698" s="10" t="s">
        <v>39</v>
      </c>
      <c r="C698" s="34"/>
      <c r="D698" s="50"/>
      <c r="E698" s="49" t="str">
        <f t="shared" si="10"/>
        <v/>
      </c>
      <c r="F698" s="74"/>
      <c r="G698" s="74"/>
    </row>
    <row r="699" spans="1:7" ht="15.75" hidden="1" customHeight="1" thickBot="1" x14ac:dyDescent="0.3">
      <c r="A699" s="6"/>
      <c r="B699" s="10" t="s">
        <v>39</v>
      </c>
      <c r="C699" s="34"/>
      <c r="D699" s="50"/>
      <c r="E699" s="49" t="str">
        <f t="shared" si="10"/>
        <v/>
      </c>
      <c r="F699" s="74"/>
      <c r="G699" s="74"/>
    </row>
    <row r="700" spans="1:7" ht="15.75" hidden="1" customHeight="1" thickBot="1" x14ac:dyDescent="0.3">
      <c r="A700" s="6"/>
      <c r="B700" s="10" t="s">
        <v>39</v>
      </c>
      <c r="C700" s="34"/>
      <c r="D700" s="50"/>
      <c r="E700" s="49" t="str">
        <f t="shared" si="10"/>
        <v/>
      </c>
      <c r="F700" s="74"/>
      <c r="G700" s="74"/>
    </row>
    <row r="701" spans="1:7" ht="15.75" hidden="1" customHeight="1" thickBot="1" x14ac:dyDescent="0.3">
      <c r="A701" s="6"/>
      <c r="B701" s="10" t="s">
        <v>39</v>
      </c>
      <c r="C701" s="34"/>
      <c r="D701" s="50"/>
      <c r="E701" s="49" t="str">
        <f t="shared" si="10"/>
        <v/>
      </c>
      <c r="F701" s="74"/>
      <c r="G701" s="74"/>
    </row>
    <row r="702" spans="1:7" ht="15.75" hidden="1" customHeight="1" thickBot="1" x14ac:dyDescent="0.3">
      <c r="A702" s="6"/>
      <c r="B702" s="10" t="s">
        <v>39</v>
      </c>
      <c r="C702" s="34"/>
      <c r="D702" s="50"/>
      <c r="E702" s="49" t="str">
        <f t="shared" si="10"/>
        <v/>
      </c>
      <c r="F702" s="74"/>
      <c r="G702" s="74"/>
    </row>
    <row r="703" spans="1:7" ht="15.75" hidden="1" customHeight="1" thickBot="1" x14ac:dyDescent="0.3">
      <c r="A703" s="6"/>
      <c r="B703" s="10" t="s">
        <v>39</v>
      </c>
      <c r="C703" s="34"/>
      <c r="D703" s="50"/>
      <c r="E703" s="49" t="str">
        <f t="shared" si="10"/>
        <v/>
      </c>
      <c r="F703" s="74"/>
      <c r="G703" s="74"/>
    </row>
    <row r="704" spans="1:7" ht="15.75" hidden="1" customHeight="1" thickBot="1" x14ac:dyDescent="0.3">
      <c r="A704" s="6"/>
      <c r="B704" s="10" t="s">
        <v>39</v>
      </c>
      <c r="C704" s="34"/>
      <c r="D704" s="50"/>
      <c r="E704" s="49" t="str">
        <f t="shared" si="10"/>
        <v/>
      </c>
      <c r="F704" s="74"/>
      <c r="G704" s="74"/>
    </row>
    <row r="705" spans="1:7" ht="15.75" hidden="1" customHeight="1" thickBot="1" x14ac:dyDescent="0.3">
      <c r="A705" s="6"/>
      <c r="B705" s="10" t="s">
        <v>39</v>
      </c>
      <c r="C705" s="34"/>
      <c r="D705" s="50"/>
      <c r="E705" s="49" t="str">
        <f t="shared" si="10"/>
        <v/>
      </c>
      <c r="F705" s="74"/>
      <c r="G705" s="74"/>
    </row>
    <row r="706" spans="1:7" ht="15.75" hidden="1" customHeight="1" thickBot="1" x14ac:dyDescent="0.3">
      <c r="A706" s="6"/>
      <c r="B706" s="10" t="s">
        <v>39</v>
      </c>
      <c r="C706" s="34"/>
      <c r="D706" s="50"/>
      <c r="E706" s="49" t="str">
        <f t="shared" si="10"/>
        <v/>
      </c>
      <c r="F706" s="74"/>
      <c r="G706" s="74"/>
    </row>
    <row r="707" spans="1:7" ht="15.75" hidden="1" customHeight="1" thickBot="1" x14ac:dyDescent="0.3">
      <c r="A707" s="6"/>
      <c r="B707" s="10" t="s">
        <v>39</v>
      </c>
      <c r="C707" s="34"/>
      <c r="D707" s="50"/>
      <c r="E707" s="49" t="str">
        <f t="shared" si="10"/>
        <v/>
      </c>
      <c r="F707" s="74"/>
      <c r="G707" s="74"/>
    </row>
    <row r="708" spans="1:7" ht="15.75" hidden="1" customHeight="1" thickBot="1" x14ac:dyDescent="0.3">
      <c r="A708" s="6"/>
      <c r="B708" s="10" t="s">
        <v>39</v>
      </c>
      <c r="C708" s="34"/>
      <c r="D708" s="50"/>
      <c r="E708" s="49" t="str">
        <f t="shared" si="10"/>
        <v/>
      </c>
      <c r="F708" s="74"/>
      <c r="G708" s="74"/>
    </row>
    <row r="709" spans="1:7" ht="15.75" hidden="1" customHeight="1" thickBot="1" x14ac:dyDescent="0.3">
      <c r="A709" s="6"/>
      <c r="B709" s="10" t="s">
        <v>39</v>
      </c>
      <c r="C709" s="34"/>
      <c r="D709" s="50"/>
      <c r="E709" s="49" t="str">
        <f t="shared" si="10"/>
        <v/>
      </c>
      <c r="F709" s="74"/>
      <c r="G709" s="74"/>
    </row>
    <row r="710" spans="1:7" ht="15.75" hidden="1" customHeight="1" thickBot="1" x14ac:dyDescent="0.3">
      <c r="A710" s="6"/>
      <c r="B710" s="10" t="s">
        <v>39</v>
      </c>
      <c r="C710" s="34"/>
      <c r="D710" s="50"/>
      <c r="E710" s="49" t="str">
        <f t="shared" si="10"/>
        <v/>
      </c>
      <c r="F710" s="74"/>
      <c r="G710" s="74"/>
    </row>
    <row r="711" spans="1:7" ht="15.75" hidden="1" customHeight="1" thickBot="1" x14ac:dyDescent="0.3">
      <c r="A711" s="6"/>
      <c r="B711" s="10" t="s">
        <v>39</v>
      </c>
      <c r="C711" s="34"/>
      <c r="D711" s="50"/>
      <c r="E711" s="49" t="str">
        <f t="shared" si="10"/>
        <v/>
      </c>
      <c r="F711" s="74"/>
      <c r="G711" s="74"/>
    </row>
    <row r="712" spans="1:7" ht="15.75" hidden="1" customHeight="1" thickBot="1" x14ac:dyDescent="0.3">
      <c r="A712" s="6"/>
      <c r="B712" s="10" t="s">
        <v>39</v>
      </c>
      <c r="C712" s="34"/>
      <c r="D712" s="50"/>
      <c r="E712" s="49" t="str">
        <f t="shared" ref="E712:E775" si="11">IF(C712="Active",IF(ISNUMBER(D712),D712-rToday,""),"")</f>
        <v/>
      </c>
      <c r="F712" s="74"/>
      <c r="G712" s="74"/>
    </row>
    <row r="713" spans="1:7" ht="15.75" hidden="1" customHeight="1" thickBot="1" x14ac:dyDescent="0.3">
      <c r="A713" s="6"/>
      <c r="B713" s="10" t="s">
        <v>39</v>
      </c>
      <c r="C713" s="34"/>
      <c r="D713" s="50"/>
      <c r="E713" s="49" t="str">
        <f t="shared" si="11"/>
        <v/>
      </c>
      <c r="F713" s="74"/>
      <c r="G713" s="74"/>
    </row>
    <row r="714" spans="1:7" ht="15.75" hidden="1" customHeight="1" thickBot="1" x14ac:dyDescent="0.3">
      <c r="A714" s="6"/>
      <c r="B714" s="10" t="s">
        <v>39</v>
      </c>
      <c r="C714" s="34"/>
      <c r="D714" s="50"/>
      <c r="E714" s="49" t="str">
        <f t="shared" si="11"/>
        <v/>
      </c>
      <c r="F714" s="74"/>
      <c r="G714" s="74"/>
    </row>
    <row r="715" spans="1:7" ht="15.75" hidden="1" customHeight="1" thickBot="1" x14ac:dyDescent="0.3">
      <c r="A715" s="6"/>
      <c r="B715" s="10" t="s">
        <v>39</v>
      </c>
      <c r="C715" s="34"/>
      <c r="D715" s="50"/>
      <c r="E715" s="49" t="str">
        <f t="shared" si="11"/>
        <v/>
      </c>
      <c r="F715" s="74"/>
      <c r="G715" s="74"/>
    </row>
    <row r="716" spans="1:7" ht="15.75" hidden="1" customHeight="1" thickBot="1" x14ac:dyDescent="0.3">
      <c r="A716" s="6"/>
      <c r="B716" s="10" t="s">
        <v>39</v>
      </c>
      <c r="C716" s="34"/>
      <c r="D716" s="50"/>
      <c r="E716" s="49" t="str">
        <f t="shared" si="11"/>
        <v/>
      </c>
      <c r="F716" s="74"/>
      <c r="G716" s="74"/>
    </row>
    <row r="717" spans="1:7" ht="15.75" hidden="1" customHeight="1" thickBot="1" x14ac:dyDescent="0.3">
      <c r="A717" s="6"/>
      <c r="B717" s="10" t="s">
        <v>39</v>
      </c>
      <c r="C717" s="34"/>
      <c r="D717" s="50"/>
      <c r="E717" s="49" t="str">
        <f t="shared" si="11"/>
        <v/>
      </c>
      <c r="F717" s="74"/>
      <c r="G717" s="74"/>
    </row>
    <row r="718" spans="1:7" ht="15.75" hidden="1" customHeight="1" thickBot="1" x14ac:dyDescent="0.3">
      <c r="A718" s="6"/>
      <c r="B718" s="10" t="s">
        <v>39</v>
      </c>
      <c r="C718" s="34"/>
      <c r="D718" s="50"/>
      <c r="E718" s="49" t="str">
        <f t="shared" si="11"/>
        <v/>
      </c>
      <c r="F718" s="74"/>
      <c r="G718" s="74"/>
    </row>
    <row r="719" spans="1:7" ht="15.75" hidden="1" customHeight="1" thickBot="1" x14ac:dyDescent="0.3">
      <c r="A719" s="6"/>
      <c r="B719" s="10" t="s">
        <v>39</v>
      </c>
      <c r="C719" s="34"/>
      <c r="D719" s="50"/>
      <c r="E719" s="49" t="str">
        <f t="shared" si="11"/>
        <v/>
      </c>
      <c r="F719" s="74"/>
      <c r="G719" s="74"/>
    </row>
    <row r="720" spans="1:7" ht="15.75" hidden="1" customHeight="1" thickBot="1" x14ac:dyDescent="0.3">
      <c r="A720" s="6"/>
      <c r="B720" s="10" t="s">
        <v>39</v>
      </c>
      <c r="C720" s="34"/>
      <c r="D720" s="50"/>
      <c r="E720" s="49" t="str">
        <f t="shared" si="11"/>
        <v/>
      </c>
      <c r="F720" s="74"/>
      <c r="G720" s="74"/>
    </row>
    <row r="721" spans="1:7" ht="15.75" hidden="1" customHeight="1" thickBot="1" x14ac:dyDescent="0.3">
      <c r="A721" s="6"/>
      <c r="B721" s="10" t="s">
        <v>39</v>
      </c>
      <c r="C721" s="34"/>
      <c r="D721" s="50"/>
      <c r="E721" s="49" t="str">
        <f t="shared" si="11"/>
        <v/>
      </c>
      <c r="F721" s="74"/>
      <c r="G721" s="74"/>
    </row>
    <row r="722" spans="1:7" ht="15.75" hidden="1" customHeight="1" thickBot="1" x14ac:dyDescent="0.3">
      <c r="A722" s="6"/>
      <c r="B722" s="10" t="s">
        <v>39</v>
      </c>
      <c r="C722" s="34"/>
      <c r="D722" s="50"/>
      <c r="E722" s="49" t="str">
        <f t="shared" si="11"/>
        <v/>
      </c>
      <c r="F722" s="74"/>
      <c r="G722" s="74"/>
    </row>
    <row r="723" spans="1:7" ht="15.75" hidden="1" customHeight="1" thickBot="1" x14ac:dyDescent="0.3">
      <c r="A723" s="6"/>
      <c r="B723" s="10" t="s">
        <v>39</v>
      </c>
      <c r="C723" s="34"/>
      <c r="D723" s="50"/>
      <c r="E723" s="49" t="str">
        <f t="shared" si="11"/>
        <v/>
      </c>
      <c r="F723" s="74"/>
      <c r="G723" s="74"/>
    </row>
    <row r="724" spans="1:7" ht="15.75" hidden="1" customHeight="1" thickBot="1" x14ac:dyDescent="0.3">
      <c r="A724" s="6"/>
      <c r="B724" s="10" t="s">
        <v>39</v>
      </c>
      <c r="C724" s="34"/>
      <c r="D724" s="50"/>
      <c r="E724" s="49" t="str">
        <f t="shared" si="11"/>
        <v/>
      </c>
      <c r="F724" s="74"/>
      <c r="G724" s="74"/>
    </row>
    <row r="725" spans="1:7" ht="15.75" hidden="1" customHeight="1" thickBot="1" x14ac:dyDescent="0.3">
      <c r="A725" s="6"/>
      <c r="B725" s="10" t="s">
        <v>39</v>
      </c>
      <c r="C725" s="34"/>
      <c r="D725" s="50"/>
      <c r="E725" s="49" t="str">
        <f t="shared" si="11"/>
        <v/>
      </c>
      <c r="F725" s="74"/>
      <c r="G725" s="74"/>
    </row>
    <row r="726" spans="1:7" ht="15.75" hidden="1" customHeight="1" thickBot="1" x14ac:dyDescent="0.3">
      <c r="A726" s="6"/>
      <c r="B726" s="10" t="s">
        <v>39</v>
      </c>
      <c r="C726" s="34"/>
      <c r="D726" s="50"/>
      <c r="E726" s="49" t="str">
        <f t="shared" si="11"/>
        <v/>
      </c>
      <c r="F726" s="74"/>
      <c r="G726" s="74"/>
    </row>
    <row r="727" spans="1:7" ht="15.75" hidden="1" customHeight="1" thickBot="1" x14ac:dyDescent="0.3">
      <c r="A727" s="6"/>
      <c r="B727" s="10" t="s">
        <v>39</v>
      </c>
      <c r="C727" s="34"/>
      <c r="D727" s="50"/>
      <c r="E727" s="49" t="str">
        <f t="shared" si="11"/>
        <v/>
      </c>
      <c r="F727" s="74"/>
      <c r="G727" s="74"/>
    </row>
    <row r="728" spans="1:7" ht="15.75" hidden="1" customHeight="1" thickBot="1" x14ac:dyDescent="0.3">
      <c r="A728" s="6"/>
      <c r="B728" s="10" t="s">
        <v>39</v>
      </c>
      <c r="C728" s="34"/>
      <c r="D728" s="50"/>
      <c r="E728" s="49" t="str">
        <f t="shared" si="11"/>
        <v/>
      </c>
      <c r="F728" s="74"/>
      <c r="G728" s="74"/>
    </row>
    <row r="729" spans="1:7" ht="15.75" hidden="1" customHeight="1" thickBot="1" x14ac:dyDescent="0.3">
      <c r="A729" s="6"/>
      <c r="B729" s="10" t="s">
        <v>39</v>
      </c>
      <c r="C729" s="34"/>
      <c r="D729" s="50"/>
      <c r="E729" s="49" t="str">
        <f t="shared" si="11"/>
        <v/>
      </c>
      <c r="F729" s="74"/>
      <c r="G729" s="74"/>
    </row>
    <row r="730" spans="1:7" ht="15.75" hidden="1" customHeight="1" thickBot="1" x14ac:dyDescent="0.3">
      <c r="A730" s="6"/>
      <c r="B730" s="10" t="s">
        <v>39</v>
      </c>
      <c r="C730" s="34"/>
      <c r="D730" s="50"/>
      <c r="E730" s="49" t="str">
        <f t="shared" si="11"/>
        <v/>
      </c>
      <c r="F730" s="74"/>
      <c r="G730" s="74"/>
    </row>
    <row r="731" spans="1:7" ht="15.75" hidden="1" customHeight="1" thickBot="1" x14ac:dyDescent="0.3">
      <c r="A731" s="6"/>
      <c r="B731" s="10" t="s">
        <v>39</v>
      </c>
      <c r="C731" s="34"/>
      <c r="D731" s="50"/>
      <c r="E731" s="49" t="str">
        <f t="shared" si="11"/>
        <v/>
      </c>
      <c r="F731" s="74"/>
      <c r="G731" s="74"/>
    </row>
    <row r="732" spans="1:7" ht="15.75" hidden="1" customHeight="1" thickBot="1" x14ac:dyDescent="0.3">
      <c r="A732" s="6"/>
      <c r="B732" s="10" t="s">
        <v>39</v>
      </c>
      <c r="C732" s="34"/>
      <c r="D732" s="50"/>
      <c r="E732" s="49" t="str">
        <f t="shared" si="11"/>
        <v/>
      </c>
      <c r="F732" s="74"/>
      <c r="G732" s="74"/>
    </row>
    <row r="733" spans="1:7" ht="15.75" hidden="1" customHeight="1" thickBot="1" x14ac:dyDescent="0.3">
      <c r="A733" s="6"/>
      <c r="B733" s="10" t="s">
        <v>39</v>
      </c>
      <c r="C733" s="34"/>
      <c r="D733" s="50"/>
      <c r="E733" s="49" t="str">
        <f t="shared" si="11"/>
        <v/>
      </c>
      <c r="F733" s="74"/>
      <c r="G733" s="74"/>
    </row>
    <row r="734" spans="1:7" ht="15.75" hidden="1" customHeight="1" thickBot="1" x14ac:dyDescent="0.3">
      <c r="A734" s="6"/>
      <c r="B734" s="10" t="s">
        <v>39</v>
      </c>
      <c r="C734" s="34"/>
      <c r="D734" s="50"/>
      <c r="E734" s="49" t="str">
        <f t="shared" si="11"/>
        <v/>
      </c>
      <c r="F734" s="74"/>
      <c r="G734" s="74"/>
    </row>
    <row r="735" spans="1:7" ht="15.75" hidden="1" customHeight="1" thickBot="1" x14ac:dyDescent="0.3">
      <c r="A735" s="6"/>
      <c r="B735" s="10" t="s">
        <v>39</v>
      </c>
      <c r="C735" s="34"/>
      <c r="D735" s="50"/>
      <c r="E735" s="49" t="str">
        <f t="shared" si="11"/>
        <v/>
      </c>
      <c r="F735" s="74"/>
      <c r="G735" s="74"/>
    </row>
    <row r="736" spans="1:7" ht="15.75" hidden="1" customHeight="1" thickBot="1" x14ac:dyDescent="0.3">
      <c r="A736" s="6"/>
      <c r="B736" s="10" t="s">
        <v>39</v>
      </c>
      <c r="C736" s="34"/>
      <c r="D736" s="50"/>
      <c r="E736" s="49" t="str">
        <f t="shared" si="11"/>
        <v/>
      </c>
      <c r="F736" s="74"/>
      <c r="G736" s="74"/>
    </row>
    <row r="737" spans="1:7" ht="15.75" hidden="1" customHeight="1" thickBot="1" x14ac:dyDescent="0.3">
      <c r="A737" s="6"/>
      <c r="B737" s="10" t="s">
        <v>39</v>
      </c>
      <c r="C737" s="34"/>
      <c r="D737" s="50"/>
      <c r="E737" s="49" t="str">
        <f t="shared" si="11"/>
        <v/>
      </c>
      <c r="F737" s="74"/>
      <c r="G737" s="74"/>
    </row>
    <row r="738" spans="1:7" ht="15.75" hidden="1" customHeight="1" thickBot="1" x14ac:dyDescent="0.3">
      <c r="A738" s="6"/>
      <c r="B738" s="10" t="s">
        <v>39</v>
      </c>
      <c r="C738" s="34"/>
      <c r="D738" s="50"/>
      <c r="E738" s="49" t="str">
        <f t="shared" si="11"/>
        <v/>
      </c>
      <c r="F738" s="74"/>
      <c r="G738" s="74"/>
    </row>
    <row r="739" spans="1:7" ht="15.75" hidden="1" customHeight="1" thickBot="1" x14ac:dyDescent="0.3">
      <c r="A739" s="6"/>
      <c r="B739" s="10" t="s">
        <v>39</v>
      </c>
      <c r="C739" s="34"/>
      <c r="D739" s="50"/>
      <c r="E739" s="49" t="str">
        <f t="shared" si="11"/>
        <v/>
      </c>
      <c r="F739" s="74"/>
      <c r="G739" s="74"/>
    </row>
    <row r="740" spans="1:7" ht="15.75" hidden="1" customHeight="1" thickBot="1" x14ac:dyDescent="0.3">
      <c r="A740" s="6"/>
      <c r="B740" s="10" t="s">
        <v>39</v>
      </c>
      <c r="C740" s="34"/>
      <c r="D740" s="50"/>
      <c r="E740" s="49" t="str">
        <f t="shared" si="11"/>
        <v/>
      </c>
      <c r="F740" s="74"/>
      <c r="G740" s="74"/>
    </row>
    <row r="741" spans="1:7" ht="15.75" hidden="1" customHeight="1" thickBot="1" x14ac:dyDescent="0.3">
      <c r="A741" s="6"/>
      <c r="B741" s="10" t="s">
        <v>39</v>
      </c>
      <c r="C741" s="34"/>
      <c r="D741" s="50"/>
      <c r="E741" s="49" t="str">
        <f t="shared" si="11"/>
        <v/>
      </c>
      <c r="F741" s="74"/>
      <c r="G741" s="74"/>
    </row>
    <row r="742" spans="1:7" ht="15.75" hidden="1" customHeight="1" thickBot="1" x14ac:dyDescent="0.3">
      <c r="A742" s="6"/>
      <c r="B742" s="10" t="s">
        <v>39</v>
      </c>
      <c r="C742" s="34"/>
      <c r="D742" s="50"/>
      <c r="E742" s="49" t="str">
        <f t="shared" si="11"/>
        <v/>
      </c>
      <c r="F742" s="74"/>
      <c r="G742" s="74"/>
    </row>
    <row r="743" spans="1:7" ht="15.75" hidden="1" customHeight="1" thickBot="1" x14ac:dyDescent="0.3">
      <c r="A743" s="6"/>
      <c r="B743" s="10" t="s">
        <v>39</v>
      </c>
      <c r="C743" s="34"/>
      <c r="D743" s="50"/>
      <c r="E743" s="49" t="str">
        <f t="shared" si="11"/>
        <v/>
      </c>
      <c r="F743" s="74"/>
      <c r="G743" s="74"/>
    </row>
    <row r="744" spans="1:7" ht="15.75" hidden="1" customHeight="1" thickBot="1" x14ac:dyDescent="0.3">
      <c r="A744" s="6"/>
      <c r="B744" s="10" t="s">
        <v>39</v>
      </c>
      <c r="C744" s="34"/>
      <c r="D744" s="50"/>
      <c r="E744" s="49" t="str">
        <f t="shared" si="11"/>
        <v/>
      </c>
      <c r="F744" s="74"/>
      <c r="G744" s="74"/>
    </row>
    <row r="745" spans="1:7" ht="15.75" hidden="1" customHeight="1" thickBot="1" x14ac:dyDescent="0.3">
      <c r="A745" s="6"/>
      <c r="B745" s="10" t="s">
        <v>39</v>
      </c>
      <c r="C745" s="34"/>
      <c r="D745" s="50"/>
      <c r="E745" s="49" t="str">
        <f t="shared" si="11"/>
        <v/>
      </c>
      <c r="F745" s="74"/>
      <c r="G745" s="74"/>
    </row>
    <row r="746" spans="1:7" ht="15.75" hidden="1" customHeight="1" thickBot="1" x14ac:dyDescent="0.3">
      <c r="A746" s="6"/>
      <c r="B746" s="10" t="s">
        <v>39</v>
      </c>
      <c r="C746" s="34"/>
      <c r="D746" s="50"/>
      <c r="E746" s="49" t="str">
        <f t="shared" si="11"/>
        <v/>
      </c>
      <c r="F746" s="74"/>
      <c r="G746" s="74"/>
    </row>
    <row r="747" spans="1:7" ht="15.75" hidden="1" customHeight="1" thickBot="1" x14ac:dyDescent="0.3">
      <c r="A747" s="6"/>
      <c r="B747" s="10" t="s">
        <v>39</v>
      </c>
      <c r="C747" s="34"/>
      <c r="D747" s="50"/>
      <c r="E747" s="49" t="str">
        <f t="shared" si="11"/>
        <v/>
      </c>
      <c r="F747" s="74"/>
      <c r="G747" s="74"/>
    </row>
    <row r="748" spans="1:7" ht="15.75" hidden="1" customHeight="1" thickBot="1" x14ac:dyDescent="0.3">
      <c r="A748" s="6"/>
      <c r="B748" s="10" t="s">
        <v>39</v>
      </c>
      <c r="C748" s="34"/>
      <c r="D748" s="50"/>
      <c r="E748" s="49" t="str">
        <f t="shared" si="11"/>
        <v/>
      </c>
      <c r="F748" s="74"/>
      <c r="G748" s="74"/>
    </row>
    <row r="749" spans="1:7" ht="15.75" hidden="1" customHeight="1" thickBot="1" x14ac:dyDescent="0.3">
      <c r="A749" s="6"/>
      <c r="B749" s="10" t="s">
        <v>39</v>
      </c>
      <c r="C749" s="34"/>
      <c r="D749" s="50"/>
      <c r="E749" s="49" t="str">
        <f t="shared" si="11"/>
        <v/>
      </c>
      <c r="F749" s="74"/>
      <c r="G749" s="74"/>
    </row>
    <row r="750" spans="1:7" ht="15.75" hidden="1" customHeight="1" thickBot="1" x14ac:dyDescent="0.3">
      <c r="A750" s="6"/>
      <c r="B750" s="10" t="s">
        <v>39</v>
      </c>
      <c r="C750" s="34"/>
      <c r="D750" s="50"/>
      <c r="E750" s="49" t="str">
        <f t="shared" si="11"/>
        <v/>
      </c>
      <c r="F750" s="74"/>
      <c r="G750" s="74"/>
    </row>
    <row r="751" spans="1:7" ht="15.75" hidden="1" customHeight="1" thickBot="1" x14ac:dyDescent="0.3">
      <c r="A751" s="6"/>
      <c r="B751" s="10" t="s">
        <v>39</v>
      </c>
      <c r="C751" s="34"/>
      <c r="D751" s="50"/>
      <c r="E751" s="49" t="str">
        <f t="shared" si="11"/>
        <v/>
      </c>
      <c r="F751" s="74"/>
      <c r="G751" s="74"/>
    </row>
    <row r="752" spans="1:7" ht="15.75" hidden="1" customHeight="1" thickBot="1" x14ac:dyDescent="0.3">
      <c r="A752" s="6"/>
      <c r="B752" s="10" t="s">
        <v>39</v>
      </c>
      <c r="C752" s="34"/>
      <c r="D752" s="50"/>
      <c r="E752" s="49" t="str">
        <f t="shared" si="11"/>
        <v/>
      </c>
      <c r="F752" s="74"/>
      <c r="G752" s="74"/>
    </row>
    <row r="753" spans="1:7" ht="15.75" hidden="1" customHeight="1" thickBot="1" x14ac:dyDescent="0.3">
      <c r="A753" s="6"/>
      <c r="B753" s="10" t="s">
        <v>39</v>
      </c>
      <c r="C753" s="34"/>
      <c r="D753" s="50"/>
      <c r="E753" s="49" t="str">
        <f t="shared" si="11"/>
        <v/>
      </c>
      <c r="F753" s="74"/>
      <c r="G753" s="74"/>
    </row>
    <row r="754" spans="1:7" ht="15.75" hidden="1" customHeight="1" thickBot="1" x14ac:dyDescent="0.3">
      <c r="A754" s="6"/>
      <c r="B754" s="10" t="s">
        <v>39</v>
      </c>
      <c r="C754" s="34"/>
      <c r="D754" s="50"/>
      <c r="E754" s="49" t="str">
        <f t="shared" si="11"/>
        <v/>
      </c>
      <c r="F754" s="74"/>
      <c r="G754" s="74"/>
    </row>
    <row r="755" spans="1:7" ht="15.75" hidden="1" customHeight="1" thickBot="1" x14ac:dyDescent="0.3">
      <c r="A755" s="6"/>
      <c r="B755" s="10" t="s">
        <v>39</v>
      </c>
      <c r="C755" s="34"/>
      <c r="D755" s="50"/>
      <c r="E755" s="49" t="str">
        <f t="shared" si="11"/>
        <v/>
      </c>
      <c r="F755" s="74"/>
      <c r="G755" s="74"/>
    </row>
    <row r="756" spans="1:7" ht="15.75" hidden="1" customHeight="1" thickBot="1" x14ac:dyDescent="0.3">
      <c r="A756" s="6"/>
      <c r="B756" s="10" t="s">
        <v>39</v>
      </c>
      <c r="C756" s="34"/>
      <c r="D756" s="50"/>
      <c r="E756" s="49" t="str">
        <f t="shared" si="11"/>
        <v/>
      </c>
      <c r="F756" s="74"/>
      <c r="G756" s="74"/>
    </row>
    <row r="757" spans="1:7" ht="15.75" hidden="1" customHeight="1" thickBot="1" x14ac:dyDescent="0.3">
      <c r="A757" s="6"/>
      <c r="B757" s="10" t="s">
        <v>39</v>
      </c>
      <c r="C757" s="34"/>
      <c r="D757" s="50"/>
      <c r="E757" s="49" t="str">
        <f t="shared" si="11"/>
        <v/>
      </c>
      <c r="F757" s="74"/>
      <c r="G757" s="74"/>
    </row>
    <row r="758" spans="1:7" ht="15.75" hidden="1" customHeight="1" thickBot="1" x14ac:dyDescent="0.3">
      <c r="A758" s="6"/>
      <c r="B758" s="10" t="s">
        <v>39</v>
      </c>
      <c r="C758" s="34"/>
      <c r="D758" s="50"/>
      <c r="E758" s="49" t="str">
        <f t="shared" si="11"/>
        <v/>
      </c>
      <c r="F758" s="74"/>
      <c r="G758" s="74"/>
    </row>
    <row r="759" spans="1:7" ht="15.75" hidden="1" customHeight="1" thickBot="1" x14ac:dyDescent="0.3">
      <c r="A759" s="6"/>
      <c r="B759" s="10" t="s">
        <v>39</v>
      </c>
      <c r="C759" s="34"/>
      <c r="D759" s="50"/>
      <c r="E759" s="49" t="str">
        <f t="shared" si="11"/>
        <v/>
      </c>
      <c r="F759" s="74"/>
      <c r="G759" s="74"/>
    </row>
    <row r="760" spans="1:7" ht="15.75" hidden="1" customHeight="1" thickBot="1" x14ac:dyDescent="0.3">
      <c r="A760" s="6"/>
      <c r="B760" s="10" t="s">
        <v>39</v>
      </c>
      <c r="C760" s="34"/>
      <c r="D760" s="50"/>
      <c r="E760" s="49" t="str">
        <f t="shared" si="11"/>
        <v/>
      </c>
      <c r="F760" s="74"/>
      <c r="G760" s="74"/>
    </row>
    <row r="761" spans="1:7" ht="15.75" hidden="1" customHeight="1" thickBot="1" x14ac:dyDescent="0.3">
      <c r="A761" s="6"/>
      <c r="B761" s="10" t="s">
        <v>39</v>
      </c>
      <c r="C761" s="34"/>
      <c r="D761" s="50"/>
      <c r="E761" s="49" t="str">
        <f t="shared" si="11"/>
        <v/>
      </c>
      <c r="F761" s="74"/>
      <c r="G761" s="74"/>
    </row>
    <row r="762" spans="1:7" ht="15.75" hidden="1" customHeight="1" thickBot="1" x14ac:dyDescent="0.3">
      <c r="A762" s="6"/>
      <c r="B762" s="10" t="s">
        <v>39</v>
      </c>
      <c r="C762" s="34"/>
      <c r="D762" s="50"/>
      <c r="E762" s="49" t="str">
        <f t="shared" si="11"/>
        <v/>
      </c>
      <c r="F762" s="74"/>
      <c r="G762" s="74"/>
    </row>
    <row r="763" spans="1:7" ht="15.75" hidden="1" customHeight="1" thickBot="1" x14ac:dyDescent="0.3">
      <c r="A763" s="6"/>
      <c r="B763" s="10" t="s">
        <v>39</v>
      </c>
      <c r="C763" s="34"/>
      <c r="D763" s="50"/>
      <c r="E763" s="49" t="str">
        <f t="shared" si="11"/>
        <v/>
      </c>
      <c r="F763" s="74"/>
      <c r="G763" s="74"/>
    </row>
    <row r="764" spans="1:7" ht="15.75" hidden="1" customHeight="1" thickBot="1" x14ac:dyDescent="0.3">
      <c r="A764" s="6"/>
      <c r="B764" s="10" t="s">
        <v>39</v>
      </c>
      <c r="C764" s="34"/>
      <c r="D764" s="50"/>
      <c r="E764" s="49" t="str">
        <f t="shared" si="11"/>
        <v/>
      </c>
      <c r="F764" s="74"/>
      <c r="G764" s="74"/>
    </row>
    <row r="765" spans="1:7" ht="15.75" hidden="1" customHeight="1" thickBot="1" x14ac:dyDescent="0.3">
      <c r="A765" s="6"/>
      <c r="B765" s="10" t="s">
        <v>39</v>
      </c>
      <c r="C765" s="34"/>
      <c r="D765" s="50"/>
      <c r="E765" s="49" t="str">
        <f t="shared" si="11"/>
        <v/>
      </c>
      <c r="F765" s="74"/>
      <c r="G765" s="74"/>
    </row>
    <row r="766" spans="1:7" ht="15.75" hidden="1" customHeight="1" thickBot="1" x14ac:dyDescent="0.3">
      <c r="A766" s="6"/>
      <c r="B766" s="10" t="s">
        <v>39</v>
      </c>
      <c r="C766" s="34"/>
      <c r="D766" s="50"/>
      <c r="E766" s="49" t="str">
        <f t="shared" si="11"/>
        <v/>
      </c>
      <c r="F766" s="74"/>
      <c r="G766" s="74"/>
    </row>
    <row r="767" spans="1:7" ht="15.75" hidden="1" customHeight="1" thickBot="1" x14ac:dyDescent="0.3">
      <c r="A767" s="6"/>
      <c r="B767" s="10" t="s">
        <v>39</v>
      </c>
      <c r="C767" s="34"/>
      <c r="D767" s="50"/>
      <c r="E767" s="49" t="str">
        <f t="shared" si="11"/>
        <v/>
      </c>
      <c r="F767" s="74"/>
      <c r="G767" s="74"/>
    </row>
    <row r="768" spans="1:7" ht="15.75" hidden="1" customHeight="1" thickBot="1" x14ac:dyDescent="0.3">
      <c r="A768" s="6"/>
      <c r="B768" s="10" t="s">
        <v>39</v>
      </c>
      <c r="C768" s="34"/>
      <c r="D768" s="50"/>
      <c r="E768" s="49" t="str">
        <f t="shared" si="11"/>
        <v/>
      </c>
      <c r="F768" s="74"/>
      <c r="G768" s="74"/>
    </row>
    <row r="769" spans="1:7" ht="15.75" hidden="1" customHeight="1" thickBot="1" x14ac:dyDescent="0.3">
      <c r="A769" s="6"/>
      <c r="B769" s="10" t="s">
        <v>39</v>
      </c>
      <c r="C769" s="34"/>
      <c r="D769" s="50"/>
      <c r="E769" s="49" t="str">
        <f t="shared" si="11"/>
        <v/>
      </c>
      <c r="F769" s="74"/>
      <c r="G769" s="74"/>
    </row>
    <row r="770" spans="1:7" ht="15.75" hidden="1" customHeight="1" thickBot="1" x14ac:dyDescent="0.3">
      <c r="A770" s="6"/>
      <c r="B770" s="10" t="s">
        <v>39</v>
      </c>
      <c r="C770" s="34"/>
      <c r="D770" s="50"/>
      <c r="E770" s="49" t="str">
        <f t="shared" si="11"/>
        <v/>
      </c>
      <c r="F770" s="74"/>
      <c r="G770" s="74"/>
    </row>
    <row r="771" spans="1:7" ht="15.75" hidden="1" customHeight="1" thickBot="1" x14ac:dyDescent="0.3">
      <c r="A771" s="6"/>
      <c r="B771" s="10" t="s">
        <v>39</v>
      </c>
      <c r="C771" s="34"/>
      <c r="D771" s="50"/>
      <c r="E771" s="49" t="str">
        <f t="shared" si="11"/>
        <v/>
      </c>
      <c r="F771" s="74"/>
      <c r="G771" s="74"/>
    </row>
    <row r="772" spans="1:7" ht="15.75" hidden="1" customHeight="1" thickBot="1" x14ac:dyDescent="0.3">
      <c r="A772" s="6"/>
      <c r="B772" s="10" t="s">
        <v>39</v>
      </c>
      <c r="C772" s="34"/>
      <c r="D772" s="50"/>
      <c r="E772" s="49" t="str">
        <f t="shared" si="11"/>
        <v/>
      </c>
      <c r="F772" s="74"/>
      <c r="G772" s="74"/>
    </row>
    <row r="773" spans="1:7" ht="15.75" hidden="1" customHeight="1" thickBot="1" x14ac:dyDescent="0.3">
      <c r="A773" s="6"/>
      <c r="B773" s="10" t="s">
        <v>39</v>
      </c>
      <c r="C773" s="34"/>
      <c r="D773" s="50"/>
      <c r="E773" s="49" t="str">
        <f t="shared" si="11"/>
        <v/>
      </c>
      <c r="F773" s="74"/>
      <c r="G773" s="74"/>
    </row>
    <row r="774" spans="1:7" ht="15.75" hidden="1" customHeight="1" thickBot="1" x14ac:dyDescent="0.3">
      <c r="A774" s="6"/>
      <c r="B774" s="10" t="s">
        <v>39</v>
      </c>
      <c r="C774" s="34"/>
      <c r="D774" s="50"/>
      <c r="E774" s="49" t="str">
        <f t="shared" si="11"/>
        <v/>
      </c>
      <c r="F774" s="74"/>
      <c r="G774" s="74"/>
    </row>
    <row r="775" spans="1:7" ht="15.75" hidden="1" customHeight="1" thickBot="1" x14ac:dyDescent="0.3">
      <c r="A775" s="6"/>
      <c r="B775" s="10" t="s">
        <v>39</v>
      </c>
      <c r="C775" s="34"/>
      <c r="D775" s="50"/>
      <c r="E775" s="49" t="str">
        <f t="shared" si="11"/>
        <v/>
      </c>
      <c r="F775" s="74"/>
      <c r="G775" s="74"/>
    </row>
    <row r="776" spans="1:7" ht="15.75" hidden="1" customHeight="1" thickBot="1" x14ac:dyDescent="0.3">
      <c r="A776" s="6"/>
      <c r="B776" s="10" t="s">
        <v>39</v>
      </c>
      <c r="C776" s="34"/>
      <c r="D776" s="50"/>
      <c r="E776" s="49" t="str">
        <f t="shared" ref="E776:E839" si="12">IF(C776="Active",IF(ISNUMBER(D776),D776-rToday,""),"")</f>
        <v/>
      </c>
      <c r="F776" s="74"/>
      <c r="G776" s="74"/>
    </row>
    <row r="777" spans="1:7" ht="15.75" hidden="1" customHeight="1" thickBot="1" x14ac:dyDescent="0.3">
      <c r="A777" s="6"/>
      <c r="B777" s="10" t="s">
        <v>39</v>
      </c>
      <c r="C777" s="34"/>
      <c r="D777" s="50"/>
      <c r="E777" s="49" t="str">
        <f t="shared" si="12"/>
        <v/>
      </c>
      <c r="F777" s="74"/>
      <c r="G777" s="74"/>
    </row>
    <row r="778" spans="1:7" ht="15.75" hidden="1" customHeight="1" thickBot="1" x14ac:dyDescent="0.3">
      <c r="A778" s="6"/>
      <c r="B778" s="10" t="s">
        <v>39</v>
      </c>
      <c r="C778" s="34"/>
      <c r="D778" s="50"/>
      <c r="E778" s="49" t="str">
        <f t="shared" si="12"/>
        <v/>
      </c>
      <c r="F778" s="74"/>
      <c r="G778" s="74"/>
    </row>
    <row r="779" spans="1:7" ht="15.75" hidden="1" customHeight="1" thickBot="1" x14ac:dyDescent="0.3">
      <c r="A779" s="6"/>
      <c r="B779" s="10" t="s">
        <v>39</v>
      </c>
      <c r="C779" s="34"/>
      <c r="D779" s="50"/>
      <c r="E779" s="49" t="str">
        <f t="shared" si="12"/>
        <v/>
      </c>
      <c r="F779" s="74"/>
      <c r="G779" s="74"/>
    </row>
    <row r="780" spans="1:7" ht="15.75" hidden="1" customHeight="1" thickBot="1" x14ac:dyDescent="0.3">
      <c r="A780" s="6"/>
      <c r="B780" s="10" t="s">
        <v>39</v>
      </c>
      <c r="C780" s="34"/>
      <c r="D780" s="50"/>
      <c r="E780" s="49" t="str">
        <f t="shared" si="12"/>
        <v/>
      </c>
      <c r="F780" s="74"/>
      <c r="G780" s="74"/>
    </row>
    <row r="781" spans="1:7" ht="15.75" hidden="1" customHeight="1" thickBot="1" x14ac:dyDescent="0.3">
      <c r="A781" s="6"/>
      <c r="B781" s="10" t="s">
        <v>39</v>
      </c>
      <c r="C781" s="34"/>
      <c r="D781" s="50"/>
      <c r="E781" s="49" t="str">
        <f t="shared" si="12"/>
        <v/>
      </c>
      <c r="F781" s="74"/>
      <c r="G781" s="74"/>
    </row>
    <row r="782" spans="1:7" ht="15.75" hidden="1" customHeight="1" thickBot="1" x14ac:dyDescent="0.3">
      <c r="A782" s="6"/>
      <c r="B782" s="10" t="s">
        <v>39</v>
      </c>
      <c r="C782" s="34"/>
      <c r="D782" s="50"/>
      <c r="E782" s="49" t="str">
        <f t="shared" si="12"/>
        <v/>
      </c>
      <c r="F782" s="74"/>
      <c r="G782" s="74"/>
    </row>
    <row r="783" spans="1:7" ht="15.75" hidden="1" customHeight="1" thickBot="1" x14ac:dyDescent="0.3">
      <c r="A783" s="6"/>
      <c r="B783" s="10" t="s">
        <v>39</v>
      </c>
      <c r="C783" s="34"/>
      <c r="D783" s="50"/>
      <c r="E783" s="49" t="str">
        <f t="shared" si="12"/>
        <v/>
      </c>
      <c r="F783" s="74"/>
      <c r="G783" s="74"/>
    </row>
    <row r="784" spans="1:7" ht="15.75" hidden="1" customHeight="1" thickBot="1" x14ac:dyDescent="0.3">
      <c r="A784" s="6"/>
      <c r="B784" s="10" t="s">
        <v>39</v>
      </c>
      <c r="C784" s="34"/>
      <c r="D784" s="50"/>
      <c r="E784" s="49" t="str">
        <f t="shared" si="12"/>
        <v/>
      </c>
      <c r="F784" s="74"/>
      <c r="G784" s="74"/>
    </row>
    <row r="785" spans="1:7" ht="15.75" hidden="1" customHeight="1" thickBot="1" x14ac:dyDescent="0.3">
      <c r="A785" s="6"/>
      <c r="B785" s="10" t="s">
        <v>39</v>
      </c>
      <c r="C785" s="34"/>
      <c r="D785" s="50"/>
      <c r="E785" s="49" t="str">
        <f t="shared" si="12"/>
        <v/>
      </c>
      <c r="F785" s="74"/>
      <c r="G785" s="74"/>
    </row>
    <row r="786" spans="1:7" ht="15.75" hidden="1" customHeight="1" thickBot="1" x14ac:dyDescent="0.3">
      <c r="A786" s="6"/>
      <c r="B786" s="10" t="s">
        <v>39</v>
      </c>
      <c r="C786" s="34"/>
      <c r="D786" s="50"/>
      <c r="E786" s="49" t="str">
        <f t="shared" si="12"/>
        <v/>
      </c>
      <c r="F786" s="74"/>
      <c r="G786" s="74"/>
    </row>
    <row r="787" spans="1:7" ht="15.75" hidden="1" customHeight="1" thickBot="1" x14ac:dyDescent="0.3">
      <c r="A787" s="6"/>
      <c r="B787" s="10" t="s">
        <v>39</v>
      </c>
      <c r="C787" s="34"/>
      <c r="D787" s="50"/>
      <c r="E787" s="49" t="str">
        <f t="shared" si="12"/>
        <v/>
      </c>
      <c r="F787" s="74"/>
      <c r="G787" s="74"/>
    </row>
    <row r="788" spans="1:7" ht="15.75" hidden="1" customHeight="1" thickBot="1" x14ac:dyDescent="0.3">
      <c r="A788" s="6"/>
      <c r="B788" s="10" t="s">
        <v>39</v>
      </c>
      <c r="C788" s="34"/>
      <c r="D788" s="50"/>
      <c r="E788" s="49" t="str">
        <f t="shared" si="12"/>
        <v/>
      </c>
      <c r="F788" s="74"/>
      <c r="G788" s="74"/>
    </row>
    <row r="789" spans="1:7" ht="15.75" hidden="1" customHeight="1" thickBot="1" x14ac:dyDescent="0.3">
      <c r="A789" s="6"/>
      <c r="B789" s="10" t="s">
        <v>39</v>
      </c>
      <c r="C789" s="34"/>
      <c r="D789" s="50"/>
      <c r="E789" s="49" t="str">
        <f t="shared" si="12"/>
        <v/>
      </c>
      <c r="F789" s="74"/>
      <c r="G789" s="74"/>
    </row>
    <row r="790" spans="1:7" ht="15.75" hidden="1" customHeight="1" thickBot="1" x14ac:dyDescent="0.3">
      <c r="A790" s="6"/>
      <c r="B790" s="10" t="s">
        <v>39</v>
      </c>
      <c r="C790" s="34"/>
      <c r="D790" s="50"/>
      <c r="E790" s="49" t="str">
        <f t="shared" si="12"/>
        <v/>
      </c>
      <c r="F790" s="74"/>
      <c r="G790" s="74"/>
    </row>
    <row r="791" spans="1:7" ht="15.75" hidden="1" customHeight="1" thickBot="1" x14ac:dyDescent="0.3">
      <c r="A791" s="6"/>
      <c r="B791" s="10" t="s">
        <v>39</v>
      </c>
      <c r="C791" s="34"/>
      <c r="D791" s="50"/>
      <c r="E791" s="49" t="str">
        <f t="shared" si="12"/>
        <v/>
      </c>
      <c r="F791" s="74"/>
      <c r="G791" s="74"/>
    </row>
    <row r="792" spans="1:7" ht="15.75" hidden="1" customHeight="1" thickBot="1" x14ac:dyDescent="0.3">
      <c r="A792" s="6"/>
      <c r="B792" s="10" t="s">
        <v>39</v>
      </c>
      <c r="C792" s="34"/>
      <c r="D792" s="50"/>
      <c r="E792" s="49" t="str">
        <f t="shared" si="12"/>
        <v/>
      </c>
      <c r="F792" s="74"/>
      <c r="G792" s="74"/>
    </row>
    <row r="793" spans="1:7" ht="15.75" hidden="1" customHeight="1" thickBot="1" x14ac:dyDescent="0.3">
      <c r="A793" s="6"/>
      <c r="B793" s="10" t="s">
        <v>39</v>
      </c>
      <c r="C793" s="34"/>
      <c r="D793" s="50"/>
      <c r="E793" s="49" t="str">
        <f t="shared" si="12"/>
        <v/>
      </c>
      <c r="F793" s="74"/>
      <c r="G793" s="74"/>
    </row>
    <row r="794" spans="1:7" ht="15.75" hidden="1" customHeight="1" thickBot="1" x14ac:dyDescent="0.3">
      <c r="A794" s="6"/>
      <c r="B794" s="10" t="s">
        <v>39</v>
      </c>
      <c r="C794" s="34"/>
      <c r="D794" s="50"/>
      <c r="E794" s="49" t="str">
        <f t="shared" si="12"/>
        <v/>
      </c>
      <c r="F794" s="74"/>
      <c r="G794" s="74"/>
    </row>
    <row r="795" spans="1:7" ht="15.75" hidden="1" customHeight="1" thickBot="1" x14ac:dyDescent="0.3">
      <c r="A795" s="6"/>
      <c r="B795" s="10" t="s">
        <v>39</v>
      </c>
      <c r="C795" s="34"/>
      <c r="D795" s="50"/>
      <c r="E795" s="49" t="str">
        <f t="shared" si="12"/>
        <v/>
      </c>
      <c r="F795" s="74"/>
      <c r="G795" s="74"/>
    </row>
    <row r="796" spans="1:7" ht="15.75" hidden="1" customHeight="1" thickBot="1" x14ac:dyDescent="0.3">
      <c r="A796" s="6"/>
      <c r="B796" s="10" t="s">
        <v>39</v>
      </c>
      <c r="C796" s="34"/>
      <c r="D796" s="50"/>
      <c r="E796" s="49" t="str">
        <f t="shared" si="12"/>
        <v/>
      </c>
      <c r="F796" s="74"/>
      <c r="G796" s="74"/>
    </row>
    <row r="797" spans="1:7" ht="15.75" hidden="1" customHeight="1" thickBot="1" x14ac:dyDescent="0.3">
      <c r="A797" s="6"/>
      <c r="B797" s="10" t="s">
        <v>39</v>
      </c>
      <c r="C797" s="34"/>
      <c r="D797" s="50"/>
      <c r="E797" s="49" t="str">
        <f t="shared" si="12"/>
        <v/>
      </c>
      <c r="F797" s="74"/>
      <c r="G797" s="74"/>
    </row>
    <row r="798" spans="1:7" ht="15.75" hidden="1" customHeight="1" thickBot="1" x14ac:dyDescent="0.3">
      <c r="A798" s="6"/>
      <c r="B798" s="10" t="s">
        <v>39</v>
      </c>
      <c r="C798" s="34"/>
      <c r="D798" s="50"/>
      <c r="E798" s="49" t="str">
        <f t="shared" si="12"/>
        <v/>
      </c>
      <c r="F798" s="74"/>
      <c r="G798" s="74"/>
    </row>
    <row r="799" spans="1:7" ht="15.75" hidden="1" customHeight="1" thickBot="1" x14ac:dyDescent="0.3">
      <c r="A799" s="6"/>
      <c r="B799" s="10" t="s">
        <v>39</v>
      </c>
      <c r="C799" s="34"/>
      <c r="D799" s="50"/>
      <c r="E799" s="49" t="str">
        <f t="shared" si="12"/>
        <v/>
      </c>
      <c r="F799" s="74"/>
      <c r="G799" s="74"/>
    </row>
    <row r="800" spans="1:7" ht="15.75" hidden="1" customHeight="1" thickBot="1" x14ac:dyDescent="0.3">
      <c r="A800" s="6"/>
      <c r="B800" s="10" t="s">
        <v>39</v>
      </c>
      <c r="C800" s="34"/>
      <c r="D800" s="50"/>
      <c r="E800" s="49" t="str">
        <f t="shared" si="12"/>
        <v/>
      </c>
      <c r="F800" s="74"/>
      <c r="G800" s="74"/>
    </row>
    <row r="801" spans="1:7" ht="15.75" hidden="1" customHeight="1" thickBot="1" x14ac:dyDescent="0.3">
      <c r="A801" s="6"/>
      <c r="B801" s="10" t="s">
        <v>39</v>
      </c>
      <c r="C801" s="34"/>
      <c r="D801" s="50"/>
      <c r="E801" s="49" t="str">
        <f t="shared" si="12"/>
        <v/>
      </c>
      <c r="F801" s="74"/>
      <c r="G801" s="74"/>
    </row>
    <row r="802" spans="1:7" ht="15.75" hidden="1" customHeight="1" thickBot="1" x14ac:dyDescent="0.3">
      <c r="A802" s="6"/>
      <c r="B802" s="10" t="s">
        <v>39</v>
      </c>
      <c r="C802" s="34"/>
      <c r="D802" s="50"/>
      <c r="E802" s="49" t="str">
        <f t="shared" si="12"/>
        <v/>
      </c>
      <c r="F802" s="74"/>
      <c r="G802" s="74"/>
    </row>
    <row r="803" spans="1:7" ht="15.75" hidden="1" customHeight="1" thickBot="1" x14ac:dyDescent="0.3">
      <c r="A803" s="6"/>
      <c r="B803" s="10" t="s">
        <v>39</v>
      </c>
      <c r="C803" s="34"/>
      <c r="D803" s="50"/>
      <c r="E803" s="49" t="str">
        <f t="shared" si="12"/>
        <v/>
      </c>
      <c r="F803" s="74"/>
      <c r="G803" s="74"/>
    </row>
    <row r="804" spans="1:7" ht="15.75" hidden="1" customHeight="1" thickBot="1" x14ac:dyDescent="0.3">
      <c r="A804" s="6"/>
      <c r="B804" s="10" t="s">
        <v>39</v>
      </c>
      <c r="C804" s="34"/>
      <c r="D804" s="50"/>
      <c r="E804" s="49" t="str">
        <f t="shared" si="12"/>
        <v/>
      </c>
      <c r="F804" s="74"/>
      <c r="G804" s="74"/>
    </row>
    <row r="805" spans="1:7" ht="15.75" hidden="1" customHeight="1" thickBot="1" x14ac:dyDescent="0.3">
      <c r="A805" s="6"/>
      <c r="B805" s="10" t="s">
        <v>39</v>
      </c>
      <c r="C805" s="34"/>
      <c r="D805" s="50"/>
      <c r="E805" s="49" t="str">
        <f t="shared" si="12"/>
        <v/>
      </c>
      <c r="F805" s="74"/>
      <c r="G805" s="74"/>
    </row>
    <row r="806" spans="1:7" ht="15.75" hidden="1" customHeight="1" thickBot="1" x14ac:dyDescent="0.3">
      <c r="A806" s="6"/>
      <c r="B806" s="10" t="s">
        <v>39</v>
      </c>
      <c r="C806" s="34"/>
      <c r="D806" s="50"/>
      <c r="E806" s="49" t="str">
        <f t="shared" si="12"/>
        <v/>
      </c>
      <c r="F806" s="74"/>
      <c r="G806" s="74"/>
    </row>
    <row r="807" spans="1:7" ht="15.75" hidden="1" customHeight="1" thickBot="1" x14ac:dyDescent="0.3">
      <c r="A807" s="6"/>
      <c r="B807" s="10" t="s">
        <v>39</v>
      </c>
      <c r="C807" s="34"/>
      <c r="D807" s="50"/>
      <c r="E807" s="49" t="str">
        <f t="shared" si="12"/>
        <v/>
      </c>
      <c r="F807" s="74"/>
      <c r="G807" s="74"/>
    </row>
    <row r="808" spans="1:7" ht="15.75" hidden="1" customHeight="1" thickBot="1" x14ac:dyDescent="0.3">
      <c r="A808" s="6"/>
      <c r="B808" s="10" t="s">
        <v>39</v>
      </c>
      <c r="C808" s="34"/>
      <c r="D808" s="50"/>
      <c r="E808" s="49" t="str">
        <f t="shared" si="12"/>
        <v/>
      </c>
      <c r="F808" s="74"/>
      <c r="G808" s="74"/>
    </row>
    <row r="809" spans="1:7" ht="15.75" hidden="1" customHeight="1" thickBot="1" x14ac:dyDescent="0.3">
      <c r="A809" s="6"/>
      <c r="B809" s="10" t="s">
        <v>39</v>
      </c>
      <c r="C809" s="34"/>
      <c r="D809" s="50"/>
      <c r="E809" s="49" t="str">
        <f t="shared" si="12"/>
        <v/>
      </c>
      <c r="F809" s="74"/>
      <c r="G809" s="74"/>
    </row>
    <row r="810" spans="1:7" ht="15.75" hidden="1" customHeight="1" thickBot="1" x14ac:dyDescent="0.3">
      <c r="A810" s="6"/>
      <c r="B810" s="10" t="s">
        <v>39</v>
      </c>
      <c r="C810" s="34"/>
      <c r="D810" s="50"/>
      <c r="E810" s="49" t="str">
        <f t="shared" si="12"/>
        <v/>
      </c>
      <c r="F810" s="74"/>
      <c r="G810" s="74"/>
    </row>
    <row r="811" spans="1:7" ht="15.75" hidden="1" customHeight="1" thickBot="1" x14ac:dyDescent="0.3">
      <c r="A811" s="6"/>
      <c r="B811" s="10" t="s">
        <v>39</v>
      </c>
      <c r="C811" s="34"/>
      <c r="D811" s="50"/>
      <c r="E811" s="49" t="str">
        <f t="shared" si="12"/>
        <v/>
      </c>
      <c r="F811" s="74"/>
      <c r="G811" s="74"/>
    </row>
    <row r="812" spans="1:7" ht="15.75" hidden="1" customHeight="1" thickBot="1" x14ac:dyDescent="0.3">
      <c r="A812" s="6"/>
      <c r="B812" s="10" t="s">
        <v>39</v>
      </c>
      <c r="C812" s="34"/>
      <c r="D812" s="50"/>
      <c r="E812" s="49" t="str">
        <f t="shared" si="12"/>
        <v/>
      </c>
      <c r="F812" s="74"/>
      <c r="G812" s="74"/>
    </row>
    <row r="813" spans="1:7" ht="15.75" hidden="1" customHeight="1" thickBot="1" x14ac:dyDescent="0.3">
      <c r="A813" s="6"/>
      <c r="B813" s="10" t="s">
        <v>39</v>
      </c>
      <c r="C813" s="34"/>
      <c r="D813" s="50"/>
      <c r="E813" s="49" t="str">
        <f t="shared" si="12"/>
        <v/>
      </c>
      <c r="F813" s="74"/>
      <c r="G813" s="74"/>
    </row>
    <row r="814" spans="1:7" ht="15.75" hidden="1" customHeight="1" thickBot="1" x14ac:dyDescent="0.3">
      <c r="A814" s="6"/>
      <c r="B814" s="10" t="s">
        <v>39</v>
      </c>
      <c r="C814" s="34"/>
      <c r="D814" s="50"/>
      <c r="E814" s="49" t="str">
        <f t="shared" si="12"/>
        <v/>
      </c>
      <c r="F814" s="74"/>
      <c r="G814" s="74"/>
    </row>
    <row r="815" spans="1:7" ht="15.75" hidden="1" customHeight="1" thickBot="1" x14ac:dyDescent="0.3">
      <c r="A815" s="6"/>
      <c r="B815" s="10" t="s">
        <v>39</v>
      </c>
      <c r="C815" s="34"/>
      <c r="D815" s="50"/>
      <c r="E815" s="49" t="str">
        <f t="shared" si="12"/>
        <v/>
      </c>
      <c r="F815" s="74"/>
      <c r="G815" s="74"/>
    </row>
    <row r="816" spans="1:7" ht="15.75" hidden="1" customHeight="1" thickBot="1" x14ac:dyDescent="0.3">
      <c r="A816" s="6"/>
      <c r="B816" s="10" t="s">
        <v>39</v>
      </c>
      <c r="C816" s="34"/>
      <c r="D816" s="50"/>
      <c r="E816" s="49" t="str">
        <f t="shared" si="12"/>
        <v/>
      </c>
      <c r="F816" s="74"/>
      <c r="G816" s="74"/>
    </row>
    <row r="817" spans="1:7" ht="15.75" hidden="1" customHeight="1" thickBot="1" x14ac:dyDescent="0.3">
      <c r="A817" s="6"/>
      <c r="B817" s="10" t="s">
        <v>39</v>
      </c>
      <c r="C817" s="34"/>
      <c r="D817" s="50"/>
      <c r="E817" s="49" t="str">
        <f t="shared" si="12"/>
        <v/>
      </c>
      <c r="F817" s="74"/>
      <c r="G817" s="74"/>
    </row>
    <row r="818" spans="1:7" ht="15.75" hidden="1" customHeight="1" thickBot="1" x14ac:dyDescent="0.3">
      <c r="A818" s="6"/>
      <c r="B818" s="10" t="s">
        <v>39</v>
      </c>
      <c r="C818" s="34"/>
      <c r="D818" s="50"/>
      <c r="E818" s="49" t="str">
        <f t="shared" si="12"/>
        <v/>
      </c>
      <c r="F818" s="74"/>
      <c r="G818" s="74"/>
    </row>
    <row r="819" spans="1:7" ht="15.75" hidden="1" customHeight="1" thickBot="1" x14ac:dyDescent="0.3">
      <c r="A819" s="6"/>
      <c r="B819" s="10" t="s">
        <v>39</v>
      </c>
      <c r="C819" s="34"/>
      <c r="D819" s="50"/>
      <c r="E819" s="49" t="str">
        <f t="shared" si="12"/>
        <v/>
      </c>
      <c r="F819" s="74"/>
      <c r="G819" s="74"/>
    </row>
    <row r="820" spans="1:7" ht="15.75" hidden="1" customHeight="1" thickBot="1" x14ac:dyDescent="0.3">
      <c r="A820" s="6"/>
      <c r="B820" s="10" t="s">
        <v>39</v>
      </c>
      <c r="C820" s="34"/>
      <c r="D820" s="50"/>
      <c r="E820" s="49" t="str">
        <f t="shared" si="12"/>
        <v/>
      </c>
      <c r="F820" s="74"/>
      <c r="G820" s="74"/>
    </row>
    <row r="821" spans="1:7" ht="15.75" hidden="1" customHeight="1" thickBot="1" x14ac:dyDescent="0.3">
      <c r="A821" s="6"/>
      <c r="B821" s="10" t="s">
        <v>39</v>
      </c>
      <c r="C821" s="34"/>
      <c r="D821" s="50"/>
      <c r="E821" s="49" t="str">
        <f t="shared" si="12"/>
        <v/>
      </c>
      <c r="F821" s="74"/>
      <c r="G821" s="74"/>
    </row>
    <row r="822" spans="1:7" ht="15.75" hidden="1" customHeight="1" thickBot="1" x14ac:dyDescent="0.3">
      <c r="A822" s="6"/>
      <c r="B822" s="10" t="s">
        <v>39</v>
      </c>
      <c r="C822" s="34"/>
      <c r="D822" s="50"/>
      <c r="E822" s="49" t="str">
        <f t="shared" si="12"/>
        <v/>
      </c>
      <c r="F822" s="74"/>
      <c r="G822" s="74"/>
    </row>
    <row r="823" spans="1:7" ht="15.75" hidden="1" customHeight="1" thickBot="1" x14ac:dyDescent="0.3">
      <c r="A823" s="6"/>
      <c r="B823" s="10" t="s">
        <v>39</v>
      </c>
      <c r="C823" s="34"/>
      <c r="D823" s="50"/>
      <c r="E823" s="49" t="str">
        <f t="shared" si="12"/>
        <v/>
      </c>
      <c r="F823" s="74"/>
      <c r="G823" s="74"/>
    </row>
    <row r="824" spans="1:7" ht="15.75" hidden="1" customHeight="1" thickBot="1" x14ac:dyDescent="0.3">
      <c r="A824" s="6"/>
      <c r="B824" s="10" t="s">
        <v>39</v>
      </c>
      <c r="C824" s="34"/>
      <c r="D824" s="50"/>
      <c r="E824" s="49" t="str">
        <f t="shared" si="12"/>
        <v/>
      </c>
      <c r="F824" s="74"/>
      <c r="G824" s="74"/>
    </row>
    <row r="825" spans="1:7" ht="15.75" hidden="1" customHeight="1" thickBot="1" x14ac:dyDescent="0.3">
      <c r="A825" s="6"/>
      <c r="B825" s="10" t="s">
        <v>39</v>
      </c>
      <c r="C825" s="34"/>
      <c r="D825" s="50"/>
      <c r="E825" s="49" t="str">
        <f t="shared" si="12"/>
        <v/>
      </c>
      <c r="F825" s="74"/>
      <c r="G825" s="74"/>
    </row>
    <row r="826" spans="1:7" ht="15.75" hidden="1" customHeight="1" thickBot="1" x14ac:dyDescent="0.3">
      <c r="A826" s="6"/>
      <c r="B826" s="10" t="s">
        <v>39</v>
      </c>
      <c r="C826" s="34"/>
      <c r="D826" s="50"/>
      <c r="E826" s="49" t="str">
        <f t="shared" si="12"/>
        <v/>
      </c>
      <c r="F826" s="74"/>
      <c r="G826" s="74"/>
    </row>
    <row r="827" spans="1:7" ht="15.75" hidden="1" customHeight="1" thickBot="1" x14ac:dyDescent="0.3">
      <c r="A827" s="6"/>
      <c r="B827" s="10" t="s">
        <v>39</v>
      </c>
      <c r="C827" s="34"/>
      <c r="D827" s="50"/>
      <c r="E827" s="49" t="str">
        <f t="shared" si="12"/>
        <v/>
      </c>
      <c r="F827" s="74"/>
      <c r="G827" s="74"/>
    </row>
    <row r="828" spans="1:7" ht="15.75" hidden="1" customHeight="1" thickBot="1" x14ac:dyDescent="0.3">
      <c r="A828" s="6"/>
      <c r="B828" s="10" t="s">
        <v>39</v>
      </c>
      <c r="C828" s="34"/>
      <c r="D828" s="50"/>
      <c r="E828" s="49" t="str">
        <f t="shared" si="12"/>
        <v/>
      </c>
      <c r="F828" s="74"/>
      <c r="G828" s="74"/>
    </row>
    <row r="829" spans="1:7" ht="15.75" hidden="1" customHeight="1" thickBot="1" x14ac:dyDescent="0.3">
      <c r="A829" s="6"/>
      <c r="B829" s="10" t="s">
        <v>39</v>
      </c>
      <c r="C829" s="34"/>
      <c r="D829" s="50"/>
      <c r="E829" s="49" t="str">
        <f t="shared" si="12"/>
        <v/>
      </c>
      <c r="F829" s="74"/>
      <c r="G829" s="74"/>
    </row>
    <row r="830" spans="1:7" ht="15.75" hidden="1" customHeight="1" thickBot="1" x14ac:dyDescent="0.3">
      <c r="A830" s="6"/>
      <c r="B830" s="10" t="s">
        <v>39</v>
      </c>
      <c r="C830" s="34"/>
      <c r="D830" s="50"/>
      <c r="E830" s="49" t="str">
        <f t="shared" si="12"/>
        <v/>
      </c>
      <c r="F830" s="74"/>
      <c r="G830" s="74"/>
    </row>
    <row r="831" spans="1:7" ht="15.75" hidden="1" customHeight="1" thickBot="1" x14ac:dyDescent="0.3">
      <c r="A831" s="6"/>
      <c r="B831" s="10" t="s">
        <v>39</v>
      </c>
      <c r="C831" s="34"/>
      <c r="D831" s="50"/>
      <c r="E831" s="49" t="str">
        <f t="shared" si="12"/>
        <v/>
      </c>
      <c r="F831" s="74"/>
      <c r="G831" s="74"/>
    </row>
    <row r="832" spans="1:7" ht="15.75" hidden="1" customHeight="1" thickBot="1" x14ac:dyDescent="0.3">
      <c r="A832" s="6"/>
      <c r="B832" s="10" t="s">
        <v>39</v>
      </c>
      <c r="C832" s="34"/>
      <c r="D832" s="50"/>
      <c r="E832" s="49" t="str">
        <f t="shared" si="12"/>
        <v/>
      </c>
      <c r="F832" s="74"/>
      <c r="G832" s="74"/>
    </row>
    <row r="833" spans="1:7" ht="15.75" hidden="1" customHeight="1" thickBot="1" x14ac:dyDescent="0.3">
      <c r="A833" s="6"/>
      <c r="B833" s="10" t="s">
        <v>39</v>
      </c>
      <c r="C833" s="34"/>
      <c r="D833" s="50"/>
      <c r="E833" s="49" t="str">
        <f t="shared" si="12"/>
        <v/>
      </c>
      <c r="F833" s="74"/>
      <c r="G833" s="74"/>
    </row>
    <row r="834" spans="1:7" ht="15.75" hidden="1" customHeight="1" thickBot="1" x14ac:dyDescent="0.3">
      <c r="A834" s="6"/>
      <c r="B834" s="10" t="s">
        <v>39</v>
      </c>
      <c r="C834" s="34"/>
      <c r="D834" s="50"/>
      <c r="E834" s="49" t="str">
        <f t="shared" si="12"/>
        <v/>
      </c>
      <c r="F834" s="74"/>
      <c r="G834" s="74"/>
    </row>
    <row r="835" spans="1:7" ht="15.75" hidden="1" customHeight="1" thickBot="1" x14ac:dyDescent="0.3">
      <c r="A835" s="6"/>
      <c r="B835" s="10" t="s">
        <v>39</v>
      </c>
      <c r="C835" s="34"/>
      <c r="D835" s="50"/>
      <c r="E835" s="49" t="str">
        <f t="shared" si="12"/>
        <v/>
      </c>
      <c r="F835" s="74"/>
      <c r="G835" s="74"/>
    </row>
    <row r="836" spans="1:7" ht="15.75" hidden="1" customHeight="1" thickBot="1" x14ac:dyDescent="0.3">
      <c r="A836" s="6"/>
      <c r="B836" s="10" t="s">
        <v>39</v>
      </c>
      <c r="C836" s="34"/>
      <c r="D836" s="50"/>
      <c r="E836" s="49" t="str">
        <f t="shared" si="12"/>
        <v/>
      </c>
      <c r="F836" s="74"/>
      <c r="G836" s="74"/>
    </row>
    <row r="837" spans="1:7" ht="15.75" hidden="1" customHeight="1" thickBot="1" x14ac:dyDescent="0.3">
      <c r="A837" s="6"/>
      <c r="B837" s="10" t="s">
        <v>39</v>
      </c>
      <c r="C837" s="34"/>
      <c r="D837" s="50"/>
      <c r="E837" s="49" t="str">
        <f t="shared" si="12"/>
        <v/>
      </c>
      <c r="F837" s="74"/>
      <c r="G837" s="74"/>
    </row>
    <row r="838" spans="1:7" ht="15.75" hidden="1" customHeight="1" thickBot="1" x14ac:dyDescent="0.3">
      <c r="A838" s="6"/>
      <c r="B838" s="10" t="s">
        <v>39</v>
      </c>
      <c r="C838" s="34"/>
      <c r="D838" s="50"/>
      <c r="E838" s="49" t="str">
        <f t="shared" si="12"/>
        <v/>
      </c>
      <c r="F838" s="74"/>
      <c r="G838" s="74"/>
    </row>
    <row r="839" spans="1:7" ht="15.75" hidden="1" customHeight="1" thickBot="1" x14ac:dyDescent="0.3">
      <c r="A839" s="6"/>
      <c r="B839" s="10" t="s">
        <v>39</v>
      </c>
      <c r="C839" s="34"/>
      <c r="D839" s="50"/>
      <c r="E839" s="49" t="str">
        <f t="shared" si="12"/>
        <v/>
      </c>
      <c r="F839" s="74"/>
      <c r="G839" s="74"/>
    </row>
    <row r="840" spans="1:7" ht="15.75" hidden="1" customHeight="1" thickBot="1" x14ac:dyDescent="0.3">
      <c r="A840" s="6"/>
      <c r="B840" s="10" t="s">
        <v>39</v>
      </c>
      <c r="C840" s="34"/>
      <c r="D840" s="50"/>
      <c r="E840" s="49" t="str">
        <f t="shared" ref="E840:E903" si="13">IF(C840="Active",IF(ISNUMBER(D840),D840-rToday,""),"")</f>
        <v/>
      </c>
      <c r="F840" s="74"/>
      <c r="G840" s="74"/>
    </row>
    <row r="841" spans="1:7" ht="15.75" hidden="1" customHeight="1" thickBot="1" x14ac:dyDescent="0.3">
      <c r="A841" s="6"/>
      <c r="B841" s="10" t="s">
        <v>39</v>
      </c>
      <c r="C841" s="34"/>
      <c r="D841" s="50"/>
      <c r="E841" s="49" t="str">
        <f t="shared" si="13"/>
        <v/>
      </c>
      <c r="F841" s="74"/>
      <c r="G841" s="74"/>
    </row>
    <row r="842" spans="1:7" ht="15.75" hidden="1" customHeight="1" thickBot="1" x14ac:dyDescent="0.3">
      <c r="A842" s="6"/>
      <c r="B842" s="10" t="s">
        <v>39</v>
      </c>
      <c r="C842" s="34"/>
      <c r="D842" s="50"/>
      <c r="E842" s="49" t="str">
        <f t="shared" si="13"/>
        <v/>
      </c>
      <c r="F842" s="74"/>
      <c r="G842" s="74"/>
    </row>
    <row r="843" spans="1:7" ht="15.75" hidden="1" customHeight="1" thickBot="1" x14ac:dyDescent="0.3">
      <c r="A843" s="6"/>
      <c r="B843" s="10" t="s">
        <v>39</v>
      </c>
      <c r="C843" s="34"/>
      <c r="D843" s="50"/>
      <c r="E843" s="49" t="str">
        <f t="shared" si="13"/>
        <v/>
      </c>
      <c r="F843" s="74"/>
      <c r="G843" s="74"/>
    </row>
    <row r="844" spans="1:7" ht="15.75" hidden="1" customHeight="1" thickBot="1" x14ac:dyDescent="0.3">
      <c r="A844" s="6"/>
      <c r="B844" s="10" t="s">
        <v>39</v>
      </c>
      <c r="C844" s="34"/>
      <c r="D844" s="50"/>
      <c r="E844" s="49" t="str">
        <f t="shared" si="13"/>
        <v/>
      </c>
      <c r="F844" s="74"/>
      <c r="G844" s="74"/>
    </row>
    <row r="845" spans="1:7" ht="15.75" hidden="1" customHeight="1" thickBot="1" x14ac:dyDescent="0.3">
      <c r="A845" s="6"/>
      <c r="B845" s="10" t="s">
        <v>39</v>
      </c>
      <c r="C845" s="34"/>
      <c r="D845" s="50"/>
      <c r="E845" s="49" t="str">
        <f t="shared" si="13"/>
        <v/>
      </c>
      <c r="F845" s="74"/>
      <c r="G845" s="74"/>
    </row>
    <row r="846" spans="1:7" ht="15.75" hidden="1" customHeight="1" thickBot="1" x14ac:dyDescent="0.3">
      <c r="A846" s="6"/>
      <c r="B846" s="10" t="s">
        <v>39</v>
      </c>
      <c r="C846" s="34"/>
      <c r="D846" s="50"/>
      <c r="E846" s="49" t="str">
        <f t="shared" si="13"/>
        <v/>
      </c>
      <c r="F846" s="74"/>
      <c r="G846" s="74"/>
    </row>
    <row r="847" spans="1:7" ht="15.75" hidden="1" customHeight="1" thickBot="1" x14ac:dyDescent="0.3">
      <c r="A847" s="6"/>
      <c r="B847" s="10" t="s">
        <v>39</v>
      </c>
      <c r="C847" s="34"/>
      <c r="D847" s="50"/>
      <c r="E847" s="49" t="str">
        <f t="shared" si="13"/>
        <v/>
      </c>
      <c r="F847" s="74"/>
      <c r="G847" s="74"/>
    </row>
    <row r="848" spans="1:7" ht="15.75" hidden="1" customHeight="1" thickBot="1" x14ac:dyDescent="0.3">
      <c r="A848" s="6"/>
      <c r="B848" s="10" t="s">
        <v>39</v>
      </c>
      <c r="C848" s="34"/>
      <c r="D848" s="50"/>
      <c r="E848" s="49" t="str">
        <f t="shared" si="13"/>
        <v/>
      </c>
      <c r="F848" s="74"/>
      <c r="G848" s="74"/>
    </row>
    <row r="849" spans="1:7" ht="15.75" hidden="1" customHeight="1" thickBot="1" x14ac:dyDescent="0.3">
      <c r="A849" s="6"/>
      <c r="B849" s="10" t="s">
        <v>39</v>
      </c>
      <c r="C849" s="34"/>
      <c r="D849" s="50"/>
      <c r="E849" s="49" t="str">
        <f t="shared" si="13"/>
        <v/>
      </c>
      <c r="F849" s="74"/>
      <c r="G849" s="74"/>
    </row>
    <row r="850" spans="1:7" ht="15.75" hidden="1" customHeight="1" thickBot="1" x14ac:dyDescent="0.3">
      <c r="A850" s="6"/>
      <c r="B850" s="10" t="s">
        <v>39</v>
      </c>
      <c r="C850" s="34"/>
      <c r="D850" s="50"/>
      <c r="E850" s="49" t="str">
        <f t="shared" si="13"/>
        <v/>
      </c>
      <c r="F850" s="74"/>
      <c r="G850" s="74"/>
    </row>
    <row r="851" spans="1:7" ht="15.75" hidden="1" customHeight="1" thickBot="1" x14ac:dyDescent="0.3">
      <c r="A851" s="6"/>
      <c r="B851" s="10" t="s">
        <v>39</v>
      </c>
      <c r="C851" s="34"/>
      <c r="D851" s="50"/>
      <c r="E851" s="49" t="str">
        <f t="shared" si="13"/>
        <v/>
      </c>
      <c r="F851" s="74"/>
      <c r="G851" s="74"/>
    </row>
    <row r="852" spans="1:7" ht="15.75" hidden="1" customHeight="1" thickBot="1" x14ac:dyDescent="0.3">
      <c r="A852" s="6"/>
      <c r="B852" s="10" t="s">
        <v>39</v>
      </c>
      <c r="C852" s="34"/>
      <c r="D852" s="50"/>
      <c r="E852" s="49" t="str">
        <f t="shared" si="13"/>
        <v/>
      </c>
      <c r="F852" s="74"/>
      <c r="G852" s="74"/>
    </row>
    <row r="853" spans="1:7" ht="15.75" hidden="1" customHeight="1" thickBot="1" x14ac:dyDescent="0.3">
      <c r="A853" s="6"/>
      <c r="B853" s="10" t="s">
        <v>39</v>
      </c>
      <c r="C853" s="34"/>
      <c r="D853" s="50"/>
      <c r="E853" s="49" t="str">
        <f t="shared" si="13"/>
        <v/>
      </c>
      <c r="F853" s="74"/>
      <c r="G853" s="74"/>
    </row>
    <row r="854" spans="1:7" ht="15.75" hidden="1" customHeight="1" thickBot="1" x14ac:dyDescent="0.3">
      <c r="A854" s="6"/>
      <c r="B854" s="10" t="s">
        <v>39</v>
      </c>
      <c r="C854" s="34"/>
      <c r="D854" s="50"/>
      <c r="E854" s="49" t="str">
        <f t="shared" si="13"/>
        <v/>
      </c>
      <c r="F854" s="74"/>
      <c r="G854" s="74"/>
    </row>
    <row r="855" spans="1:7" ht="15.75" hidden="1" customHeight="1" thickBot="1" x14ac:dyDescent="0.3">
      <c r="A855" s="6"/>
      <c r="B855" s="10" t="s">
        <v>39</v>
      </c>
      <c r="C855" s="34"/>
      <c r="D855" s="50"/>
      <c r="E855" s="49" t="str">
        <f t="shared" si="13"/>
        <v/>
      </c>
      <c r="F855" s="74"/>
      <c r="G855" s="74"/>
    </row>
    <row r="856" spans="1:7" ht="15.75" hidden="1" customHeight="1" thickBot="1" x14ac:dyDescent="0.3">
      <c r="A856" s="6"/>
      <c r="B856" s="10" t="s">
        <v>39</v>
      </c>
      <c r="C856" s="34"/>
      <c r="D856" s="50"/>
      <c r="E856" s="49" t="str">
        <f t="shared" si="13"/>
        <v/>
      </c>
      <c r="F856" s="74"/>
      <c r="G856" s="74"/>
    </row>
    <row r="857" spans="1:7" ht="15.75" hidden="1" customHeight="1" thickBot="1" x14ac:dyDescent="0.3">
      <c r="A857" s="6"/>
      <c r="B857" s="10" t="s">
        <v>39</v>
      </c>
      <c r="C857" s="34"/>
      <c r="D857" s="50"/>
      <c r="E857" s="49" t="str">
        <f t="shared" si="13"/>
        <v/>
      </c>
      <c r="F857" s="74"/>
      <c r="G857" s="74"/>
    </row>
    <row r="858" spans="1:7" ht="15.75" hidden="1" customHeight="1" thickBot="1" x14ac:dyDescent="0.3">
      <c r="A858" s="6"/>
      <c r="B858" s="10" t="s">
        <v>39</v>
      </c>
      <c r="C858" s="34"/>
      <c r="D858" s="50"/>
      <c r="E858" s="49" t="str">
        <f t="shared" si="13"/>
        <v/>
      </c>
      <c r="F858" s="74"/>
      <c r="G858" s="74"/>
    </row>
    <row r="859" spans="1:7" ht="15.75" hidden="1" customHeight="1" thickBot="1" x14ac:dyDescent="0.3">
      <c r="A859" s="6"/>
      <c r="B859" s="10" t="s">
        <v>39</v>
      </c>
      <c r="C859" s="34"/>
      <c r="D859" s="50"/>
      <c r="E859" s="49" t="str">
        <f t="shared" si="13"/>
        <v/>
      </c>
      <c r="F859" s="74"/>
      <c r="G859" s="74"/>
    </row>
    <row r="860" spans="1:7" ht="15.75" hidden="1" customHeight="1" thickBot="1" x14ac:dyDescent="0.3">
      <c r="A860" s="6"/>
      <c r="B860" s="10" t="s">
        <v>39</v>
      </c>
      <c r="C860" s="34"/>
      <c r="D860" s="50"/>
      <c r="E860" s="49" t="str">
        <f t="shared" si="13"/>
        <v/>
      </c>
      <c r="F860" s="74"/>
      <c r="G860" s="74"/>
    </row>
    <row r="861" spans="1:7" ht="15.75" hidden="1" customHeight="1" thickBot="1" x14ac:dyDescent="0.3">
      <c r="A861" s="6"/>
      <c r="B861" s="10" t="s">
        <v>39</v>
      </c>
      <c r="C861" s="34"/>
      <c r="D861" s="50"/>
      <c r="E861" s="49" t="str">
        <f t="shared" si="13"/>
        <v/>
      </c>
      <c r="F861" s="74"/>
      <c r="G861" s="74"/>
    </row>
    <row r="862" spans="1:7" ht="15.75" hidden="1" customHeight="1" thickBot="1" x14ac:dyDescent="0.3">
      <c r="A862" s="6"/>
      <c r="B862" s="10" t="s">
        <v>39</v>
      </c>
      <c r="C862" s="34"/>
      <c r="D862" s="50"/>
      <c r="E862" s="49" t="str">
        <f t="shared" si="13"/>
        <v/>
      </c>
      <c r="F862" s="74"/>
      <c r="G862" s="74"/>
    </row>
    <row r="863" spans="1:7" ht="15.75" hidden="1" customHeight="1" thickBot="1" x14ac:dyDescent="0.3">
      <c r="A863" s="6"/>
      <c r="B863" s="10" t="s">
        <v>39</v>
      </c>
      <c r="C863" s="34"/>
      <c r="D863" s="50"/>
      <c r="E863" s="49" t="str">
        <f t="shared" si="13"/>
        <v/>
      </c>
      <c r="F863" s="74"/>
      <c r="G863" s="74"/>
    </row>
    <row r="864" spans="1:7" ht="15.75" hidden="1" customHeight="1" thickBot="1" x14ac:dyDescent="0.3">
      <c r="A864" s="6"/>
      <c r="B864" s="10" t="s">
        <v>39</v>
      </c>
      <c r="C864" s="34"/>
      <c r="D864" s="50"/>
      <c r="E864" s="49" t="str">
        <f t="shared" si="13"/>
        <v/>
      </c>
      <c r="F864" s="74"/>
      <c r="G864" s="74"/>
    </row>
    <row r="865" spans="1:7" ht="15.75" hidden="1" customHeight="1" thickBot="1" x14ac:dyDescent="0.3">
      <c r="A865" s="6"/>
      <c r="B865" s="10" t="s">
        <v>39</v>
      </c>
      <c r="C865" s="34"/>
      <c r="D865" s="50"/>
      <c r="E865" s="49" t="str">
        <f t="shared" si="13"/>
        <v/>
      </c>
      <c r="F865" s="74"/>
      <c r="G865" s="74"/>
    </row>
    <row r="866" spans="1:7" ht="15.75" hidden="1" customHeight="1" thickBot="1" x14ac:dyDescent="0.3">
      <c r="A866" s="6"/>
      <c r="B866" s="10" t="s">
        <v>39</v>
      </c>
      <c r="C866" s="34"/>
      <c r="D866" s="50"/>
      <c r="E866" s="49" t="str">
        <f t="shared" si="13"/>
        <v/>
      </c>
      <c r="F866" s="74"/>
      <c r="G866" s="74"/>
    </row>
    <row r="867" spans="1:7" ht="15.75" hidden="1" customHeight="1" thickBot="1" x14ac:dyDescent="0.3">
      <c r="A867" s="6"/>
      <c r="B867" s="10" t="s">
        <v>39</v>
      </c>
      <c r="C867" s="34"/>
      <c r="D867" s="50"/>
      <c r="E867" s="49" t="str">
        <f t="shared" si="13"/>
        <v/>
      </c>
      <c r="F867" s="74"/>
      <c r="G867" s="74"/>
    </row>
    <row r="868" spans="1:7" ht="15.75" hidden="1" customHeight="1" thickBot="1" x14ac:dyDescent="0.3">
      <c r="A868" s="6"/>
      <c r="B868" s="10" t="s">
        <v>39</v>
      </c>
      <c r="C868" s="34"/>
      <c r="D868" s="50"/>
      <c r="E868" s="49" t="str">
        <f t="shared" si="13"/>
        <v/>
      </c>
      <c r="F868" s="74"/>
      <c r="G868" s="74"/>
    </row>
    <row r="869" spans="1:7" ht="15.75" hidden="1" customHeight="1" thickBot="1" x14ac:dyDescent="0.3">
      <c r="A869" s="6"/>
      <c r="B869" s="10" t="s">
        <v>39</v>
      </c>
      <c r="C869" s="34"/>
      <c r="D869" s="50"/>
      <c r="E869" s="49" t="str">
        <f t="shared" si="13"/>
        <v/>
      </c>
      <c r="F869" s="74"/>
      <c r="G869" s="74"/>
    </row>
    <row r="870" spans="1:7" ht="15.75" hidden="1" customHeight="1" thickBot="1" x14ac:dyDescent="0.3">
      <c r="A870" s="6"/>
      <c r="B870" s="10" t="s">
        <v>39</v>
      </c>
      <c r="C870" s="34"/>
      <c r="D870" s="50"/>
      <c r="E870" s="49" t="str">
        <f t="shared" si="13"/>
        <v/>
      </c>
      <c r="F870" s="74"/>
      <c r="G870" s="74"/>
    </row>
    <row r="871" spans="1:7" ht="15.75" hidden="1" customHeight="1" thickBot="1" x14ac:dyDescent="0.3">
      <c r="A871" s="6"/>
      <c r="B871" s="10" t="s">
        <v>39</v>
      </c>
      <c r="C871" s="34"/>
      <c r="D871" s="50"/>
      <c r="E871" s="49" t="str">
        <f t="shared" si="13"/>
        <v/>
      </c>
      <c r="F871" s="74"/>
      <c r="G871" s="74"/>
    </row>
    <row r="872" spans="1:7" ht="15.75" hidden="1" customHeight="1" thickBot="1" x14ac:dyDescent="0.3">
      <c r="A872" s="6"/>
      <c r="B872" s="10" t="s">
        <v>39</v>
      </c>
      <c r="C872" s="34"/>
      <c r="D872" s="50"/>
      <c r="E872" s="49" t="str">
        <f t="shared" si="13"/>
        <v/>
      </c>
      <c r="F872" s="74"/>
      <c r="G872" s="74"/>
    </row>
    <row r="873" spans="1:7" ht="15.75" hidden="1" customHeight="1" thickBot="1" x14ac:dyDescent="0.3">
      <c r="A873" s="6"/>
      <c r="B873" s="10" t="s">
        <v>39</v>
      </c>
      <c r="C873" s="34"/>
      <c r="D873" s="50"/>
      <c r="E873" s="49" t="str">
        <f t="shared" si="13"/>
        <v/>
      </c>
      <c r="F873" s="74"/>
      <c r="G873" s="74"/>
    </row>
    <row r="874" spans="1:7" ht="15.75" hidden="1" customHeight="1" thickBot="1" x14ac:dyDescent="0.3">
      <c r="A874" s="6"/>
      <c r="B874" s="10" t="s">
        <v>39</v>
      </c>
      <c r="C874" s="34"/>
      <c r="D874" s="50"/>
      <c r="E874" s="49" t="str">
        <f t="shared" si="13"/>
        <v/>
      </c>
      <c r="F874" s="74"/>
      <c r="G874" s="74"/>
    </row>
    <row r="875" spans="1:7" ht="15.75" hidden="1" customHeight="1" thickBot="1" x14ac:dyDescent="0.3">
      <c r="A875" s="6"/>
      <c r="B875" s="10" t="s">
        <v>39</v>
      </c>
      <c r="C875" s="34"/>
      <c r="D875" s="50"/>
      <c r="E875" s="49" t="str">
        <f t="shared" si="13"/>
        <v/>
      </c>
      <c r="F875" s="74"/>
      <c r="G875" s="74"/>
    </row>
    <row r="876" spans="1:7" ht="15.75" hidden="1" customHeight="1" thickBot="1" x14ac:dyDescent="0.3">
      <c r="A876" s="6"/>
      <c r="B876" s="10" t="s">
        <v>39</v>
      </c>
      <c r="C876" s="34"/>
      <c r="D876" s="50"/>
      <c r="E876" s="49" t="str">
        <f t="shared" si="13"/>
        <v/>
      </c>
      <c r="F876" s="74"/>
      <c r="G876" s="74"/>
    </row>
    <row r="877" spans="1:7" ht="15.75" hidden="1" customHeight="1" thickBot="1" x14ac:dyDescent="0.3">
      <c r="A877" s="6"/>
      <c r="B877" s="10" t="s">
        <v>39</v>
      </c>
      <c r="C877" s="34"/>
      <c r="D877" s="50"/>
      <c r="E877" s="49" t="str">
        <f t="shared" si="13"/>
        <v/>
      </c>
      <c r="F877" s="74"/>
      <c r="G877" s="74"/>
    </row>
    <row r="878" spans="1:7" ht="15.75" hidden="1" customHeight="1" thickBot="1" x14ac:dyDescent="0.3">
      <c r="A878" s="6"/>
      <c r="B878" s="10" t="s">
        <v>39</v>
      </c>
      <c r="C878" s="34"/>
      <c r="D878" s="50"/>
      <c r="E878" s="49" t="str">
        <f t="shared" si="13"/>
        <v/>
      </c>
      <c r="F878" s="74"/>
      <c r="G878" s="74"/>
    </row>
    <row r="879" spans="1:7" ht="15.75" hidden="1" customHeight="1" thickBot="1" x14ac:dyDescent="0.3">
      <c r="A879" s="6"/>
      <c r="B879" s="10" t="s">
        <v>39</v>
      </c>
      <c r="C879" s="34"/>
      <c r="D879" s="50"/>
      <c r="E879" s="49" t="str">
        <f t="shared" si="13"/>
        <v/>
      </c>
      <c r="F879" s="74"/>
      <c r="G879" s="74"/>
    </row>
    <row r="880" spans="1:7" ht="15.75" hidden="1" customHeight="1" thickBot="1" x14ac:dyDescent="0.3">
      <c r="A880" s="6"/>
      <c r="B880" s="10" t="s">
        <v>39</v>
      </c>
      <c r="C880" s="34"/>
      <c r="D880" s="50"/>
      <c r="E880" s="49" t="str">
        <f t="shared" si="13"/>
        <v/>
      </c>
      <c r="F880" s="74"/>
      <c r="G880" s="74"/>
    </row>
    <row r="881" spans="1:7" ht="15.75" hidden="1" customHeight="1" thickBot="1" x14ac:dyDescent="0.3">
      <c r="A881" s="6"/>
      <c r="B881" s="10" t="s">
        <v>39</v>
      </c>
      <c r="C881" s="34"/>
      <c r="D881" s="50"/>
      <c r="E881" s="49" t="str">
        <f t="shared" si="13"/>
        <v/>
      </c>
      <c r="F881" s="74"/>
      <c r="G881" s="74"/>
    </row>
    <row r="882" spans="1:7" ht="15.75" hidden="1" customHeight="1" thickBot="1" x14ac:dyDescent="0.3">
      <c r="A882" s="6"/>
      <c r="B882" s="10" t="s">
        <v>39</v>
      </c>
      <c r="C882" s="34"/>
      <c r="D882" s="50"/>
      <c r="E882" s="49" t="str">
        <f t="shared" si="13"/>
        <v/>
      </c>
      <c r="F882" s="74"/>
      <c r="G882" s="74"/>
    </row>
    <row r="883" spans="1:7" ht="15.75" hidden="1" customHeight="1" thickBot="1" x14ac:dyDescent="0.3">
      <c r="A883" s="6"/>
      <c r="B883" s="10" t="s">
        <v>39</v>
      </c>
      <c r="C883" s="34"/>
      <c r="D883" s="50"/>
      <c r="E883" s="49" t="str">
        <f t="shared" si="13"/>
        <v/>
      </c>
      <c r="F883" s="74"/>
      <c r="G883" s="74"/>
    </row>
    <row r="884" spans="1:7" ht="15.75" hidden="1" customHeight="1" thickBot="1" x14ac:dyDescent="0.3">
      <c r="A884" s="6"/>
      <c r="B884" s="10" t="s">
        <v>39</v>
      </c>
      <c r="C884" s="34"/>
      <c r="D884" s="50"/>
      <c r="E884" s="49" t="str">
        <f t="shared" si="13"/>
        <v/>
      </c>
      <c r="F884" s="74"/>
      <c r="G884" s="74"/>
    </row>
    <row r="885" spans="1:7" ht="15.75" hidden="1" customHeight="1" thickBot="1" x14ac:dyDescent="0.3">
      <c r="A885" s="6"/>
      <c r="B885" s="10" t="s">
        <v>39</v>
      </c>
      <c r="C885" s="34"/>
      <c r="D885" s="50"/>
      <c r="E885" s="49" t="str">
        <f t="shared" si="13"/>
        <v/>
      </c>
      <c r="F885" s="74"/>
      <c r="G885" s="74"/>
    </row>
    <row r="886" spans="1:7" ht="15.75" hidden="1" customHeight="1" thickBot="1" x14ac:dyDescent="0.3">
      <c r="A886" s="6"/>
      <c r="B886" s="10" t="s">
        <v>39</v>
      </c>
      <c r="C886" s="34"/>
      <c r="D886" s="50"/>
      <c r="E886" s="49" t="str">
        <f t="shared" si="13"/>
        <v/>
      </c>
      <c r="F886" s="74"/>
      <c r="G886" s="74"/>
    </row>
    <row r="887" spans="1:7" ht="15.75" hidden="1" customHeight="1" thickBot="1" x14ac:dyDescent="0.3">
      <c r="A887" s="6"/>
      <c r="B887" s="10" t="s">
        <v>39</v>
      </c>
      <c r="C887" s="34"/>
      <c r="D887" s="50"/>
      <c r="E887" s="49" t="str">
        <f t="shared" si="13"/>
        <v/>
      </c>
      <c r="F887" s="74"/>
      <c r="G887" s="74"/>
    </row>
    <row r="888" spans="1:7" ht="15.75" hidden="1" customHeight="1" thickBot="1" x14ac:dyDescent="0.3">
      <c r="A888" s="6"/>
      <c r="B888" s="10" t="s">
        <v>39</v>
      </c>
      <c r="C888" s="34"/>
      <c r="D888" s="50"/>
      <c r="E888" s="49" t="str">
        <f t="shared" si="13"/>
        <v/>
      </c>
      <c r="F888" s="74"/>
      <c r="G888" s="74"/>
    </row>
    <row r="889" spans="1:7" ht="15.75" hidden="1" customHeight="1" thickBot="1" x14ac:dyDescent="0.3">
      <c r="A889" s="6"/>
      <c r="B889" s="10" t="s">
        <v>39</v>
      </c>
      <c r="C889" s="34"/>
      <c r="D889" s="50"/>
      <c r="E889" s="49" t="str">
        <f t="shared" si="13"/>
        <v/>
      </c>
      <c r="F889" s="74"/>
      <c r="G889" s="74"/>
    </row>
    <row r="890" spans="1:7" ht="15.75" hidden="1" customHeight="1" thickBot="1" x14ac:dyDescent="0.3">
      <c r="A890" s="6"/>
      <c r="B890" s="10" t="s">
        <v>39</v>
      </c>
      <c r="C890" s="34"/>
      <c r="D890" s="50"/>
      <c r="E890" s="49" t="str">
        <f t="shared" si="13"/>
        <v/>
      </c>
      <c r="F890" s="74"/>
      <c r="G890" s="74"/>
    </row>
    <row r="891" spans="1:7" ht="15.75" hidden="1" customHeight="1" thickBot="1" x14ac:dyDescent="0.3">
      <c r="A891" s="6"/>
      <c r="B891" s="10" t="s">
        <v>39</v>
      </c>
      <c r="C891" s="34"/>
      <c r="D891" s="50"/>
      <c r="E891" s="49" t="str">
        <f t="shared" si="13"/>
        <v/>
      </c>
      <c r="F891" s="74"/>
      <c r="G891" s="74"/>
    </row>
    <row r="892" spans="1:7" ht="15.75" hidden="1" customHeight="1" thickBot="1" x14ac:dyDescent="0.3">
      <c r="A892" s="6"/>
      <c r="B892" s="10" t="s">
        <v>39</v>
      </c>
      <c r="C892" s="34"/>
      <c r="D892" s="50"/>
      <c r="E892" s="49" t="str">
        <f t="shared" si="13"/>
        <v/>
      </c>
      <c r="F892" s="74"/>
      <c r="G892" s="74"/>
    </row>
    <row r="893" spans="1:7" ht="15.75" hidden="1" customHeight="1" thickBot="1" x14ac:dyDescent="0.3">
      <c r="A893" s="6"/>
      <c r="B893" s="10" t="s">
        <v>39</v>
      </c>
      <c r="C893" s="34"/>
      <c r="D893" s="50"/>
      <c r="E893" s="49" t="str">
        <f t="shared" si="13"/>
        <v/>
      </c>
      <c r="F893" s="74"/>
      <c r="G893" s="74"/>
    </row>
    <row r="894" spans="1:7" ht="15.75" hidden="1" customHeight="1" thickBot="1" x14ac:dyDescent="0.3">
      <c r="A894" s="6"/>
      <c r="B894" s="10" t="s">
        <v>39</v>
      </c>
      <c r="C894" s="34"/>
      <c r="D894" s="50"/>
      <c r="E894" s="49" t="str">
        <f t="shared" si="13"/>
        <v/>
      </c>
      <c r="F894" s="74"/>
      <c r="G894" s="74"/>
    </row>
    <row r="895" spans="1:7" ht="15.75" hidden="1" customHeight="1" thickBot="1" x14ac:dyDescent="0.3">
      <c r="A895" s="6"/>
      <c r="B895" s="10" t="s">
        <v>39</v>
      </c>
      <c r="C895" s="34"/>
      <c r="D895" s="50"/>
      <c r="E895" s="49" t="str">
        <f t="shared" si="13"/>
        <v/>
      </c>
      <c r="F895" s="74"/>
      <c r="G895" s="74"/>
    </row>
    <row r="896" spans="1:7" ht="15.75" hidden="1" customHeight="1" thickBot="1" x14ac:dyDescent="0.3">
      <c r="A896" s="6"/>
      <c r="B896" s="10" t="s">
        <v>39</v>
      </c>
      <c r="C896" s="34"/>
      <c r="D896" s="50"/>
      <c r="E896" s="49" t="str">
        <f t="shared" si="13"/>
        <v/>
      </c>
      <c r="F896" s="74"/>
      <c r="G896" s="74"/>
    </row>
    <row r="897" spans="1:7" ht="15.75" hidden="1" customHeight="1" thickBot="1" x14ac:dyDescent="0.3">
      <c r="A897" s="6"/>
      <c r="B897" s="10" t="s">
        <v>39</v>
      </c>
      <c r="C897" s="34"/>
      <c r="D897" s="50"/>
      <c r="E897" s="49" t="str">
        <f t="shared" si="13"/>
        <v/>
      </c>
      <c r="F897" s="74"/>
      <c r="G897" s="74"/>
    </row>
    <row r="898" spans="1:7" ht="15.75" hidden="1" customHeight="1" thickBot="1" x14ac:dyDescent="0.3">
      <c r="A898" s="6"/>
      <c r="B898" s="10" t="s">
        <v>39</v>
      </c>
      <c r="C898" s="34"/>
      <c r="D898" s="50"/>
      <c r="E898" s="49" t="str">
        <f t="shared" si="13"/>
        <v/>
      </c>
      <c r="F898" s="74"/>
      <c r="G898" s="74"/>
    </row>
    <row r="899" spans="1:7" ht="15.75" hidden="1" customHeight="1" thickBot="1" x14ac:dyDescent="0.3">
      <c r="A899" s="6"/>
      <c r="B899" s="10" t="s">
        <v>39</v>
      </c>
      <c r="C899" s="34"/>
      <c r="D899" s="50"/>
      <c r="E899" s="49" t="str">
        <f t="shared" si="13"/>
        <v/>
      </c>
      <c r="F899" s="74"/>
      <c r="G899" s="74"/>
    </row>
    <row r="900" spans="1:7" ht="15.75" hidden="1" customHeight="1" thickBot="1" x14ac:dyDescent="0.3">
      <c r="A900" s="6"/>
      <c r="B900" s="10" t="s">
        <v>39</v>
      </c>
      <c r="C900" s="34"/>
      <c r="D900" s="50"/>
      <c r="E900" s="49" t="str">
        <f t="shared" si="13"/>
        <v/>
      </c>
      <c r="F900" s="74"/>
      <c r="G900" s="74"/>
    </row>
    <row r="901" spans="1:7" ht="15.75" hidden="1" customHeight="1" thickBot="1" x14ac:dyDescent="0.3">
      <c r="A901" s="6"/>
      <c r="B901" s="10" t="s">
        <v>39</v>
      </c>
      <c r="C901" s="34"/>
      <c r="D901" s="50"/>
      <c r="E901" s="49" t="str">
        <f t="shared" si="13"/>
        <v/>
      </c>
      <c r="F901" s="74"/>
      <c r="G901" s="74"/>
    </row>
    <row r="902" spans="1:7" ht="15.75" hidden="1" customHeight="1" thickBot="1" x14ac:dyDescent="0.3">
      <c r="A902" s="6"/>
      <c r="B902" s="10" t="s">
        <v>39</v>
      </c>
      <c r="C902" s="34"/>
      <c r="D902" s="50"/>
      <c r="E902" s="49" t="str">
        <f t="shared" si="13"/>
        <v/>
      </c>
      <c r="F902" s="74"/>
      <c r="G902" s="74"/>
    </row>
    <row r="903" spans="1:7" ht="15.75" hidden="1" customHeight="1" thickBot="1" x14ac:dyDescent="0.3">
      <c r="A903" s="6"/>
      <c r="B903" s="10" t="s">
        <v>39</v>
      </c>
      <c r="C903" s="34"/>
      <c r="D903" s="50"/>
      <c r="E903" s="49" t="str">
        <f t="shared" si="13"/>
        <v/>
      </c>
      <c r="F903" s="74"/>
      <c r="G903" s="74"/>
    </row>
    <row r="904" spans="1:7" ht="15.75" hidden="1" customHeight="1" thickBot="1" x14ac:dyDescent="0.3">
      <c r="A904" s="6"/>
      <c r="B904" s="10" t="s">
        <v>39</v>
      </c>
      <c r="C904" s="34"/>
      <c r="D904" s="50"/>
      <c r="E904" s="49" t="str">
        <f t="shared" ref="E904:E967" si="14">IF(C904="Active",IF(ISNUMBER(D904),D904-rToday,""),"")</f>
        <v/>
      </c>
      <c r="F904" s="74"/>
      <c r="G904" s="74"/>
    </row>
    <row r="905" spans="1:7" ht="15.75" hidden="1" customHeight="1" thickBot="1" x14ac:dyDescent="0.3">
      <c r="A905" s="6"/>
      <c r="B905" s="10" t="s">
        <v>39</v>
      </c>
      <c r="C905" s="34"/>
      <c r="D905" s="50"/>
      <c r="E905" s="49" t="str">
        <f t="shared" si="14"/>
        <v/>
      </c>
      <c r="F905" s="74"/>
      <c r="G905" s="74"/>
    </row>
    <row r="906" spans="1:7" ht="15.75" hidden="1" customHeight="1" thickBot="1" x14ac:dyDescent="0.3">
      <c r="A906" s="6"/>
      <c r="B906" s="10" t="s">
        <v>39</v>
      </c>
      <c r="C906" s="34"/>
      <c r="D906" s="50"/>
      <c r="E906" s="49" t="str">
        <f t="shared" si="14"/>
        <v/>
      </c>
      <c r="F906" s="74"/>
      <c r="G906" s="74"/>
    </row>
    <row r="907" spans="1:7" ht="15.75" hidden="1" customHeight="1" thickBot="1" x14ac:dyDescent="0.3">
      <c r="A907" s="6"/>
      <c r="B907" s="10" t="s">
        <v>39</v>
      </c>
      <c r="C907" s="34"/>
      <c r="D907" s="50"/>
      <c r="E907" s="49" t="str">
        <f t="shared" si="14"/>
        <v/>
      </c>
      <c r="F907" s="74"/>
      <c r="G907" s="74"/>
    </row>
    <row r="908" spans="1:7" ht="15.75" hidden="1" customHeight="1" thickBot="1" x14ac:dyDescent="0.3">
      <c r="A908" s="6"/>
      <c r="B908" s="10" t="s">
        <v>39</v>
      </c>
      <c r="C908" s="34"/>
      <c r="D908" s="50"/>
      <c r="E908" s="49" t="str">
        <f t="shared" si="14"/>
        <v/>
      </c>
      <c r="F908" s="74"/>
      <c r="G908" s="74"/>
    </row>
    <row r="909" spans="1:7" ht="15.75" hidden="1" customHeight="1" thickBot="1" x14ac:dyDescent="0.3">
      <c r="A909" s="6"/>
      <c r="B909" s="10" t="s">
        <v>39</v>
      </c>
      <c r="C909" s="34"/>
      <c r="D909" s="50"/>
      <c r="E909" s="49" t="str">
        <f t="shared" si="14"/>
        <v/>
      </c>
      <c r="F909" s="74"/>
      <c r="G909" s="74"/>
    </row>
    <row r="910" spans="1:7" ht="15.75" hidden="1" customHeight="1" thickBot="1" x14ac:dyDescent="0.3">
      <c r="A910" s="6"/>
      <c r="B910" s="10" t="s">
        <v>39</v>
      </c>
      <c r="C910" s="34"/>
      <c r="D910" s="50"/>
      <c r="E910" s="49" t="str">
        <f t="shared" si="14"/>
        <v/>
      </c>
      <c r="F910" s="74"/>
      <c r="G910" s="74"/>
    </row>
    <row r="911" spans="1:7" ht="15.75" hidden="1" customHeight="1" thickBot="1" x14ac:dyDescent="0.3">
      <c r="A911" s="6"/>
      <c r="B911" s="10" t="s">
        <v>39</v>
      </c>
      <c r="C911" s="34"/>
      <c r="D911" s="50"/>
      <c r="E911" s="49" t="str">
        <f t="shared" si="14"/>
        <v/>
      </c>
      <c r="F911" s="74"/>
      <c r="G911" s="74"/>
    </row>
    <row r="912" spans="1:7" ht="15.75" hidden="1" customHeight="1" thickBot="1" x14ac:dyDescent="0.3">
      <c r="A912" s="6"/>
      <c r="B912" s="10" t="s">
        <v>39</v>
      </c>
      <c r="C912" s="34"/>
      <c r="D912" s="50"/>
      <c r="E912" s="49" t="str">
        <f t="shared" si="14"/>
        <v/>
      </c>
      <c r="F912" s="74"/>
      <c r="G912" s="74"/>
    </row>
    <row r="913" spans="1:7" ht="15.75" hidden="1" customHeight="1" thickBot="1" x14ac:dyDescent="0.3">
      <c r="A913" s="6"/>
      <c r="B913" s="10" t="s">
        <v>39</v>
      </c>
      <c r="C913" s="34"/>
      <c r="D913" s="50"/>
      <c r="E913" s="49" t="str">
        <f t="shared" si="14"/>
        <v/>
      </c>
      <c r="F913" s="74"/>
      <c r="G913" s="74"/>
    </row>
    <row r="914" spans="1:7" ht="15.75" hidden="1" customHeight="1" thickBot="1" x14ac:dyDescent="0.3">
      <c r="A914" s="6"/>
      <c r="B914" s="10" t="s">
        <v>39</v>
      </c>
      <c r="C914" s="34"/>
      <c r="D914" s="50"/>
      <c r="E914" s="49" t="str">
        <f t="shared" si="14"/>
        <v/>
      </c>
      <c r="F914" s="74"/>
      <c r="G914" s="74"/>
    </row>
    <row r="915" spans="1:7" ht="15.75" hidden="1" customHeight="1" thickBot="1" x14ac:dyDescent="0.3">
      <c r="A915" s="6"/>
      <c r="B915" s="10" t="s">
        <v>39</v>
      </c>
      <c r="C915" s="34"/>
      <c r="D915" s="50"/>
      <c r="E915" s="49" t="str">
        <f t="shared" si="14"/>
        <v/>
      </c>
      <c r="F915" s="74"/>
      <c r="G915" s="74"/>
    </row>
    <row r="916" spans="1:7" ht="15.75" hidden="1" customHeight="1" thickBot="1" x14ac:dyDescent="0.3">
      <c r="A916" s="6"/>
      <c r="B916" s="10" t="s">
        <v>39</v>
      </c>
      <c r="C916" s="34"/>
      <c r="D916" s="50"/>
      <c r="E916" s="49" t="str">
        <f t="shared" si="14"/>
        <v/>
      </c>
      <c r="F916" s="74"/>
      <c r="G916" s="74"/>
    </row>
    <row r="917" spans="1:7" ht="15.75" hidden="1" customHeight="1" thickBot="1" x14ac:dyDescent="0.3">
      <c r="A917" s="6"/>
      <c r="B917" s="10" t="s">
        <v>39</v>
      </c>
      <c r="C917" s="34"/>
      <c r="D917" s="50"/>
      <c r="E917" s="49" t="str">
        <f t="shared" si="14"/>
        <v/>
      </c>
      <c r="F917" s="74"/>
      <c r="G917" s="74"/>
    </row>
    <row r="918" spans="1:7" ht="15.75" hidden="1" customHeight="1" thickBot="1" x14ac:dyDescent="0.3">
      <c r="A918" s="6"/>
      <c r="B918" s="10" t="s">
        <v>39</v>
      </c>
      <c r="C918" s="34"/>
      <c r="D918" s="50"/>
      <c r="E918" s="49" t="str">
        <f t="shared" si="14"/>
        <v/>
      </c>
      <c r="F918" s="74"/>
      <c r="G918" s="74"/>
    </row>
    <row r="919" spans="1:7" ht="15.75" hidden="1" customHeight="1" thickBot="1" x14ac:dyDescent="0.3">
      <c r="A919" s="6"/>
      <c r="B919" s="10" t="s">
        <v>39</v>
      </c>
      <c r="C919" s="34"/>
      <c r="D919" s="50"/>
      <c r="E919" s="49" t="str">
        <f t="shared" si="14"/>
        <v/>
      </c>
      <c r="F919" s="74"/>
      <c r="G919" s="74"/>
    </row>
    <row r="920" spans="1:7" ht="15.75" hidden="1" customHeight="1" thickBot="1" x14ac:dyDescent="0.3">
      <c r="A920" s="6"/>
      <c r="B920" s="10" t="s">
        <v>39</v>
      </c>
      <c r="C920" s="34"/>
      <c r="D920" s="50"/>
      <c r="E920" s="49" t="str">
        <f t="shared" si="14"/>
        <v/>
      </c>
      <c r="F920" s="74"/>
      <c r="G920" s="74"/>
    </row>
    <row r="921" spans="1:7" ht="15.75" hidden="1" customHeight="1" thickBot="1" x14ac:dyDescent="0.3">
      <c r="A921" s="6"/>
      <c r="B921" s="10" t="s">
        <v>39</v>
      </c>
      <c r="C921" s="34"/>
      <c r="D921" s="50"/>
      <c r="E921" s="49" t="str">
        <f t="shared" si="14"/>
        <v/>
      </c>
      <c r="F921" s="74"/>
      <c r="G921" s="74"/>
    </row>
    <row r="922" spans="1:7" ht="15.75" hidden="1" customHeight="1" thickBot="1" x14ac:dyDescent="0.3">
      <c r="A922" s="6"/>
      <c r="B922" s="10" t="s">
        <v>39</v>
      </c>
      <c r="C922" s="34"/>
      <c r="D922" s="50"/>
      <c r="E922" s="49" t="str">
        <f t="shared" si="14"/>
        <v/>
      </c>
      <c r="F922" s="74"/>
      <c r="G922" s="74"/>
    </row>
    <row r="923" spans="1:7" ht="15.75" hidden="1" customHeight="1" thickBot="1" x14ac:dyDescent="0.3">
      <c r="A923" s="6"/>
      <c r="B923" s="10" t="s">
        <v>39</v>
      </c>
      <c r="C923" s="34"/>
      <c r="D923" s="50"/>
      <c r="E923" s="49" t="str">
        <f t="shared" si="14"/>
        <v/>
      </c>
      <c r="F923" s="74"/>
      <c r="G923" s="74"/>
    </row>
    <row r="924" spans="1:7" ht="15.75" hidden="1" customHeight="1" thickBot="1" x14ac:dyDescent="0.3">
      <c r="A924" s="6"/>
      <c r="B924" s="10" t="s">
        <v>39</v>
      </c>
      <c r="C924" s="34"/>
      <c r="D924" s="50"/>
      <c r="E924" s="49" t="str">
        <f t="shared" si="14"/>
        <v/>
      </c>
      <c r="F924" s="74"/>
      <c r="G924" s="74"/>
    </row>
    <row r="925" spans="1:7" ht="15.75" hidden="1" customHeight="1" thickBot="1" x14ac:dyDescent="0.3">
      <c r="A925" s="6"/>
      <c r="B925" s="10" t="s">
        <v>39</v>
      </c>
      <c r="C925" s="34"/>
      <c r="D925" s="50"/>
      <c r="E925" s="49" t="str">
        <f t="shared" si="14"/>
        <v/>
      </c>
      <c r="F925" s="74"/>
      <c r="G925" s="74"/>
    </row>
    <row r="926" spans="1:7" ht="15.75" hidden="1" customHeight="1" thickBot="1" x14ac:dyDescent="0.3">
      <c r="A926" s="6"/>
      <c r="B926" s="10" t="s">
        <v>39</v>
      </c>
      <c r="C926" s="34"/>
      <c r="D926" s="50"/>
      <c r="E926" s="49" t="str">
        <f t="shared" si="14"/>
        <v/>
      </c>
      <c r="F926" s="74"/>
      <c r="G926" s="74"/>
    </row>
    <row r="927" spans="1:7" ht="15.75" hidden="1" customHeight="1" thickBot="1" x14ac:dyDescent="0.3">
      <c r="A927" s="6"/>
      <c r="B927" s="10" t="s">
        <v>39</v>
      </c>
      <c r="C927" s="34"/>
      <c r="D927" s="50"/>
      <c r="E927" s="49" t="str">
        <f t="shared" si="14"/>
        <v/>
      </c>
      <c r="F927" s="74"/>
      <c r="G927" s="74"/>
    </row>
    <row r="928" spans="1:7" ht="15.75" hidden="1" customHeight="1" thickBot="1" x14ac:dyDescent="0.3">
      <c r="A928" s="6"/>
      <c r="B928" s="10" t="s">
        <v>39</v>
      </c>
      <c r="C928" s="34"/>
      <c r="D928" s="50"/>
      <c r="E928" s="49" t="str">
        <f t="shared" si="14"/>
        <v/>
      </c>
      <c r="F928" s="74"/>
      <c r="G928" s="74"/>
    </row>
    <row r="929" spans="1:7" ht="15.75" hidden="1" customHeight="1" thickBot="1" x14ac:dyDescent="0.3">
      <c r="A929" s="6"/>
      <c r="B929" s="10" t="s">
        <v>39</v>
      </c>
      <c r="C929" s="34"/>
      <c r="D929" s="50"/>
      <c r="E929" s="49" t="str">
        <f t="shared" si="14"/>
        <v/>
      </c>
      <c r="F929" s="74"/>
      <c r="G929" s="74"/>
    </row>
    <row r="930" spans="1:7" ht="15.75" hidden="1" customHeight="1" thickBot="1" x14ac:dyDescent="0.3">
      <c r="A930" s="6"/>
      <c r="B930" s="10" t="s">
        <v>39</v>
      </c>
      <c r="C930" s="34"/>
      <c r="D930" s="50"/>
      <c r="E930" s="49" t="str">
        <f t="shared" si="14"/>
        <v/>
      </c>
      <c r="F930" s="74"/>
      <c r="G930" s="74"/>
    </row>
    <row r="931" spans="1:7" ht="15.75" hidden="1" customHeight="1" thickBot="1" x14ac:dyDescent="0.3">
      <c r="A931" s="6"/>
      <c r="B931" s="10" t="s">
        <v>39</v>
      </c>
      <c r="C931" s="34"/>
      <c r="D931" s="50"/>
      <c r="E931" s="49" t="str">
        <f t="shared" si="14"/>
        <v/>
      </c>
      <c r="F931" s="74"/>
      <c r="G931" s="74"/>
    </row>
    <row r="932" spans="1:7" ht="15.75" hidden="1" customHeight="1" thickBot="1" x14ac:dyDescent="0.3">
      <c r="A932" s="6"/>
      <c r="B932" s="10" t="s">
        <v>39</v>
      </c>
      <c r="C932" s="34"/>
      <c r="D932" s="50"/>
      <c r="E932" s="49" t="str">
        <f t="shared" si="14"/>
        <v/>
      </c>
      <c r="F932" s="74"/>
      <c r="G932" s="74"/>
    </row>
    <row r="933" spans="1:7" ht="15.75" hidden="1" customHeight="1" thickBot="1" x14ac:dyDescent="0.3">
      <c r="A933" s="6"/>
      <c r="B933" s="10" t="s">
        <v>39</v>
      </c>
      <c r="C933" s="34"/>
      <c r="D933" s="50"/>
      <c r="E933" s="49" t="str">
        <f t="shared" si="14"/>
        <v/>
      </c>
      <c r="F933" s="74"/>
      <c r="G933" s="74"/>
    </row>
    <row r="934" spans="1:7" ht="15.75" hidden="1" customHeight="1" thickBot="1" x14ac:dyDescent="0.3">
      <c r="A934" s="6"/>
      <c r="B934" s="10" t="s">
        <v>39</v>
      </c>
      <c r="C934" s="34"/>
      <c r="D934" s="50"/>
      <c r="E934" s="49" t="str">
        <f t="shared" si="14"/>
        <v/>
      </c>
      <c r="F934" s="74"/>
      <c r="G934" s="74"/>
    </row>
    <row r="935" spans="1:7" ht="15.75" hidden="1" customHeight="1" thickBot="1" x14ac:dyDescent="0.3">
      <c r="A935" s="6"/>
      <c r="B935" s="10" t="s">
        <v>39</v>
      </c>
      <c r="C935" s="34"/>
      <c r="D935" s="50"/>
      <c r="E935" s="49" t="str">
        <f t="shared" si="14"/>
        <v/>
      </c>
      <c r="F935" s="74"/>
      <c r="G935" s="74"/>
    </row>
    <row r="936" spans="1:7" ht="15.75" hidden="1" customHeight="1" thickBot="1" x14ac:dyDescent="0.3">
      <c r="A936" s="6"/>
      <c r="B936" s="10" t="s">
        <v>39</v>
      </c>
      <c r="C936" s="34"/>
      <c r="D936" s="50"/>
      <c r="E936" s="49" t="str">
        <f t="shared" si="14"/>
        <v/>
      </c>
      <c r="F936" s="74"/>
      <c r="G936" s="74"/>
    </row>
    <row r="937" spans="1:7" ht="15.75" hidden="1" customHeight="1" thickBot="1" x14ac:dyDescent="0.3">
      <c r="A937" s="6"/>
      <c r="B937" s="10" t="s">
        <v>39</v>
      </c>
      <c r="C937" s="34"/>
      <c r="D937" s="50"/>
      <c r="E937" s="49" t="str">
        <f t="shared" si="14"/>
        <v/>
      </c>
      <c r="F937" s="74"/>
      <c r="G937" s="74"/>
    </row>
    <row r="938" spans="1:7" ht="15.75" hidden="1" customHeight="1" thickBot="1" x14ac:dyDescent="0.3">
      <c r="A938" s="6"/>
      <c r="B938" s="10" t="s">
        <v>39</v>
      </c>
      <c r="C938" s="34"/>
      <c r="D938" s="50"/>
      <c r="E938" s="49" t="str">
        <f t="shared" si="14"/>
        <v/>
      </c>
      <c r="F938" s="74"/>
      <c r="G938" s="74"/>
    </row>
    <row r="939" spans="1:7" ht="15.75" hidden="1" customHeight="1" thickBot="1" x14ac:dyDescent="0.3">
      <c r="A939" s="6"/>
      <c r="B939" s="10" t="s">
        <v>39</v>
      </c>
      <c r="C939" s="34"/>
      <c r="D939" s="50"/>
      <c r="E939" s="49" t="str">
        <f t="shared" si="14"/>
        <v/>
      </c>
      <c r="F939" s="74"/>
      <c r="G939" s="74"/>
    </row>
    <row r="940" spans="1:7" ht="15.75" hidden="1" customHeight="1" thickBot="1" x14ac:dyDescent="0.3">
      <c r="A940" s="6"/>
      <c r="B940" s="10" t="s">
        <v>39</v>
      </c>
      <c r="C940" s="34"/>
      <c r="D940" s="50"/>
      <c r="E940" s="49" t="str">
        <f t="shared" si="14"/>
        <v/>
      </c>
      <c r="F940" s="74"/>
      <c r="G940" s="74"/>
    </row>
    <row r="941" spans="1:7" ht="15.75" hidden="1" customHeight="1" thickBot="1" x14ac:dyDescent="0.3">
      <c r="A941" s="6"/>
      <c r="B941" s="10" t="s">
        <v>39</v>
      </c>
      <c r="C941" s="34"/>
      <c r="D941" s="50"/>
      <c r="E941" s="49" t="str">
        <f t="shared" si="14"/>
        <v/>
      </c>
      <c r="F941" s="74"/>
      <c r="G941" s="74"/>
    </row>
    <row r="942" spans="1:7" ht="15.75" hidden="1" customHeight="1" thickBot="1" x14ac:dyDescent="0.3">
      <c r="A942" s="6"/>
      <c r="B942" s="10" t="s">
        <v>39</v>
      </c>
      <c r="C942" s="34"/>
      <c r="D942" s="50"/>
      <c r="E942" s="49" t="str">
        <f t="shared" si="14"/>
        <v/>
      </c>
      <c r="F942" s="74"/>
      <c r="G942" s="74"/>
    </row>
    <row r="943" spans="1:7" ht="15.75" hidden="1" customHeight="1" thickBot="1" x14ac:dyDescent="0.3">
      <c r="A943" s="6"/>
      <c r="B943" s="10" t="s">
        <v>39</v>
      </c>
      <c r="C943" s="34"/>
      <c r="D943" s="50"/>
      <c r="E943" s="49" t="str">
        <f t="shared" si="14"/>
        <v/>
      </c>
      <c r="F943" s="74"/>
      <c r="G943" s="74"/>
    </row>
    <row r="944" spans="1:7" ht="15.75" hidden="1" customHeight="1" thickBot="1" x14ac:dyDescent="0.3">
      <c r="A944" s="6"/>
      <c r="B944" s="10" t="s">
        <v>39</v>
      </c>
      <c r="C944" s="34"/>
      <c r="D944" s="50"/>
      <c r="E944" s="49" t="str">
        <f t="shared" si="14"/>
        <v/>
      </c>
      <c r="F944" s="74"/>
      <c r="G944" s="74"/>
    </row>
    <row r="945" spans="1:7" ht="15.75" hidden="1" customHeight="1" thickBot="1" x14ac:dyDescent="0.3">
      <c r="A945" s="6"/>
      <c r="B945" s="10" t="s">
        <v>39</v>
      </c>
      <c r="C945" s="34"/>
      <c r="D945" s="50"/>
      <c r="E945" s="49" t="str">
        <f t="shared" si="14"/>
        <v/>
      </c>
      <c r="F945" s="74"/>
      <c r="G945" s="74"/>
    </row>
    <row r="946" spans="1:7" ht="15.75" hidden="1" customHeight="1" thickBot="1" x14ac:dyDescent="0.3">
      <c r="A946" s="6"/>
      <c r="B946" s="10" t="s">
        <v>39</v>
      </c>
      <c r="C946" s="34"/>
      <c r="D946" s="50"/>
      <c r="E946" s="49" t="str">
        <f t="shared" si="14"/>
        <v/>
      </c>
      <c r="F946" s="74"/>
      <c r="G946" s="74"/>
    </row>
    <row r="947" spans="1:7" ht="15.75" hidden="1" customHeight="1" thickBot="1" x14ac:dyDescent="0.3">
      <c r="A947" s="6"/>
      <c r="B947" s="10" t="s">
        <v>39</v>
      </c>
      <c r="C947" s="34"/>
      <c r="D947" s="50"/>
      <c r="E947" s="49" t="str">
        <f t="shared" si="14"/>
        <v/>
      </c>
      <c r="F947" s="74"/>
      <c r="G947" s="74"/>
    </row>
    <row r="948" spans="1:7" ht="15.75" hidden="1" customHeight="1" thickBot="1" x14ac:dyDescent="0.3">
      <c r="A948" s="6"/>
      <c r="B948" s="10" t="s">
        <v>39</v>
      </c>
      <c r="C948" s="34"/>
      <c r="D948" s="50"/>
      <c r="E948" s="49" t="str">
        <f t="shared" si="14"/>
        <v/>
      </c>
      <c r="F948" s="74"/>
      <c r="G948" s="74"/>
    </row>
    <row r="949" spans="1:7" ht="15.75" hidden="1" customHeight="1" thickBot="1" x14ac:dyDescent="0.3">
      <c r="A949" s="6"/>
      <c r="B949" s="10" t="s">
        <v>39</v>
      </c>
      <c r="C949" s="34"/>
      <c r="D949" s="50"/>
      <c r="E949" s="49" t="str">
        <f t="shared" si="14"/>
        <v/>
      </c>
      <c r="F949" s="74"/>
      <c r="G949" s="74"/>
    </row>
    <row r="950" spans="1:7" ht="15.75" hidden="1" customHeight="1" thickBot="1" x14ac:dyDescent="0.3">
      <c r="A950" s="6"/>
      <c r="B950" s="10" t="s">
        <v>39</v>
      </c>
      <c r="C950" s="34"/>
      <c r="D950" s="50"/>
      <c r="E950" s="49" t="str">
        <f t="shared" si="14"/>
        <v/>
      </c>
      <c r="F950" s="74"/>
      <c r="G950" s="74"/>
    </row>
    <row r="951" spans="1:7" ht="15.75" hidden="1" customHeight="1" thickBot="1" x14ac:dyDescent="0.3">
      <c r="A951" s="6"/>
      <c r="B951" s="10" t="s">
        <v>39</v>
      </c>
      <c r="C951" s="34"/>
      <c r="D951" s="50"/>
      <c r="E951" s="49" t="str">
        <f t="shared" si="14"/>
        <v/>
      </c>
      <c r="F951" s="74"/>
      <c r="G951" s="74"/>
    </row>
    <row r="952" spans="1:7" ht="15.75" hidden="1" customHeight="1" thickBot="1" x14ac:dyDescent="0.3">
      <c r="A952" s="6"/>
      <c r="B952" s="10" t="s">
        <v>39</v>
      </c>
      <c r="C952" s="34"/>
      <c r="D952" s="50"/>
      <c r="E952" s="49" t="str">
        <f t="shared" si="14"/>
        <v/>
      </c>
      <c r="F952" s="74"/>
      <c r="G952" s="74"/>
    </row>
    <row r="953" spans="1:7" ht="15.75" hidden="1" customHeight="1" thickBot="1" x14ac:dyDescent="0.3">
      <c r="A953" s="6"/>
      <c r="B953" s="10" t="s">
        <v>39</v>
      </c>
      <c r="C953" s="34"/>
      <c r="D953" s="50"/>
      <c r="E953" s="49" t="str">
        <f t="shared" si="14"/>
        <v/>
      </c>
      <c r="F953" s="74"/>
      <c r="G953" s="74"/>
    </row>
    <row r="954" spans="1:7" ht="15.75" hidden="1" customHeight="1" thickBot="1" x14ac:dyDescent="0.3">
      <c r="A954" s="6"/>
      <c r="B954" s="10" t="s">
        <v>39</v>
      </c>
      <c r="C954" s="34"/>
      <c r="D954" s="50"/>
      <c r="E954" s="49" t="str">
        <f t="shared" si="14"/>
        <v/>
      </c>
      <c r="F954" s="74"/>
      <c r="G954" s="74"/>
    </row>
    <row r="955" spans="1:7" ht="15.75" hidden="1" customHeight="1" thickBot="1" x14ac:dyDescent="0.3">
      <c r="A955" s="6"/>
      <c r="B955" s="10" t="s">
        <v>39</v>
      </c>
      <c r="C955" s="34"/>
      <c r="D955" s="50"/>
      <c r="E955" s="49" t="str">
        <f t="shared" si="14"/>
        <v/>
      </c>
      <c r="F955" s="74"/>
      <c r="G955" s="74"/>
    </row>
    <row r="956" spans="1:7" ht="15.75" hidden="1" customHeight="1" thickBot="1" x14ac:dyDescent="0.3">
      <c r="A956" s="6"/>
      <c r="B956" s="10" t="s">
        <v>39</v>
      </c>
      <c r="C956" s="34"/>
      <c r="D956" s="50"/>
      <c r="E956" s="49" t="str">
        <f t="shared" si="14"/>
        <v/>
      </c>
      <c r="F956" s="74"/>
      <c r="G956" s="74"/>
    </row>
    <row r="957" spans="1:7" ht="15.75" hidden="1" customHeight="1" thickBot="1" x14ac:dyDescent="0.3">
      <c r="A957" s="6"/>
      <c r="B957" s="10" t="s">
        <v>39</v>
      </c>
      <c r="C957" s="34"/>
      <c r="D957" s="50"/>
      <c r="E957" s="49" t="str">
        <f t="shared" si="14"/>
        <v/>
      </c>
      <c r="F957" s="74"/>
      <c r="G957" s="74"/>
    </row>
    <row r="958" spans="1:7" ht="15.75" hidden="1" customHeight="1" thickBot="1" x14ac:dyDescent="0.3">
      <c r="A958" s="6"/>
      <c r="B958" s="10" t="s">
        <v>39</v>
      </c>
      <c r="C958" s="34"/>
      <c r="D958" s="50"/>
      <c r="E958" s="49" t="str">
        <f t="shared" si="14"/>
        <v/>
      </c>
      <c r="F958" s="74"/>
      <c r="G958" s="74"/>
    </row>
    <row r="959" spans="1:7" ht="15.75" hidden="1" customHeight="1" thickBot="1" x14ac:dyDescent="0.3">
      <c r="A959" s="6"/>
      <c r="B959" s="10" t="s">
        <v>39</v>
      </c>
      <c r="C959" s="34"/>
      <c r="D959" s="50"/>
      <c r="E959" s="49" t="str">
        <f t="shared" si="14"/>
        <v/>
      </c>
      <c r="F959" s="74"/>
      <c r="G959" s="74"/>
    </row>
    <row r="960" spans="1:7" ht="15.75" hidden="1" customHeight="1" thickBot="1" x14ac:dyDescent="0.3">
      <c r="A960" s="6"/>
      <c r="B960" s="10" t="s">
        <v>39</v>
      </c>
      <c r="C960" s="34"/>
      <c r="D960" s="50"/>
      <c r="E960" s="49" t="str">
        <f t="shared" si="14"/>
        <v/>
      </c>
      <c r="F960" s="74"/>
      <c r="G960" s="74"/>
    </row>
    <row r="961" spans="1:7" ht="15.75" hidden="1" customHeight="1" thickBot="1" x14ac:dyDescent="0.3">
      <c r="A961" s="6"/>
      <c r="B961" s="10" t="s">
        <v>39</v>
      </c>
      <c r="C961" s="34"/>
      <c r="D961" s="50"/>
      <c r="E961" s="49" t="str">
        <f t="shared" si="14"/>
        <v/>
      </c>
      <c r="F961" s="74"/>
      <c r="G961" s="74"/>
    </row>
    <row r="962" spans="1:7" ht="15.75" hidden="1" customHeight="1" thickBot="1" x14ac:dyDescent="0.3">
      <c r="A962" s="6"/>
      <c r="B962" s="10" t="s">
        <v>39</v>
      </c>
      <c r="C962" s="34"/>
      <c r="D962" s="50"/>
      <c r="E962" s="49" t="str">
        <f t="shared" si="14"/>
        <v/>
      </c>
      <c r="F962" s="74"/>
      <c r="G962" s="74"/>
    </row>
    <row r="963" spans="1:7" ht="15.75" hidden="1" customHeight="1" thickBot="1" x14ac:dyDescent="0.3">
      <c r="A963" s="6"/>
      <c r="B963" s="10" t="s">
        <v>39</v>
      </c>
      <c r="C963" s="34"/>
      <c r="D963" s="50"/>
      <c r="E963" s="49" t="str">
        <f t="shared" si="14"/>
        <v/>
      </c>
      <c r="F963" s="74"/>
      <c r="G963" s="74"/>
    </row>
    <row r="964" spans="1:7" ht="15.75" hidden="1" customHeight="1" thickBot="1" x14ac:dyDescent="0.3">
      <c r="A964" s="6"/>
      <c r="B964" s="10" t="s">
        <v>39</v>
      </c>
      <c r="C964" s="34"/>
      <c r="D964" s="50"/>
      <c r="E964" s="49" t="str">
        <f t="shared" si="14"/>
        <v/>
      </c>
      <c r="F964" s="74"/>
      <c r="G964" s="74"/>
    </row>
    <row r="965" spans="1:7" ht="15.75" hidden="1" customHeight="1" thickBot="1" x14ac:dyDescent="0.3">
      <c r="A965" s="6"/>
      <c r="B965" s="10" t="s">
        <v>39</v>
      </c>
      <c r="C965" s="34"/>
      <c r="D965" s="50"/>
      <c r="E965" s="49" t="str">
        <f t="shared" si="14"/>
        <v/>
      </c>
      <c r="F965" s="74"/>
      <c r="G965" s="74"/>
    </row>
    <row r="966" spans="1:7" ht="15.75" hidden="1" customHeight="1" thickBot="1" x14ac:dyDescent="0.3">
      <c r="A966" s="6"/>
      <c r="B966" s="10" t="s">
        <v>39</v>
      </c>
      <c r="C966" s="34"/>
      <c r="D966" s="50"/>
      <c r="E966" s="49" t="str">
        <f t="shared" si="14"/>
        <v/>
      </c>
      <c r="F966" s="74"/>
      <c r="G966" s="74"/>
    </row>
    <row r="967" spans="1:7" ht="15.75" hidden="1" customHeight="1" thickBot="1" x14ac:dyDescent="0.3">
      <c r="A967" s="6"/>
      <c r="B967" s="10" t="s">
        <v>39</v>
      </c>
      <c r="C967" s="34"/>
      <c r="D967" s="50"/>
      <c r="E967" s="49" t="str">
        <f t="shared" si="14"/>
        <v/>
      </c>
      <c r="F967" s="74"/>
      <c r="G967" s="74"/>
    </row>
    <row r="968" spans="1:7" ht="15.75" hidden="1" customHeight="1" thickBot="1" x14ac:dyDescent="0.3">
      <c r="A968" s="6"/>
      <c r="B968" s="10" t="s">
        <v>39</v>
      </c>
      <c r="C968" s="34"/>
      <c r="D968" s="50"/>
      <c r="E968" s="49" t="str">
        <f t="shared" ref="E968:E1007" si="15">IF(C968="Active",IF(ISNUMBER(D968),D968-rToday,""),"")</f>
        <v/>
      </c>
      <c r="F968" s="74"/>
      <c r="G968" s="74"/>
    </row>
    <row r="969" spans="1:7" ht="15.75" hidden="1" customHeight="1" thickBot="1" x14ac:dyDescent="0.3">
      <c r="A969" s="6"/>
      <c r="B969" s="10" t="s">
        <v>39</v>
      </c>
      <c r="C969" s="34"/>
      <c r="D969" s="50"/>
      <c r="E969" s="49" t="str">
        <f t="shared" si="15"/>
        <v/>
      </c>
      <c r="F969" s="74"/>
      <c r="G969" s="74"/>
    </row>
    <row r="970" spans="1:7" ht="15.75" hidden="1" customHeight="1" thickBot="1" x14ac:dyDescent="0.3">
      <c r="A970" s="6"/>
      <c r="B970" s="10" t="s">
        <v>39</v>
      </c>
      <c r="C970" s="34"/>
      <c r="D970" s="50"/>
      <c r="E970" s="49" t="str">
        <f t="shared" si="15"/>
        <v/>
      </c>
      <c r="F970" s="74"/>
      <c r="G970" s="74"/>
    </row>
    <row r="971" spans="1:7" ht="15.75" hidden="1" customHeight="1" thickBot="1" x14ac:dyDescent="0.3">
      <c r="A971" s="6"/>
      <c r="B971" s="10" t="s">
        <v>39</v>
      </c>
      <c r="C971" s="34"/>
      <c r="D971" s="50"/>
      <c r="E971" s="49" t="str">
        <f t="shared" si="15"/>
        <v/>
      </c>
      <c r="F971" s="74"/>
      <c r="G971" s="74"/>
    </row>
    <row r="972" spans="1:7" ht="15.75" hidden="1" customHeight="1" thickBot="1" x14ac:dyDescent="0.3">
      <c r="A972" s="6"/>
      <c r="B972" s="10" t="s">
        <v>39</v>
      </c>
      <c r="C972" s="34"/>
      <c r="D972" s="50"/>
      <c r="E972" s="49" t="str">
        <f t="shared" si="15"/>
        <v/>
      </c>
      <c r="F972" s="74"/>
      <c r="G972" s="74"/>
    </row>
    <row r="973" spans="1:7" ht="15.75" hidden="1" customHeight="1" thickBot="1" x14ac:dyDescent="0.3">
      <c r="A973" s="6"/>
      <c r="B973" s="10" t="s">
        <v>39</v>
      </c>
      <c r="C973" s="34"/>
      <c r="D973" s="50"/>
      <c r="E973" s="49" t="str">
        <f t="shared" si="15"/>
        <v/>
      </c>
      <c r="F973" s="74"/>
      <c r="G973" s="74"/>
    </row>
    <row r="974" spans="1:7" ht="15.75" hidden="1" customHeight="1" thickBot="1" x14ac:dyDescent="0.3">
      <c r="A974" s="6"/>
      <c r="B974" s="10" t="s">
        <v>39</v>
      </c>
      <c r="C974" s="34"/>
      <c r="D974" s="50"/>
      <c r="E974" s="49" t="str">
        <f t="shared" si="15"/>
        <v/>
      </c>
      <c r="F974" s="74"/>
      <c r="G974" s="74"/>
    </row>
    <row r="975" spans="1:7" ht="15.75" hidden="1" customHeight="1" thickBot="1" x14ac:dyDescent="0.3">
      <c r="A975" s="6"/>
      <c r="B975" s="10" t="s">
        <v>39</v>
      </c>
      <c r="C975" s="34"/>
      <c r="D975" s="50"/>
      <c r="E975" s="49" t="str">
        <f t="shared" si="15"/>
        <v/>
      </c>
      <c r="F975" s="74"/>
      <c r="G975" s="74"/>
    </row>
    <row r="976" spans="1:7" ht="15.75" hidden="1" customHeight="1" thickBot="1" x14ac:dyDescent="0.3">
      <c r="A976" s="6"/>
      <c r="B976" s="10" t="s">
        <v>39</v>
      </c>
      <c r="C976" s="34"/>
      <c r="D976" s="50"/>
      <c r="E976" s="49" t="str">
        <f t="shared" si="15"/>
        <v/>
      </c>
      <c r="F976" s="74"/>
      <c r="G976" s="74"/>
    </row>
    <row r="977" spans="1:7" ht="15.75" hidden="1" customHeight="1" thickBot="1" x14ac:dyDescent="0.3">
      <c r="A977" s="6"/>
      <c r="B977" s="10" t="s">
        <v>39</v>
      </c>
      <c r="C977" s="34"/>
      <c r="D977" s="50"/>
      <c r="E977" s="49" t="str">
        <f t="shared" si="15"/>
        <v/>
      </c>
      <c r="F977" s="74"/>
      <c r="G977" s="74"/>
    </row>
    <row r="978" spans="1:7" ht="15.75" hidden="1" customHeight="1" thickBot="1" x14ac:dyDescent="0.3">
      <c r="A978" s="6"/>
      <c r="B978" s="10" t="s">
        <v>39</v>
      </c>
      <c r="C978" s="34"/>
      <c r="D978" s="50"/>
      <c r="E978" s="49" t="str">
        <f t="shared" si="15"/>
        <v/>
      </c>
      <c r="F978" s="74"/>
      <c r="G978" s="74"/>
    </row>
    <row r="979" spans="1:7" ht="15.75" hidden="1" customHeight="1" thickBot="1" x14ac:dyDescent="0.3">
      <c r="A979" s="6"/>
      <c r="B979" s="10" t="s">
        <v>39</v>
      </c>
      <c r="C979" s="34"/>
      <c r="D979" s="50"/>
      <c r="E979" s="49" t="str">
        <f t="shared" si="15"/>
        <v/>
      </c>
      <c r="F979" s="74"/>
      <c r="G979" s="74"/>
    </row>
    <row r="980" spans="1:7" ht="15.75" hidden="1" customHeight="1" thickBot="1" x14ac:dyDescent="0.3">
      <c r="A980" s="6"/>
      <c r="B980" s="10" t="s">
        <v>39</v>
      </c>
      <c r="C980" s="34"/>
      <c r="D980" s="50"/>
      <c r="E980" s="49" t="str">
        <f t="shared" si="15"/>
        <v/>
      </c>
      <c r="F980" s="74"/>
      <c r="G980" s="74"/>
    </row>
    <row r="981" spans="1:7" ht="15.75" hidden="1" customHeight="1" thickBot="1" x14ac:dyDescent="0.3">
      <c r="A981" s="6"/>
      <c r="B981" s="10" t="s">
        <v>39</v>
      </c>
      <c r="C981" s="34"/>
      <c r="D981" s="50"/>
      <c r="E981" s="49" t="str">
        <f t="shared" si="15"/>
        <v/>
      </c>
      <c r="F981" s="74"/>
      <c r="G981" s="74"/>
    </row>
    <row r="982" spans="1:7" ht="15.75" hidden="1" customHeight="1" thickBot="1" x14ac:dyDescent="0.3">
      <c r="A982" s="6"/>
      <c r="B982" s="10" t="s">
        <v>39</v>
      </c>
      <c r="C982" s="34"/>
      <c r="D982" s="50"/>
      <c r="E982" s="49" t="str">
        <f t="shared" si="15"/>
        <v/>
      </c>
      <c r="F982" s="74"/>
      <c r="G982" s="74"/>
    </row>
    <row r="983" spans="1:7" ht="15.75" hidden="1" customHeight="1" thickBot="1" x14ac:dyDescent="0.3">
      <c r="A983" s="6"/>
      <c r="B983" s="10" t="s">
        <v>39</v>
      </c>
      <c r="C983" s="34"/>
      <c r="D983" s="50"/>
      <c r="E983" s="49" t="str">
        <f t="shared" si="15"/>
        <v/>
      </c>
      <c r="F983" s="74"/>
      <c r="G983" s="74"/>
    </row>
    <row r="984" spans="1:7" ht="15.75" hidden="1" customHeight="1" thickBot="1" x14ac:dyDescent="0.3">
      <c r="A984" s="6"/>
      <c r="B984" s="10" t="s">
        <v>39</v>
      </c>
      <c r="C984" s="34"/>
      <c r="D984" s="50"/>
      <c r="E984" s="49" t="str">
        <f t="shared" si="15"/>
        <v/>
      </c>
      <c r="F984" s="74"/>
      <c r="G984" s="74"/>
    </row>
    <row r="985" spans="1:7" ht="15.75" hidden="1" customHeight="1" thickBot="1" x14ac:dyDescent="0.3">
      <c r="A985" s="6"/>
      <c r="B985" s="10" t="s">
        <v>39</v>
      </c>
      <c r="C985" s="34"/>
      <c r="D985" s="50"/>
      <c r="E985" s="49" t="str">
        <f t="shared" si="15"/>
        <v/>
      </c>
      <c r="F985" s="74"/>
      <c r="G985" s="74"/>
    </row>
    <row r="986" spans="1:7" ht="15.75" hidden="1" customHeight="1" thickBot="1" x14ac:dyDescent="0.3">
      <c r="A986" s="6"/>
      <c r="B986" s="10" t="s">
        <v>39</v>
      </c>
      <c r="C986" s="34"/>
      <c r="D986" s="50"/>
      <c r="E986" s="49" t="str">
        <f t="shared" si="15"/>
        <v/>
      </c>
      <c r="F986" s="74"/>
      <c r="G986" s="74"/>
    </row>
    <row r="987" spans="1:7" ht="15.75" hidden="1" customHeight="1" thickBot="1" x14ac:dyDescent="0.3">
      <c r="A987" s="6"/>
      <c r="B987" s="10" t="s">
        <v>39</v>
      </c>
      <c r="C987" s="34"/>
      <c r="D987" s="50"/>
      <c r="E987" s="49" t="str">
        <f t="shared" si="15"/>
        <v/>
      </c>
      <c r="F987" s="74"/>
      <c r="G987" s="74"/>
    </row>
    <row r="988" spans="1:7" ht="15.75" hidden="1" customHeight="1" thickBot="1" x14ac:dyDescent="0.3">
      <c r="A988" s="6"/>
      <c r="B988" s="10" t="s">
        <v>39</v>
      </c>
      <c r="C988" s="34"/>
      <c r="D988" s="50"/>
      <c r="E988" s="49" t="str">
        <f t="shared" si="15"/>
        <v/>
      </c>
      <c r="F988" s="74"/>
      <c r="G988" s="74"/>
    </row>
    <row r="989" spans="1:7" ht="15.75" hidden="1" customHeight="1" thickBot="1" x14ac:dyDescent="0.3">
      <c r="A989" s="6"/>
      <c r="B989" s="10" t="s">
        <v>39</v>
      </c>
      <c r="C989" s="34"/>
      <c r="D989" s="50"/>
      <c r="E989" s="49" t="str">
        <f t="shared" si="15"/>
        <v/>
      </c>
      <c r="F989" s="74"/>
      <c r="G989" s="74"/>
    </row>
    <row r="990" spans="1:7" ht="15.75" hidden="1" customHeight="1" thickBot="1" x14ac:dyDescent="0.3">
      <c r="A990" s="6"/>
      <c r="B990" s="10" t="s">
        <v>39</v>
      </c>
      <c r="C990" s="34"/>
      <c r="D990" s="50"/>
      <c r="E990" s="49" t="str">
        <f t="shared" si="15"/>
        <v/>
      </c>
      <c r="F990" s="74"/>
      <c r="G990" s="74"/>
    </row>
    <row r="991" spans="1:7" ht="15.75" hidden="1" customHeight="1" thickBot="1" x14ac:dyDescent="0.3">
      <c r="A991" s="6"/>
      <c r="B991" s="10" t="s">
        <v>39</v>
      </c>
      <c r="C991" s="34"/>
      <c r="D991" s="50"/>
      <c r="E991" s="49" t="str">
        <f t="shared" si="15"/>
        <v/>
      </c>
      <c r="F991" s="74"/>
      <c r="G991" s="74"/>
    </row>
    <row r="992" spans="1:7" ht="15.75" hidden="1" customHeight="1" thickBot="1" x14ac:dyDescent="0.3">
      <c r="A992" s="6"/>
      <c r="B992" s="10" t="s">
        <v>39</v>
      </c>
      <c r="C992" s="34"/>
      <c r="D992" s="50"/>
      <c r="E992" s="49" t="str">
        <f t="shared" si="15"/>
        <v/>
      </c>
      <c r="F992" s="74"/>
      <c r="G992" s="74"/>
    </row>
    <row r="993" spans="1:7" ht="15.75" hidden="1" customHeight="1" thickBot="1" x14ac:dyDescent="0.3">
      <c r="A993" s="6"/>
      <c r="B993" s="10" t="s">
        <v>39</v>
      </c>
      <c r="C993" s="34"/>
      <c r="D993" s="50"/>
      <c r="E993" s="49" t="str">
        <f t="shared" si="15"/>
        <v/>
      </c>
      <c r="F993" s="74"/>
      <c r="G993" s="74"/>
    </row>
    <row r="994" spans="1:7" ht="15.75" hidden="1" customHeight="1" thickBot="1" x14ac:dyDescent="0.3">
      <c r="A994" s="6"/>
      <c r="B994" s="10" t="s">
        <v>39</v>
      </c>
      <c r="C994" s="34"/>
      <c r="D994" s="50"/>
      <c r="E994" s="49" t="str">
        <f t="shared" si="15"/>
        <v/>
      </c>
      <c r="F994" s="74"/>
      <c r="G994" s="74"/>
    </row>
    <row r="995" spans="1:7" ht="15.75" hidden="1" customHeight="1" thickBot="1" x14ac:dyDescent="0.3">
      <c r="A995" s="6"/>
      <c r="B995" s="10" t="s">
        <v>39</v>
      </c>
      <c r="C995" s="34"/>
      <c r="D995" s="50"/>
      <c r="E995" s="49" t="str">
        <f t="shared" si="15"/>
        <v/>
      </c>
      <c r="F995" s="74"/>
      <c r="G995" s="74"/>
    </row>
    <row r="996" spans="1:7" ht="15.75" hidden="1" customHeight="1" thickBot="1" x14ac:dyDescent="0.3">
      <c r="A996" s="6"/>
      <c r="B996" s="10" t="s">
        <v>39</v>
      </c>
      <c r="C996" s="34"/>
      <c r="D996" s="50"/>
      <c r="E996" s="49" t="str">
        <f t="shared" si="15"/>
        <v/>
      </c>
      <c r="F996" s="74"/>
      <c r="G996" s="74"/>
    </row>
    <row r="997" spans="1:7" ht="15.75" hidden="1" customHeight="1" thickBot="1" x14ac:dyDescent="0.3">
      <c r="A997" s="6"/>
      <c r="B997" s="10" t="s">
        <v>39</v>
      </c>
      <c r="C997" s="34"/>
      <c r="D997" s="50"/>
      <c r="E997" s="49" t="str">
        <f t="shared" si="15"/>
        <v/>
      </c>
      <c r="F997" s="74"/>
      <c r="G997" s="74"/>
    </row>
    <row r="998" spans="1:7" ht="15.75" hidden="1" customHeight="1" thickBot="1" x14ac:dyDescent="0.3">
      <c r="A998" s="6"/>
      <c r="B998" s="10" t="s">
        <v>39</v>
      </c>
      <c r="C998" s="34"/>
      <c r="D998" s="50"/>
      <c r="E998" s="49" t="str">
        <f t="shared" si="15"/>
        <v/>
      </c>
      <c r="F998" s="74"/>
      <c r="G998" s="74"/>
    </row>
    <row r="999" spans="1:7" ht="15.75" hidden="1" customHeight="1" thickBot="1" x14ac:dyDescent="0.3">
      <c r="A999" s="6"/>
      <c r="B999" s="10" t="s">
        <v>39</v>
      </c>
      <c r="C999" s="34"/>
      <c r="D999" s="50"/>
      <c r="E999" s="49" t="str">
        <f t="shared" si="15"/>
        <v/>
      </c>
      <c r="F999" s="74"/>
      <c r="G999" s="74"/>
    </row>
    <row r="1000" spans="1:7" ht="15.75" hidden="1" customHeight="1" thickBot="1" x14ac:dyDescent="0.3">
      <c r="A1000" s="6"/>
      <c r="B1000" s="10" t="s">
        <v>39</v>
      </c>
      <c r="C1000" s="34"/>
      <c r="D1000" s="50"/>
      <c r="E1000" s="49" t="str">
        <f t="shared" si="15"/>
        <v/>
      </c>
      <c r="F1000" s="74"/>
      <c r="G1000" s="74"/>
    </row>
    <row r="1001" spans="1:7" ht="15.75" hidden="1" customHeight="1" thickBot="1" x14ac:dyDescent="0.3">
      <c r="A1001" s="6"/>
      <c r="B1001" s="10" t="s">
        <v>39</v>
      </c>
      <c r="C1001" s="34"/>
      <c r="D1001" s="50"/>
      <c r="E1001" s="49" t="str">
        <f t="shared" si="15"/>
        <v/>
      </c>
      <c r="F1001" s="74"/>
      <c r="G1001" s="74"/>
    </row>
    <row r="1002" spans="1:7" ht="15.75" hidden="1" customHeight="1" thickBot="1" x14ac:dyDescent="0.3">
      <c r="A1002" s="6"/>
      <c r="B1002" s="10" t="s">
        <v>39</v>
      </c>
      <c r="C1002" s="34"/>
      <c r="D1002" s="50"/>
      <c r="E1002" s="49" t="str">
        <f t="shared" si="15"/>
        <v/>
      </c>
      <c r="F1002" s="74"/>
      <c r="G1002" s="74"/>
    </row>
    <row r="1003" spans="1:7" ht="15.75" hidden="1" customHeight="1" thickBot="1" x14ac:dyDescent="0.3">
      <c r="A1003" s="6"/>
      <c r="B1003" s="10" t="s">
        <v>39</v>
      </c>
      <c r="C1003" s="34"/>
      <c r="D1003" s="50"/>
      <c r="E1003" s="49" t="str">
        <f t="shared" si="15"/>
        <v/>
      </c>
      <c r="F1003" s="74"/>
      <c r="G1003" s="74"/>
    </row>
    <row r="1004" spans="1:7" ht="15.75" hidden="1" customHeight="1" thickBot="1" x14ac:dyDescent="0.3">
      <c r="A1004" s="6"/>
      <c r="B1004" s="10" t="s">
        <v>39</v>
      </c>
      <c r="C1004" s="34"/>
      <c r="D1004" s="50"/>
      <c r="E1004" s="49" t="str">
        <f t="shared" si="15"/>
        <v/>
      </c>
      <c r="F1004" s="74"/>
      <c r="G1004" s="74"/>
    </row>
    <row r="1005" spans="1:7" ht="15.75" hidden="1" customHeight="1" thickBot="1" x14ac:dyDescent="0.3">
      <c r="A1005" s="6"/>
      <c r="B1005" s="10" t="s">
        <v>39</v>
      </c>
      <c r="C1005" s="34"/>
      <c r="D1005" s="50"/>
      <c r="E1005" s="49" t="str">
        <f t="shared" si="15"/>
        <v/>
      </c>
      <c r="F1005" s="74"/>
      <c r="G1005" s="74"/>
    </row>
    <row r="1006" spans="1:7" ht="15.75" hidden="1" thickBot="1" x14ac:dyDescent="0.3">
      <c r="A1006" s="6"/>
      <c r="B1006" s="10" t="s">
        <v>39</v>
      </c>
      <c r="C1006" s="34"/>
      <c r="D1006" s="50"/>
      <c r="E1006" s="49" t="str">
        <f t="shared" si="15"/>
        <v/>
      </c>
      <c r="F1006" s="74"/>
      <c r="G1006" s="74"/>
    </row>
    <row r="1007" spans="1:7" ht="15.75" hidden="1" thickBot="1" x14ac:dyDescent="0.3">
      <c r="A1007" s="6"/>
      <c r="B1007" s="10" t="s">
        <v>39</v>
      </c>
      <c r="C1007" s="34"/>
      <c r="D1007" s="50"/>
      <c r="E1007" s="49" t="str">
        <f t="shared" si="15"/>
        <v/>
      </c>
      <c r="F1007" s="74"/>
      <c r="G1007" s="74"/>
    </row>
    <row r="1008" spans="1:7" x14ac:dyDescent="0.25">
      <c r="A1008" s="6"/>
      <c r="B1008" s="6"/>
      <c r="C1008" s="6"/>
      <c r="D1008" s="6"/>
      <c r="E1008" s="6"/>
      <c r="F1008" s="6"/>
      <c r="G1008" s="6"/>
    </row>
    <row r="1009" spans="2:10" ht="15.75" hidden="1" x14ac:dyDescent="0.25">
      <c r="B1009" s="17" t="s">
        <v>22</v>
      </c>
      <c r="C1009" s="5" t="s">
        <v>40</v>
      </c>
      <c r="D1009" s="71" t="s">
        <v>41</v>
      </c>
      <c r="E1009" s="71"/>
      <c r="F1009" s="71"/>
      <c r="G1009" s="63"/>
      <c r="H1009" s="12" t="s">
        <v>42</v>
      </c>
      <c r="I1009" s="12" t="s">
        <v>43</v>
      </c>
      <c r="J1009" s="12" t="s">
        <v>44</v>
      </c>
    </row>
    <row r="1010" spans="2:10" ht="15.75" hidden="1" thickBot="1" x14ac:dyDescent="0.3">
      <c r="B1010" s="33" t="s">
        <v>45</v>
      </c>
      <c r="C1010" s="34"/>
      <c r="D1010" s="68"/>
      <c r="E1010" s="69"/>
      <c r="F1010" s="69"/>
      <c r="G1010" s="70"/>
      <c r="H1010" s="44"/>
      <c r="I1010" s="32"/>
      <c r="J1010" s="32"/>
    </row>
    <row r="1011" spans="2:10" ht="15.75" hidden="1" thickBot="1" x14ac:dyDescent="0.3">
      <c r="B1011" s="33" t="s">
        <v>45</v>
      </c>
      <c r="C1011" s="34"/>
      <c r="D1011" s="72"/>
      <c r="E1011" s="72"/>
      <c r="F1011" s="72"/>
      <c r="G1011" s="72"/>
      <c r="H1011" s="66"/>
      <c r="I1011" s="32"/>
      <c r="J1011" s="32"/>
    </row>
    <row r="1012" spans="2:10" ht="15.75" hidden="1" customHeight="1" thickBot="1" x14ac:dyDescent="0.3">
      <c r="B1012" s="33" t="s">
        <v>45</v>
      </c>
      <c r="C1012" s="34"/>
      <c r="D1012" s="68"/>
      <c r="E1012" s="69"/>
      <c r="F1012" s="69"/>
      <c r="G1012" s="70"/>
      <c r="H1012" s="44"/>
      <c r="I1012" s="32"/>
      <c r="J1012" s="32"/>
    </row>
    <row r="1013" spans="2:10" ht="15.75" hidden="1" customHeight="1" thickBot="1" x14ac:dyDescent="0.3">
      <c r="B1013" s="33" t="s">
        <v>45</v>
      </c>
      <c r="C1013" s="34"/>
      <c r="D1013" s="68"/>
      <c r="E1013" s="69"/>
      <c r="F1013" s="69"/>
      <c r="G1013" s="70"/>
      <c r="H1013" s="44"/>
      <c r="I1013" s="32"/>
      <c r="J1013" s="32"/>
    </row>
    <row r="1014" spans="2:10" ht="15.75" hidden="1" customHeight="1" thickBot="1" x14ac:dyDescent="0.3">
      <c r="B1014" s="33" t="s">
        <v>45</v>
      </c>
      <c r="C1014" s="34"/>
      <c r="D1014" s="68"/>
      <c r="E1014" s="69"/>
      <c r="F1014" s="69"/>
      <c r="G1014" s="70"/>
      <c r="H1014" s="44"/>
      <c r="I1014" s="32"/>
      <c r="J1014" s="32"/>
    </row>
    <row r="1015" spans="2:10" ht="15.75" hidden="1" customHeight="1" thickBot="1" x14ac:dyDescent="0.3">
      <c r="B1015" s="33" t="s">
        <v>45</v>
      </c>
      <c r="C1015" s="34"/>
      <c r="D1015" s="68"/>
      <c r="E1015" s="69"/>
      <c r="F1015" s="69"/>
      <c r="G1015" s="70"/>
      <c r="H1015" s="44"/>
      <c r="I1015" s="32"/>
      <c r="J1015" s="32"/>
    </row>
    <row r="1016" spans="2:10" ht="15.75" hidden="1" customHeight="1" thickBot="1" x14ac:dyDescent="0.3">
      <c r="B1016" s="33" t="s">
        <v>45</v>
      </c>
      <c r="C1016" s="34"/>
      <c r="D1016" s="68"/>
      <c r="E1016" s="69"/>
      <c r="F1016" s="69"/>
      <c r="G1016" s="70"/>
      <c r="H1016" s="44"/>
      <c r="I1016" s="32"/>
      <c r="J1016" s="32"/>
    </row>
    <row r="1017" spans="2:10" ht="15.75" hidden="1" customHeight="1" thickBot="1" x14ac:dyDescent="0.3">
      <c r="B1017" s="33" t="s">
        <v>45</v>
      </c>
      <c r="C1017" s="34"/>
      <c r="D1017" s="68"/>
      <c r="E1017" s="69"/>
      <c r="F1017" s="69"/>
      <c r="G1017" s="70"/>
      <c r="H1017" s="44"/>
      <c r="I1017" s="32"/>
      <c r="J1017" s="32"/>
    </row>
    <row r="1018" spans="2:10" ht="15.75" hidden="1" customHeight="1" thickBot="1" x14ac:dyDescent="0.3">
      <c r="B1018" s="33" t="s">
        <v>45</v>
      </c>
      <c r="C1018" s="34"/>
      <c r="D1018" s="68"/>
      <c r="E1018" s="69"/>
      <c r="F1018" s="69"/>
      <c r="G1018" s="70"/>
      <c r="H1018" s="44"/>
      <c r="I1018" s="32"/>
      <c r="J1018" s="32"/>
    </row>
    <row r="1019" spans="2:10" ht="15.75" hidden="1" customHeight="1" thickBot="1" x14ac:dyDescent="0.3">
      <c r="B1019" s="33" t="s">
        <v>45</v>
      </c>
      <c r="C1019" s="34"/>
      <c r="D1019" s="68"/>
      <c r="E1019" s="69"/>
      <c r="F1019" s="69"/>
      <c r="G1019" s="70"/>
      <c r="H1019" s="44"/>
      <c r="I1019" s="32"/>
      <c r="J1019" s="32"/>
    </row>
    <row r="1020" spans="2:10" ht="15.75" hidden="1" customHeight="1" thickBot="1" x14ac:dyDescent="0.3">
      <c r="B1020" s="33" t="s">
        <v>45</v>
      </c>
      <c r="C1020" s="34"/>
      <c r="D1020" s="68"/>
      <c r="E1020" s="69"/>
      <c r="F1020" s="69"/>
      <c r="G1020" s="70"/>
      <c r="H1020" s="44"/>
      <c r="I1020" s="32"/>
      <c r="J1020" s="32"/>
    </row>
    <row r="1021" spans="2:10" ht="15.75" hidden="1" customHeight="1" thickBot="1" x14ac:dyDescent="0.3">
      <c r="B1021" s="33" t="s">
        <v>45</v>
      </c>
      <c r="C1021" s="34"/>
      <c r="D1021" s="68"/>
      <c r="E1021" s="69"/>
      <c r="F1021" s="69"/>
      <c r="G1021" s="70"/>
      <c r="H1021" s="44"/>
      <c r="I1021" s="32"/>
      <c r="J1021" s="32"/>
    </row>
    <row r="1022" spans="2:10" ht="15.75" hidden="1" customHeight="1" thickBot="1" x14ac:dyDescent="0.3">
      <c r="B1022" s="33" t="s">
        <v>45</v>
      </c>
      <c r="C1022" s="34"/>
      <c r="D1022" s="68"/>
      <c r="E1022" s="69"/>
      <c r="F1022" s="69"/>
      <c r="G1022" s="70"/>
      <c r="H1022" s="44"/>
      <c r="I1022" s="32"/>
      <c r="J1022" s="32"/>
    </row>
    <row r="1023" spans="2:10" ht="15.75" hidden="1" customHeight="1" thickBot="1" x14ac:dyDescent="0.3">
      <c r="B1023" s="33" t="s">
        <v>45</v>
      </c>
      <c r="C1023" s="34"/>
      <c r="D1023" s="68"/>
      <c r="E1023" s="69"/>
      <c r="F1023" s="69"/>
      <c r="G1023" s="70"/>
      <c r="H1023" s="44"/>
      <c r="I1023" s="32"/>
      <c r="J1023" s="32"/>
    </row>
    <row r="1024" spans="2:10" ht="15.75" hidden="1" customHeight="1" thickBot="1" x14ac:dyDescent="0.3">
      <c r="B1024" s="33" t="s">
        <v>45</v>
      </c>
      <c r="C1024" s="34"/>
      <c r="D1024" s="68"/>
      <c r="E1024" s="69"/>
      <c r="F1024" s="69"/>
      <c r="G1024" s="70"/>
      <c r="H1024" s="44"/>
      <c r="I1024" s="32"/>
      <c r="J1024" s="32"/>
    </row>
    <row r="1025" spans="2:10" ht="15.75" hidden="1" customHeight="1" thickBot="1" x14ac:dyDescent="0.3">
      <c r="B1025" s="33" t="s">
        <v>45</v>
      </c>
      <c r="C1025" s="34"/>
      <c r="D1025" s="68"/>
      <c r="E1025" s="69"/>
      <c r="F1025" s="69"/>
      <c r="G1025" s="70"/>
      <c r="H1025" s="44"/>
      <c r="I1025" s="32"/>
      <c r="J1025" s="32"/>
    </row>
    <row r="1026" spans="2:10" ht="15.75" hidden="1" customHeight="1" thickBot="1" x14ac:dyDescent="0.3">
      <c r="B1026" s="33" t="s">
        <v>45</v>
      </c>
      <c r="C1026" s="34"/>
      <c r="D1026" s="68"/>
      <c r="E1026" s="69"/>
      <c r="F1026" s="69"/>
      <c r="G1026" s="70"/>
      <c r="H1026" s="44"/>
      <c r="I1026" s="32"/>
      <c r="J1026" s="32"/>
    </row>
    <row r="1027" spans="2:10" ht="15.75" hidden="1" customHeight="1" thickBot="1" x14ac:dyDescent="0.3">
      <c r="B1027" s="33" t="s">
        <v>45</v>
      </c>
      <c r="C1027" s="34"/>
      <c r="D1027" s="68"/>
      <c r="E1027" s="69"/>
      <c r="F1027" s="69"/>
      <c r="G1027" s="70"/>
      <c r="H1027" s="44"/>
      <c r="I1027" s="32"/>
      <c r="J1027" s="32"/>
    </row>
    <row r="1028" spans="2:10" ht="15.75" hidden="1" customHeight="1" thickBot="1" x14ac:dyDescent="0.3">
      <c r="B1028" s="33" t="s">
        <v>45</v>
      </c>
      <c r="C1028" s="34"/>
      <c r="D1028" s="68"/>
      <c r="E1028" s="69"/>
      <c r="F1028" s="69"/>
      <c r="G1028" s="70"/>
      <c r="H1028" s="44"/>
      <c r="I1028" s="32"/>
      <c r="J1028" s="32"/>
    </row>
    <row r="1029" spans="2:10" ht="15.75" hidden="1" customHeight="1" thickBot="1" x14ac:dyDescent="0.3">
      <c r="B1029" s="33" t="s">
        <v>45</v>
      </c>
      <c r="C1029" s="34"/>
      <c r="D1029" s="68"/>
      <c r="E1029" s="69"/>
      <c r="F1029" s="69"/>
      <c r="G1029" s="70"/>
      <c r="H1029" s="44"/>
      <c r="I1029" s="32"/>
      <c r="J1029" s="32"/>
    </row>
    <row r="1030" spans="2:10" ht="15.75" hidden="1" customHeight="1" thickBot="1" x14ac:dyDescent="0.3">
      <c r="B1030" s="33" t="s">
        <v>45</v>
      </c>
      <c r="C1030" s="34"/>
      <c r="D1030" s="68"/>
      <c r="E1030" s="69"/>
      <c r="F1030" s="69"/>
      <c r="G1030" s="70"/>
      <c r="H1030" s="44"/>
      <c r="I1030" s="32"/>
      <c r="J1030" s="32"/>
    </row>
    <row r="1031" spans="2:10" ht="15.75" hidden="1" customHeight="1" thickBot="1" x14ac:dyDescent="0.3">
      <c r="B1031" s="33" t="s">
        <v>45</v>
      </c>
      <c r="C1031" s="34"/>
      <c r="D1031" s="68"/>
      <c r="E1031" s="69"/>
      <c r="F1031" s="69"/>
      <c r="G1031" s="70"/>
      <c r="H1031" s="44"/>
      <c r="I1031" s="32"/>
      <c r="J1031" s="32"/>
    </row>
    <row r="1032" spans="2:10" ht="15.75" hidden="1" customHeight="1" thickBot="1" x14ac:dyDescent="0.3">
      <c r="B1032" s="33" t="s">
        <v>45</v>
      </c>
      <c r="C1032" s="34"/>
      <c r="D1032" s="68"/>
      <c r="E1032" s="69"/>
      <c r="F1032" s="69"/>
      <c r="G1032" s="70"/>
      <c r="H1032" s="44"/>
      <c r="I1032" s="32"/>
      <c r="J1032" s="32"/>
    </row>
    <row r="1033" spans="2:10" ht="15.75" hidden="1" customHeight="1" thickBot="1" x14ac:dyDescent="0.3">
      <c r="B1033" s="33" t="s">
        <v>45</v>
      </c>
      <c r="C1033" s="34"/>
      <c r="D1033" s="68"/>
      <c r="E1033" s="69"/>
      <c r="F1033" s="69"/>
      <c r="G1033" s="70"/>
      <c r="H1033" s="44"/>
      <c r="I1033" s="32"/>
      <c r="J1033" s="32"/>
    </row>
    <row r="1034" spans="2:10" ht="15.75" hidden="1" customHeight="1" thickBot="1" x14ac:dyDescent="0.3">
      <c r="B1034" s="33" t="s">
        <v>45</v>
      </c>
      <c r="C1034" s="34"/>
      <c r="D1034" s="68"/>
      <c r="E1034" s="69"/>
      <c r="F1034" s="69"/>
      <c r="G1034" s="70"/>
      <c r="H1034" s="44"/>
      <c r="I1034" s="32"/>
      <c r="J1034" s="32"/>
    </row>
    <row r="1035" spans="2:10" ht="15.75" hidden="1" customHeight="1" thickBot="1" x14ac:dyDescent="0.3">
      <c r="B1035" s="33" t="s">
        <v>45</v>
      </c>
      <c r="C1035" s="34"/>
      <c r="D1035" s="68"/>
      <c r="E1035" s="69"/>
      <c r="F1035" s="69"/>
      <c r="G1035" s="70"/>
      <c r="H1035" s="44"/>
      <c r="I1035" s="32"/>
      <c r="J1035" s="32"/>
    </row>
    <row r="1036" spans="2:10" ht="15.75" hidden="1" customHeight="1" thickBot="1" x14ac:dyDescent="0.3">
      <c r="B1036" s="33" t="s">
        <v>45</v>
      </c>
      <c r="C1036" s="34"/>
      <c r="D1036" s="68"/>
      <c r="E1036" s="69"/>
      <c r="F1036" s="69"/>
      <c r="G1036" s="70"/>
      <c r="H1036" s="44"/>
      <c r="I1036" s="32"/>
      <c r="J1036" s="32"/>
    </row>
    <row r="1037" spans="2:10" ht="15.75" hidden="1" customHeight="1" thickBot="1" x14ac:dyDescent="0.3">
      <c r="B1037" s="33" t="s">
        <v>45</v>
      </c>
      <c r="C1037" s="34"/>
      <c r="D1037" s="68"/>
      <c r="E1037" s="69"/>
      <c r="F1037" s="69"/>
      <c r="G1037" s="70"/>
      <c r="H1037" s="44"/>
      <c r="I1037" s="32"/>
      <c r="J1037" s="32"/>
    </row>
    <row r="1038" spans="2:10" ht="15.75" hidden="1" customHeight="1" thickBot="1" x14ac:dyDescent="0.3">
      <c r="B1038" s="33" t="s">
        <v>45</v>
      </c>
      <c r="C1038" s="34"/>
      <c r="D1038" s="68"/>
      <c r="E1038" s="69"/>
      <c r="F1038" s="69"/>
      <c r="G1038" s="70"/>
      <c r="H1038" s="44"/>
      <c r="I1038" s="32"/>
      <c r="J1038" s="32"/>
    </row>
    <row r="1039" spans="2:10" ht="15.75" hidden="1" customHeight="1" thickBot="1" x14ac:dyDescent="0.3">
      <c r="B1039" s="33" t="s">
        <v>45</v>
      </c>
      <c r="C1039" s="34"/>
      <c r="D1039" s="68"/>
      <c r="E1039" s="69"/>
      <c r="F1039" s="69"/>
      <c r="G1039" s="70"/>
      <c r="H1039" s="44"/>
      <c r="I1039" s="32"/>
      <c r="J1039" s="32"/>
    </row>
    <row r="1040" spans="2:10" ht="15.75" hidden="1" customHeight="1" thickBot="1" x14ac:dyDescent="0.3">
      <c r="B1040" s="33" t="s">
        <v>45</v>
      </c>
      <c r="C1040" s="34"/>
      <c r="D1040" s="68"/>
      <c r="E1040" s="69"/>
      <c r="F1040" s="69"/>
      <c r="G1040" s="70"/>
      <c r="H1040" s="44"/>
      <c r="I1040" s="32"/>
      <c r="J1040" s="32"/>
    </row>
    <row r="1041" spans="2:10" ht="15.75" hidden="1" customHeight="1" thickBot="1" x14ac:dyDescent="0.3">
      <c r="B1041" s="33" t="s">
        <v>45</v>
      </c>
      <c r="C1041" s="34"/>
      <c r="D1041" s="68"/>
      <c r="E1041" s="69"/>
      <c r="F1041" s="69"/>
      <c r="G1041" s="70"/>
      <c r="H1041" s="44"/>
      <c r="I1041" s="32"/>
      <c r="J1041" s="32"/>
    </row>
    <row r="1042" spans="2:10" ht="15.75" hidden="1" customHeight="1" thickBot="1" x14ac:dyDescent="0.3">
      <c r="B1042" s="33" t="s">
        <v>45</v>
      </c>
      <c r="C1042" s="34"/>
      <c r="D1042" s="68"/>
      <c r="E1042" s="69"/>
      <c r="F1042" s="69"/>
      <c r="G1042" s="70"/>
      <c r="H1042" s="44"/>
      <c r="I1042" s="32"/>
      <c r="J1042" s="32"/>
    </row>
    <row r="1043" spans="2:10" ht="15.75" hidden="1" customHeight="1" thickBot="1" x14ac:dyDescent="0.3">
      <c r="B1043" s="33" t="s">
        <v>45</v>
      </c>
      <c r="C1043" s="34"/>
      <c r="D1043" s="68"/>
      <c r="E1043" s="69"/>
      <c r="F1043" s="69"/>
      <c r="G1043" s="70"/>
      <c r="H1043" s="44"/>
      <c r="I1043" s="32"/>
      <c r="J1043" s="32"/>
    </row>
    <row r="1044" spans="2:10" ht="15.75" hidden="1" customHeight="1" thickBot="1" x14ac:dyDescent="0.3">
      <c r="B1044" s="33" t="s">
        <v>45</v>
      </c>
      <c r="C1044" s="34"/>
      <c r="D1044" s="68"/>
      <c r="E1044" s="69"/>
      <c r="F1044" s="69"/>
      <c r="G1044" s="70"/>
      <c r="H1044" s="44"/>
      <c r="I1044" s="32"/>
      <c r="J1044" s="32"/>
    </row>
    <row r="1045" spans="2:10" ht="15.75" hidden="1" customHeight="1" thickBot="1" x14ac:dyDescent="0.3">
      <c r="B1045" s="33" t="s">
        <v>45</v>
      </c>
      <c r="C1045" s="34"/>
      <c r="D1045" s="68"/>
      <c r="E1045" s="69"/>
      <c r="F1045" s="69"/>
      <c r="G1045" s="70"/>
      <c r="H1045" s="44"/>
      <c r="I1045" s="32"/>
      <c r="J1045" s="32"/>
    </row>
    <row r="1046" spans="2:10" ht="15.75" hidden="1" customHeight="1" thickBot="1" x14ac:dyDescent="0.3">
      <c r="B1046" s="33" t="s">
        <v>45</v>
      </c>
      <c r="C1046" s="34"/>
      <c r="D1046" s="68"/>
      <c r="E1046" s="69"/>
      <c r="F1046" s="69"/>
      <c r="G1046" s="70"/>
      <c r="H1046" s="44"/>
      <c r="I1046" s="32"/>
      <c r="J1046" s="32"/>
    </row>
    <row r="1047" spans="2:10" ht="15.75" hidden="1" customHeight="1" thickBot="1" x14ac:dyDescent="0.3">
      <c r="B1047" s="33" t="s">
        <v>45</v>
      </c>
      <c r="C1047" s="34"/>
      <c r="D1047" s="68"/>
      <c r="E1047" s="69"/>
      <c r="F1047" s="69"/>
      <c r="G1047" s="70"/>
      <c r="H1047" s="44"/>
      <c r="I1047" s="32"/>
      <c r="J1047" s="32"/>
    </row>
    <row r="1048" spans="2:10" ht="15.75" hidden="1" customHeight="1" thickBot="1" x14ac:dyDescent="0.3">
      <c r="B1048" s="33" t="s">
        <v>45</v>
      </c>
      <c r="C1048" s="34"/>
      <c r="D1048" s="68"/>
      <c r="E1048" s="69"/>
      <c r="F1048" s="69"/>
      <c r="G1048" s="70"/>
      <c r="H1048" s="44"/>
      <c r="I1048" s="32"/>
      <c r="J1048" s="32"/>
    </row>
    <row r="1049" spans="2:10" ht="15.75" hidden="1" customHeight="1" thickBot="1" x14ac:dyDescent="0.3">
      <c r="B1049" s="33" t="s">
        <v>45</v>
      </c>
      <c r="C1049" s="34"/>
      <c r="D1049" s="68"/>
      <c r="E1049" s="69"/>
      <c r="F1049" s="69"/>
      <c r="G1049" s="70"/>
      <c r="H1049" s="44"/>
      <c r="I1049" s="32"/>
      <c r="J1049" s="32"/>
    </row>
    <row r="1050" spans="2:10" ht="15.75" hidden="1" customHeight="1" thickBot="1" x14ac:dyDescent="0.3">
      <c r="B1050" s="33" t="s">
        <v>45</v>
      </c>
      <c r="C1050" s="34"/>
      <c r="D1050" s="68"/>
      <c r="E1050" s="69"/>
      <c r="F1050" s="69"/>
      <c r="G1050" s="70"/>
      <c r="H1050" s="44"/>
      <c r="I1050" s="32"/>
      <c r="J1050" s="32"/>
    </row>
    <row r="1051" spans="2:10" ht="15.75" hidden="1" customHeight="1" thickBot="1" x14ac:dyDescent="0.3">
      <c r="B1051" s="33" t="s">
        <v>45</v>
      </c>
      <c r="C1051" s="34"/>
      <c r="D1051" s="68"/>
      <c r="E1051" s="69"/>
      <c r="F1051" s="69"/>
      <c r="G1051" s="70"/>
      <c r="H1051" s="44"/>
      <c r="I1051" s="32"/>
      <c r="J1051" s="32"/>
    </row>
    <row r="1052" spans="2:10" ht="15.75" hidden="1" customHeight="1" thickBot="1" x14ac:dyDescent="0.3">
      <c r="B1052" s="33" t="s">
        <v>45</v>
      </c>
      <c r="C1052" s="34"/>
      <c r="D1052" s="68"/>
      <c r="E1052" s="69"/>
      <c r="F1052" s="69"/>
      <c r="G1052" s="70"/>
      <c r="H1052" s="44"/>
      <c r="I1052" s="32"/>
      <c r="J1052" s="32"/>
    </row>
    <row r="1053" spans="2:10" ht="15.75" hidden="1" customHeight="1" thickBot="1" x14ac:dyDescent="0.3">
      <c r="B1053" s="33" t="s">
        <v>45</v>
      </c>
      <c r="C1053" s="34"/>
      <c r="D1053" s="68"/>
      <c r="E1053" s="69"/>
      <c r="F1053" s="69"/>
      <c r="G1053" s="70"/>
      <c r="H1053" s="44"/>
      <c r="I1053" s="32"/>
      <c r="J1053" s="32"/>
    </row>
    <row r="1054" spans="2:10" ht="15.75" hidden="1" customHeight="1" thickBot="1" x14ac:dyDescent="0.3">
      <c r="B1054" s="33" t="s">
        <v>45</v>
      </c>
      <c r="C1054" s="34"/>
      <c r="D1054" s="68"/>
      <c r="E1054" s="69"/>
      <c r="F1054" s="69"/>
      <c r="G1054" s="70"/>
      <c r="H1054" s="44"/>
      <c r="I1054" s="32"/>
      <c r="J1054" s="32"/>
    </row>
    <row r="1055" spans="2:10" ht="15.75" hidden="1" customHeight="1" thickBot="1" x14ac:dyDescent="0.3">
      <c r="B1055" s="33" t="s">
        <v>45</v>
      </c>
      <c r="C1055" s="34"/>
      <c r="D1055" s="68"/>
      <c r="E1055" s="69"/>
      <c r="F1055" s="69"/>
      <c r="G1055" s="70"/>
      <c r="H1055" s="44"/>
      <c r="I1055" s="32"/>
      <c r="J1055" s="32"/>
    </row>
    <row r="1056" spans="2:10" ht="15.75" hidden="1" customHeight="1" thickBot="1" x14ac:dyDescent="0.3">
      <c r="B1056" s="33" t="s">
        <v>45</v>
      </c>
      <c r="C1056" s="34"/>
      <c r="D1056" s="68"/>
      <c r="E1056" s="69"/>
      <c r="F1056" s="69"/>
      <c r="G1056" s="70"/>
      <c r="H1056" s="44"/>
      <c r="I1056" s="32"/>
      <c r="J1056" s="32"/>
    </row>
    <row r="1057" spans="2:10" ht="15.75" hidden="1" customHeight="1" thickBot="1" x14ac:dyDescent="0.3">
      <c r="B1057" s="33" t="s">
        <v>45</v>
      </c>
      <c r="C1057" s="34"/>
      <c r="D1057" s="68"/>
      <c r="E1057" s="69"/>
      <c r="F1057" s="69"/>
      <c r="G1057" s="70"/>
      <c r="H1057" s="44"/>
      <c r="I1057" s="32"/>
      <c r="J1057" s="32"/>
    </row>
    <row r="1058" spans="2:10" ht="15.75" hidden="1" customHeight="1" thickBot="1" x14ac:dyDescent="0.3">
      <c r="B1058" s="33" t="s">
        <v>45</v>
      </c>
      <c r="C1058" s="34"/>
      <c r="D1058" s="68"/>
      <c r="E1058" s="69"/>
      <c r="F1058" s="69"/>
      <c r="G1058" s="70"/>
      <c r="H1058" s="44"/>
      <c r="I1058" s="32"/>
      <c r="J1058" s="32"/>
    </row>
    <row r="1059" spans="2:10" ht="15.75" hidden="1" customHeight="1" thickBot="1" x14ac:dyDescent="0.3">
      <c r="B1059" s="33" t="s">
        <v>45</v>
      </c>
      <c r="C1059" s="34"/>
      <c r="D1059" s="68"/>
      <c r="E1059" s="69"/>
      <c r="F1059" s="69"/>
      <c r="G1059" s="70"/>
      <c r="H1059" s="44"/>
      <c r="I1059" s="32"/>
      <c r="J1059" s="32"/>
    </row>
    <row r="1060" spans="2:10" ht="15.75" hidden="1" customHeight="1" thickBot="1" x14ac:dyDescent="0.3">
      <c r="B1060" s="33" t="s">
        <v>45</v>
      </c>
      <c r="C1060" s="34"/>
      <c r="D1060" s="68"/>
      <c r="E1060" s="69"/>
      <c r="F1060" s="69"/>
      <c r="G1060" s="70"/>
      <c r="H1060" s="44"/>
      <c r="I1060" s="32"/>
      <c r="J1060" s="32"/>
    </row>
    <row r="1061" spans="2:10" ht="15.75" hidden="1" customHeight="1" thickBot="1" x14ac:dyDescent="0.3">
      <c r="B1061" s="33" t="s">
        <v>45</v>
      </c>
      <c r="C1061" s="34"/>
      <c r="D1061" s="68"/>
      <c r="E1061" s="69"/>
      <c r="F1061" s="69"/>
      <c r="G1061" s="70"/>
      <c r="H1061" s="44"/>
      <c r="I1061" s="32"/>
      <c r="J1061" s="32"/>
    </row>
    <row r="1062" spans="2:10" ht="15.75" hidden="1" customHeight="1" thickBot="1" x14ac:dyDescent="0.3">
      <c r="B1062" s="33" t="s">
        <v>45</v>
      </c>
      <c r="C1062" s="34"/>
      <c r="D1062" s="68"/>
      <c r="E1062" s="69"/>
      <c r="F1062" s="69"/>
      <c r="G1062" s="70"/>
      <c r="H1062" s="44"/>
      <c r="I1062" s="32"/>
      <c r="J1062" s="32"/>
    </row>
    <row r="1063" spans="2:10" ht="15.75" hidden="1" customHeight="1" thickBot="1" x14ac:dyDescent="0.3">
      <c r="B1063" s="33" t="s">
        <v>45</v>
      </c>
      <c r="C1063" s="34"/>
      <c r="D1063" s="68"/>
      <c r="E1063" s="69"/>
      <c r="F1063" s="69"/>
      <c r="G1063" s="70"/>
      <c r="H1063" s="44"/>
      <c r="I1063" s="32"/>
      <c r="J1063" s="32"/>
    </row>
    <row r="1064" spans="2:10" ht="15.75" hidden="1" customHeight="1" thickBot="1" x14ac:dyDescent="0.3">
      <c r="B1064" s="33" t="s">
        <v>45</v>
      </c>
      <c r="C1064" s="34"/>
      <c r="D1064" s="68"/>
      <c r="E1064" s="69"/>
      <c r="F1064" s="69"/>
      <c r="G1064" s="70"/>
      <c r="H1064" s="44"/>
      <c r="I1064" s="32"/>
      <c r="J1064" s="32"/>
    </row>
    <row r="1065" spans="2:10" ht="15.75" hidden="1" customHeight="1" thickBot="1" x14ac:dyDescent="0.3">
      <c r="B1065" s="33" t="s">
        <v>45</v>
      </c>
      <c r="C1065" s="34"/>
      <c r="D1065" s="68"/>
      <c r="E1065" s="69"/>
      <c r="F1065" s="69"/>
      <c r="G1065" s="70"/>
      <c r="H1065" s="44"/>
      <c r="I1065" s="32"/>
      <c r="J1065" s="32"/>
    </row>
    <row r="1066" spans="2:10" ht="15.75" hidden="1" customHeight="1" thickBot="1" x14ac:dyDescent="0.3">
      <c r="B1066" s="33" t="s">
        <v>45</v>
      </c>
      <c r="C1066" s="34"/>
      <c r="D1066" s="68"/>
      <c r="E1066" s="69"/>
      <c r="F1066" s="69"/>
      <c r="G1066" s="70"/>
      <c r="H1066" s="44"/>
      <c r="I1066" s="32"/>
      <c r="J1066" s="32"/>
    </row>
    <row r="1067" spans="2:10" ht="15.75" hidden="1" customHeight="1" thickBot="1" x14ac:dyDescent="0.3">
      <c r="B1067" s="33" t="s">
        <v>45</v>
      </c>
      <c r="C1067" s="34"/>
      <c r="D1067" s="68"/>
      <c r="E1067" s="69"/>
      <c r="F1067" s="69"/>
      <c r="G1067" s="70"/>
      <c r="H1067" s="44"/>
      <c r="I1067" s="32"/>
      <c r="J1067" s="32"/>
    </row>
    <row r="1068" spans="2:10" ht="15.75" hidden="1" customHeight="1" thickBot="1" x14ac:dyDescent="0.3">
      <c r="B1068" s="33" t="s">
        <v>45</v>
      </c>
      <c r="C1068" s="34"/>
      <c r="D1068" s="68"/>
      <c r="E1068" s="69"/>
      <c r="F1068" s="69"/>
      <c r="G1068" s="70"/>
      <c r="H1068" s="44"/>
      <c r="I1068" s="32"/>
      <c r="J1068" s="32"/>
    </row>
    <row r="1069" spans="2:10" ht="15.75" hidden="1" customHeight="1" thickBot="1" x14ac:dyDescent="0.3">
      <c r="B1069" s="33" t="s">
        <v>45</v>
      </c>
      <c r="C1069" s="34"/>
      <c r="D1069" s="68"/>
      <c r="E1069" s="69"/>
      <c r="F1069" s="69"/>
      <c r="G1069" s="70"/>
      <c r="H1069" s="44"/>
      <c r="I1069" s="32"/>
      <c r="J1069" s="32"/>
    </row>
    <row r="1070" spans="2:10" ht="15.75" hidden="1" customHeight="1" thickBot="1" x14ac:dyDescent="0.3">
      <c r="B1070" s="33" t="s">
        <v>45</v>
      </c>
      <c r="C1070" s="34"/>
      <c r="D1070" s="68"/>
      <c r="E1070" s="69"/>
      <c r="F1070" s="69"/>
      <c r="G1070" s="70"/>
      <c r="H1070" s="44"/>
      <c r="I1070" s="32"/>
      <c r="J1070" s="32"/>
    </row>
    <row r="1071" spans="2:10" ht="15.75" hidden="1" customHeight="1" thickBot="1" x14ac:dyDescent="0.3">
      <c r="B1071" s="33" t="s">
        <v>45</v>
      </c>
      <c r="C1071" s="34"/>
      <c r="D1071" s="68"/>
      <c r="E1071" s="69"/>
      <c r="F1071" s="69"/>
      <c r="G1071" s="70"/>
      <c r="H1071" s="44"/>
      <c r="I1071" s="32"/>
      <c r="J1071" s="32"/>
    </row>
    <row r="1072" spans="2:10" ht="15.75" hidden="1" customHeight="1" thickBot="1" x14ac:dyDescent="0.3">
      <c r="B1072" s="33" t="s">
        <v>45</v>
      </c>
      <c r="C1072" s="34"/>
      <c r="D1072" s="68"/>
      <c r="E1072" s="69"/>
      <c r="F1072" s="69"/>
      <c r="G1072" s="70"/>
      <c r="H1072" s="44"/>
      <c r="I1072" s="32"/>
      <c r="J1072" s="32"/>
    </row>
    <row r="1073" spans="2:10" ht="15.75" hidden="1" customHeight="1" thickBot="1" x14ac:dyDescent="0.3">
      <c r="B1073" s="33" t="s">
        <v>45</v>
      </c>
      <c r="C1073" s="34"/>
      <c r="D1073" s="68"/>
      <c r="E1073" s="69"/>
      <c r="F1073" s="69"/>
      <c r="G1073" s="70"/>
      <c r="H1073" s="44"/>
      <c r="I1073" s="32"/>
      <c r="J1073" s="32"/>
    </row>
    <row r="1074" spans="2:10" ht="15.75" hidden="1" customHeight="1" thickBot="1" x14ac:dyDescent="0.3">
      <c r="B1074" s="33" t="s">
        <v>45</v>
      </c>
      <c r="C1074" s="34"/>
      <c r="D1074" s="68"/>
      <c r="E1074" s="69"/>
      <c r="F1074" s="69"/>
      <c r="G1074" s="70"/>
      <c r="H1074" s="44"/>
      <c r="I1074" s="32"/>
      <c r="J1074" s="32"/>
    </row>
    <row r="1075" spans="2:10" ht="15.75" hidden="1" customHeight="1" thickBot="1" x14ac:dyDescent="0.3">
      <c r="B1075" s="33" t="s">
        <v>45</v>
      </c>
      <c r="C1075" s="34"/>
      <c r="D1075" s="68"/>
      <c r="E1075" s="69"/>
      <c r="F1075" s="69"/>
      <c r="G1075" s="70"/>
      <c r="H1075" s="44"/>
      <c r="I1075" s="32"/>
      <c r="J1075" s="32"/>
    </row>
    <row r="1076" spans="2:10" ht="15.75" hidden="1" customHeight="1" thickBot="1" x14ac:dyDescent="0.3">
      <c r="B1076" s="33" t="s">
        <v>45</v>
      </c>
      <c r="C1076" s="34"/>
      <c r="D1076" s="68"/>
      <c r="E1076" s="69"/>
      <c r="F1076" s="69"/>
      <c r="G1076" s="70"/>
      <c r="H1076" s="44"/>
      <c r="I1076" s="32"/>
      <c r="J1076" s="32"/>
    </row>
    <row r="1077" spans="2:10" ht="15.75" hidden="1" customHeight="1" thickBot="1" x14ac:dyDescent="0.3">
      <c r="B1077" s="33" t="s">
        <v>45</v>
      </c>
      <c r="C1077" s="34"/>
      <c r="D1077" s="68"/>
      <c r="E1077" s="69"/>
      <c r="F1077" s="69"/>
      <c r="G1077" s="70"/>
      <c r="H1077" s="44"/>
      <c r="I1077" s="32"/>
      <c r="J1077" s="32"/>
    </row>
    <row r="1078" spans="2:10" ht="15.75" hidden="1" customHeight="1" thickBot="1" x14ac:dyDescent="0.3">
      <c r="B1078" s="33" t="s">
        <v>45</v>
      </c>
      <c r="C1078" s="34"/>
      <c r="D1078" s="68"/>
      <c r="E1078" s="69"/>
      <c r="F1078" s="69"/>
      <c r="G1078" s="70"/>
      <c r="H1078" s="44"/>
      <c r="I1078" s="32"/>
      <c r="J1078" s="32"/>
    </row>
    <row r="1079" spans="2:10" ht="15.75" hidden="1" customHeight="1" thickBot="1" x14ac:dyDescent="0.3">
      <c r="B1079" s="33" t="s">
        <v>45</v>
      </c>
      <c r="C1079" s="34"/>
      <c r="D1079" s="68"/>
      <c r="E1079" s="69"/>
      <c r="F1079" s="69"/>
      <c r="G1079" s="70"/>
      <c r="H1079" s="44"/>
      <c r="I1079" s="32"/>
      <c r="J1079" s="32"/>
    </row>
    <row r="1080" spans="2:10" ht="15.75" hidden="1" customHeight="1" thickBot="1" x14ac:dyDescent="0.3">
      <c r="B1080" s="33" t="s">
        <v>45</v>
      </c>
      <c r="C1080" s="34"/>
      <c r="D1080" s="68"/>
      <c r="E1080" s="69"/>
      <c r="F1080" s="69"/>
      <c r="G1080" s="70"/>
      <c r="H1080" s="44"/>
      <c r="I1080" s="32"/>
      <c r="J1080" s="32"/>
    </row>
    <row r="1081" spans="2:10" ht="15.75" hidden="1" customHeight="1" thickBot="1" x14ac:dyDescent="0.3">
      <c r="B1081" s="33" t="s">
        <v>45</v>
      </c>
      <c r="C1081" s="34"/>
      <c r="D1081" s="68"/>
      <c r="E1081" s="69"/>
      <c r="F1081" s="69"/>
      <c r="G1081" s="70"/>
      <c r="H1081" s="44"/>
      <c r="I1081" s="32"/>
      <c r="J1081" s="32"/>
    </row>
    <row r="1082" spans="2:10" ht="15.75" hidden="1" customHeight="1" thickBot="1" x14ac:dyDescent="0.3">
      <c r="B1082" s="33" t="s">
        <v>45</v>
      </c>
      <c r="C1082" s="34"/>
      <c r="D1082" s="68"/>
      <c r="E1082" s="69"/>
      <c r="F1082" s="69"/>
      <c r="G1082" s="70"/>
      <c r="H1082" s="44"/>
      <c r="I1082" s="32"/>
      <c r="J1082" s="32"/>
    </row>
    <row r="1083" spans="2:10" ht="15.75" hidden="1" customHeight="1" thickBot="1" x14ac:dyDescent="0.3">
      <c r="B1083" s="33" t="s">
        <v>45</v>
      </c>
      <c r="C1083" s="34"/>
      <c r="D1083" s="68"/>
      <c r="E1083" s="69"/>
      <c r="F1083" s="69"/>
      <c r="G1083" s="70"/>
      <c r="H1083" s="44"/>
      <c r="I1083" s="32"/>
      <c r="J1083" s="32"/>
    </row>
    <row r="1084" spans="2:10" ht="15.75" hidden="1" customHeight="1" thickBot="1" x14ac:dyDescent="0.3">
      <c r="B1084" s="33" t="s">
        <v>45</v>
      </c>
      <c r="C1084" s="34"/>
      <c r="D1084" s="68"/>
      <c r="E1084" s="69"/>
      <c r="F1084" s="69"/>
      <c r="G1084" s="70"/>
      <c r="H1084" s="44"/>
      <c r="I1084" s="32"/>
      <c r="J1084" s="32"/>
    </row>
    <row r="1085" spans="2:10" ht="15.75" hidden="1" customHeight="1" thickBot="1" x14ac:dyDescent="0.3">
      <c r="B1085" s="33" t="s">
        <v>45</v>
      </c>
      <c r="C1085" s="34"/>
      <c r="D1085" s="68"/>
      <c r="E1085" s="69"/>
      <c r="F1085" s="69"/>
      <c r="G1085" s="70"/>
      <c r="H1085" s="44"/>
      <c r="I1085" s="32"/>
      <c r="J1085" s="32"/>
    </row>
    <row r="1086" spans="2:10" ht="15.75" hidden="1" customHeight="1" thickBot="1" x14ac:dyDescent="0.3">
      <c r="B1086" s="33" t="s">
        <v>45</v>
      </c>
      <c r="C1086" s="34"/>
      <c r="D1086" s="68"/>
      <c r="E1086" s="69"/>
      <c r="F1086" s="69"/>
      <c r="G1086" s="70"/>
      <c r="H1086" s="44"/>
      <c r="I1086" s="32"/>
      <c r="J1086" s="32"/>
    </row>
    <row r="1087" spans="2:10" ht="15.75" hidden="1" customHeight="1" thickBot="1" x14ac:dyDescent="0.3">
      <c r="B1087" s="33" t="s">
        <v>45</v>
      </c>
      <c r="C1087" s="34"/>
      <c r="D1087" s="68"/>
      <c r="E1087" s="69"/>
      <c r="F1087" s="69"/>
      <c r="G1087" s="70"/>
      <c r="H1087" s="44"/>
      <c r="I1087" s="32"/>
      <c r="J1087" s="32"/>
    </row>
    <row r="1088" spans="2:10" ht="15.75" hidden="1" customHeight="1" thickBot="1" x14ac:dyDescent="0.3">
      <c r="B1088" s="33" t="s">
        <v>45</v>
      </c>
      <c r="C1088" s="34"/>
      <c r="D1088" s="68"/>
      <c r="E1088" s="69"/>
      <c r="F1088" s="69"/>
      <c r="G1088" s="70"/>
      <c r="H1088" s="44"/>
      <c r="I1088" s="32"/>
      <c r="J1088" s="32"/>
    </row>
    <row r="1089" spans="2:10" ht="15.75" hidden="1" customHeight="1" thickBot="1" x14ac:dyDescent="0.3">
      <c r="B1089" s="33" t="s">
        <v>45</v>
      </c>
      <c r="C1089" s="34"/>
      <c r="D1089" s="68"/>
      <c r="E1089" s="69"/>
      <c r="F1089" s="69"/>
      <c r="G1089" s="70"/>
      <c r="H1089" s="44"/>
      <c r="I1089" s="32"/>
      <c r="J1089" s="32"/>
    </row>
    <row r="1090" spans="2:10" ht="15.75" hidden="1" customHeight="1" thickBot="1" x14ac:dyDescent="0.3">
      <c r="B1090" s="33" t="s">
        <v>45</v>
      </c>
      <c r="C1090" s="34"/>
      <c r="D1090" s="68"/>
      <c r="E1090" s="69"/>
      <c r="F1090" s="69"/>
      <c r="G1090" s="70"/>
      <c r="H1090" s="44"/>
      <c r="I1090" s="32"/>
      <c r="J1090" s="32"/>
    </row>
    <row r="1091" spans="2:10" ht="15.75" hidden="1" customHeight="1" thickBot="1" x14ac:dyDescent="0.3">
      <c r="B1091" s="33" t="s">
        <v>45</v>
      </c>
      <c r="C1091" s="34"/>
      <c r="D1091" s="68"/>
      <c r="E1091" s="69"/>
      <c r="F1091" s="69"/>
      <c r="G1091" s="70"/>
      <c r="H1091" s="44"/>
      <c r="I1091" s="32"/>
      <c r="J1091" s="32"/>
    </row>
    <row r="1092" spans="2:10" ht="15.75" hidden="1" customHeight="1" thickBot="1" x14ac:dyDescent="0.3">
      <c r="B1092" s="33" t="s">
        <v>45</v>
      </c>
      <c r="C1092" s="34"/>
      <c r="D1092" s="68"/>
      <c r="E1092" s="69"/>
      <c r="F1092" s="69"/>
      <c r="G1092" s="70"/>
      <c r="H1092" s="44"/>
      <c r="I1092" s="32"/>
      <c r="J1092" s="32"/>
    </row>
    <row r="1093" spans="2:10" ht="15.75" hidden="1" customHeight="1" thickBot="1" x14ac:dyDescent="0.3">
      <c r="B1093" s="33" t="s">
        <v>45</v>
      </c>
      <c r="C1093" s="34"/>
      <c r="D1093" s="68"/>
      <c r="E1093" s="69"/>
      <c r="F1093" s="69"/>
      <c r="G1093" s="70"/>
      <c r="H1093" s="44"/>
      <c r="I1093" s="32"/>
      <c r="J1093" s="32"/>
    </row>
    <row r="1094" spans="2:10" ht="15.75" hidden="1" customHeight="1" thickBot="1" x14ac:dyDescent="0.3">
      <c r="B1094" s="33" t="s">
        <v>45</v>
      </c>
      <c r="C1094" s="34"/>
      <c r="D1094" s="68"/>
      <c r="E1094" s="69"/>
      <c r="F1094" s="69"/>
      <c r="G1094" s="70"/>
      <c r="H1094" s="44"/>
      <c r="I1094" s="32"/>
      <c r="J1094" s="32"/>
    </row>
    <row r="1095" spans="2:10" ht="15.75" hidden="1" customHeight="1" thickBot="1" x14ac:dyDescent="0.3">
      <c r="B1095" s="33" t="s">
        <v>45</v>
      </c>
      <c r="C1095" s="34"/>
      <c r="D1095" s="68"/>
      <c r="E1095" s="69"/>
      <c r="F1095" s="69"/>
      <c r="G1095" s="70"/>
      <c r="H1095" s="44"/>
      <c r="I1095" s="32"/>
      <c r="J1095" s="32"/>
    </row>
    <row r="1096" spans="2:10" ht="15.75" hidden="1" customHeight="1" thickBot="1" x14ac:dyDescent="0.3">
      <c r="B1096" s="33" t="s">
        <v>45</v>
      </c>
      <c r="C1096" s="34"/>
      <c r="D1096" s="68"/>
      <c r="E1096" s="69"/>
      <c r="F1096" s="69"/>
      <c r="G1096" s="70"/>
      <c r="H1096" s="44"/>
      <c r="I1096" s="32"/>
      <c r="J1096" s="32"/>
    </row>
    <row r="1097" spans="2:10" ht="15.75" hidden="1" customHeight="1" thickBot="1" x14ac:dyDescent="0.3">
      <c r="B1097" s="33" t="s">
        <v>45</v>
      </c>
      <c r="C1097" s="34"/>
      <c r="D1097" s="68"/>
      <c r="E1097" s="69"/>
      <c r="F1097" s="69"/>
      <c r="G1097" s="70"/>
      <c r="H1097" s="44"/>
      <c r="I1097" s="32"/>
      <c r="J1097" s="32"/>
    </row>
    <row r="1098" spans="2:10" ht="15.75" hidden="1" customHeight="1" thickBot="1" x14ac:dyDescent="0.3">
      <c r="B1098" s="33" t="s">
        <v>45</v>
      </c>
      <c r="C1098" s="34"/>
      <c r="D1098" s="68"/>
      <c r="E1098" s="69"/>
      <c r="F1098" s="69"/>
      <c r="G1098" s="70"/>
      <c r="H1098" s="44"/>
      <c r="I1098" s="32"/>
      <c r="J1098" s="32"/>
    </row>
    <row r="1099" spans="2:10" ht="15.75" hidden="1" customHeight="1" thickBot="1" x14ac:dyDescent="0.3">
      <c r="B1099" s="33" t="s">
        <v>45</v>
      </c>
      <c r="C1099" s="34"/>
      <c r="D1099" s="68"/>
      <c r="E1099" s="69"/>
      <c r="F1099" s="69"/>
      <c r="G1099" s="70"/>
      <c r="H1099" s="44"/>
      <c r="I1099" s="32"/>
      <c r="J1099" s="32"/>
    </row>
    <row r="1100" spans="2:10" ht="15.75" hidden="1" customHeight="1" thickBot="1" x14ac:dyDescent="0.3">
      <c r="B1100" s="33" t="s">
        <v>45</v>
      </c>
      <c r="C1100" s="34"/>
      <c r="D1100" s="68"/>
      <c r="E1100" s="69"/>
      <c r="F1100" s="69"/>
      <c r="G1100" s="70"/>
      <c r="H1100" s="44"/>
      <c r="I1100" s="32"/>
      <c r="J1100" s="32"/>
    </row>
    <row r="1101" spans="2:10" ht="15.75" hidden="1" customHeight="1" thickBot="1" x14ac:dyDescent="0.3">
      <c r="B1101" s="33" t="s">
        <v>45</v>
      </c>
      <c r="C1101" s="34"/>
      <c r="D1101" s="68"/>
      <c r="E1101" s="69"/>
      <c r="F1101" s="69"/>
      <c r="G1101" s="70"/>
      <c r="H1101" s="44"/>
      <c r="I1101" s="32"/>
      <c r="J1101" s="32"/>
    </row>
    <row r="1102" spans="2:10" ht="15.75" hidden="1" customHeight="1" thickBot="1" x14ac:dyDescent="0.3">
      <c r="B1102" s="33" t="s">
        <v>45</v>
      </c>
      <c r="C1102" s="34"/>
      <c r="D1102" s="68"/>
      <c r="E1102" s="69"/>
      <c r="F1102" s="69"/>
      <c r="G1102" s="70"/>
      <c r="H1102" s="44"/>
      <c r="I1102" s="32"/>
      <c r="J1102" s="32"/>
    </row>
    <row r="1103" spans="2:10" ht="15.75" hidden="1" customHeight="1" thickBot="1" x14ac:dyDescent="0.3">
      <c r="B1103" s="33" t="s">
        <v>45</v>
      </c>
      <c r="C1103" s="34"/>
      <c r="D1103" s="68"/>
      <c r="E1103" s="69"/>
      <c r="F1103" s="69"/>
      <c r="G1103" s="70"/>
      <c r="H1103" s="44"/>
      <c r="I1103" s="32"/>
      <c r="J1103" s="32"/>
    </row>
    <row r="1104" spans="2:10" ht="15.75" hidden="1" customHeight="1" thickBot="1" x14ac:dyDescent="0.3">
      <c r="B1104" s="33" t="s">
        <v>45</v>
      </c>
      <c r="C1104" s="34"/>
      <c r="D1104" s="68"/>
      <c r="E1104" s="69"/>
      <c r="F1104" s="69"/>
      <c r="G1104" s="70"/>
      <c r="H1104" s="44"/>
      <c r="I1104" s="32"/>
      <c r="J1104" s="32"/>
    </row>
    <row r="1105" spans="2:10" ht="15.75" hidden="1" customHeight="1" thickBot="1" x14ac:dyDescent="0.3">
      <c r="B1105" s="33" t="s">
        <v>45</v>
      </c>
      <c r="C1105" s="34"/>
      <c r="D1105" s="68"/>
      <c r="E1105" s="69"/>
      <c r="F1105" s="69"/>
      <c r="G1105" s="70"/>
      <c r="H1105" s="44"/>
      <c r="I1105" s="32"/>
      <c r="J1105" s="32"/>
    </row>
    <row r="1106" spans="2:10" ht="15.75" hidden="1" customHeight="1" thickBot="1" x14ac:dyDescent="0.3">
      <c r="B1106" s="33" t="s">
        <v>45</v>
      </c>
      <c r="C1106" s="34"/>
      <c r="D1106" s="68"/>
      <c r="E1106" s="69"/>
      <c r="F1106" s="69"/>
      <c r="G1106" s="70"/>
      <c r="H1106" s="44"/>
      <c r="I1106" s="32"/>
      <c r="J1106" s="32"/>
    </row>
    <row r="1107" spans="2:10" ht="15.75" hidden="1" customHeight="1" thickBot="1" x14ac:dyDescent="0.3">
      <c r="B1107" s="33" t="s">
        <v>45</v>
      </c>
      <c r="C1107" s="34"/>
      <c r="D1107" s="68"/>
      <c r="E1107" s="69"/>
      <c r="F1107" s="69"/>
      <c r="G1107" s="70"/>
      <c r="H1107" s="44"/>
      <c r="I1107" s="32"/>
      <c r="J1107" s="32"/>
    </row>
    <row r="1108" spans="2:10" ht="15.75" hidden="1" customHeight="1" thickBot="1" x14ac:dyDescent="0.3">
      <c r="B1108" s="33" t="s">
        <v>45</v>
      </c>
      <c r="C1108" s="34"/>
      <c r="D1108" s="68"/>
      <c r="E1108" s="69"/>
      <c r="F1108" s="69"/>
      <c r="G1108" s="70"/>
      <c r="H1108" s="44"/>
      <c r="I1108" s="32"/>
      <c r="J1108" s="32"/>
    </row>
    <row r="1109" spans="2:10" ht="15.75" hidden="1" customHeight="1" thickBot="1" x14ac:dyDescent="0.3">
      <c r="B1109" s="33" t="s">
        <v>45</v>
      </c>
      <c r="C1109" s="34"/>
      <c r="D1109" s="68"/>
      <c r="E1109" s="69"/>
      <c r="F1109" s="69"/>
      <c r="G1109" s="70"/>
      <c r="H1109" s="44"/>
      <c r="I1109" s="32"/>
      <c r="J1109" s="32"/>
    </row>
    <row r="1110" spans="2:10" ht="15.75" hidden="1" customHeight="1" thickBot="1" x14ac:dyDescent="0.3">
      <c r="B1110" s="33" t="s">
        <v>45</v>
      </c>
      <c r="C1110" s="34"/>
      <c r="D1110" s="68"/>
      <c r="E1110" s="69"/>
      <c r="F1110" s="69"/>
      <c r="G1110" s="70"/>
      <c r="H1110" s="44"/>
      <c r="I1110" s="32"/>
      <c r="J1110" s="32"/>
    </row>
    <row r="1111" spans="2:10" ht="15.75" hidden="1" customHeight="1" thickBot="1" x14ac:dyDescent="0.3">
      <c r="B1111" s="33" t="s">
        <v>45</v>
      </c>
      <c r="C1111" s="34"/>
      <c r="D1111" s="68"/>
      <c r="E1111" s="69"/>
      <c r="F1111" s="69"/>
      <c r="G1111" s="70"/>
      <c r="H1111" s="44"/>
      <c r="I1111" s="32"/>
      <c r="J1111" s="32"/>
    </row>
    <row r="1112" spans="2:10" ht="15.75" hidden="1" customHeight="1" thickBot="1" x14ac:dyDescent="0.3">
      <c r="B1112" s="33" t="s">
        <v>45</v>
      </c>
      <c r="C1112" s="34"/>
      <c r="D1112" s="68"/>
      <c r="E1112" s="69"/>
      <c r="F1112" s="69"/>
      <c r="G1112" s="70"/>
      <c r="H1112" s="44"/>
      <c r="I1112" s="32"/>
      <c r="J1112" s="32"/>
    </row>
    <row r="1113" spans="2:10" ht="15.75" hidden="1" customHeight="1" thickBot="1" x14ac:dyDescent="0.3">
      <c r="B1113" s="33" t="s">
        <v>45</v>
      </c>
      <c r="C1113" s="34"/>
      <c r="D1113" s="68"/>
      <c r="E1113" s="69"/>
      <c r="F1113" s="69"/>
      <c r="G1113" s="70"/>
      <c r="H1113" s="44"/>
      <c r="I1113" s="32"/>
      <c r="J1113" s="32"/>
    </row>
    <row r="1114" spans="2:10" ht="15.75" hidden="1" customHeight="1" thickBot="1" x14ac:dyDescent="0.3">
      <c r="B1114" s="33" t="s">
        <v>45</v>
      </c>
      <c r="C1114" s="34"/>
      <c r="D1114" s="68"/>
      <c r="E1114" s="69"/>
      <c r="F1114" s="69"/>
      <c r="G1114" s="70"/>
      <c r="H1114" s="44"/>
      <c r="I1114" s="32"/>
      <c r="J1114" s="32"/>
    </row>
    <row r="1115" spans="2:10" ht="15.75" hidden="1" customHeight="1" thickBot="1" x14ac:dyDescent="0.3">
      <c r="B1115" s="33" t="s">
        <v>45</v>
      </c>
      <c r="C1115" s="34"/>
      <c r="D1115" s="68"/>
      <c r="E1115" s="69"/>
      <c r="F1115" s="69"/>
      <c r="G1115" s="70"/>
      <c r="H1115" s="44"/>
      <c r="I1115" s="32"/>
      <c r="J1115" s="32"/>
    </row>
    <row r="1116" spans="2:10" ht="15.75" hidden="1" customHeight="1" thickBot="1" x14ac:dyDescent="0.3">
      <c r="B1116" s="33" t="s">
        <v>45</v>
      </c>
      <c r="C1116" s="34"/>
      <c r="D1116" s="68"/>
      <c r="E1116" s="69"/>
      <c r="F1116" s="69"/>
      <c r="G1116" s="70"/>
      <c r="H1116" s="44"/>
      <c r="I1116" s="32"/>
      <c r="J1116" s="32"/>
    </row>
    <row r="1117" spans="2:10" ht="15.75" hidden="1" customHeight="1" thickBot="1" x14ac:dyDescent="0.3">
      <c r="B1117" s="33" t="s">
        <v>45</v>
      </c>
      <c r="C1117" s="34"/>
      <c r="D1117" s="68"/>
      <c r="E1117" s="69"/>
      <c r="F1117" s="69"/>
      <c r="G1117" s="70"/>
      <c r="H1117" s="44"/>
      <c r="I1117" s="32"/>
      <c r="J1117" s="32"/>
    </row>
    <row r="1118" spans="2:10" ht="15.75" hidden="1" customHeight="1" thickBot="1" x14ac:dyDescent="0.3">
      <c r="B1118" s="33" t="s">
        <v>45</v>
      </c>
      <c r="C1118" s="34"/>
      <c r="D1118" s="68"/>
      <c r="E1118" s="69"/>
      <c r="F1118" s="69"/>
      <c r="G1118" s="70"/>
      <c r="H1118" s="44"/>
      <c r="I1118" s="32"/>
      <c r="J1118" s="32"/>
    </row>
    <row r="1119" spans="2:10" ht="15.75" hidden="1" customHeight="1" thickBot="1" x14ac:dyDescent="0.3">
      <c r="B1119" s="33" t="s">
        <v>45</v>
      </c>
      <c r="C1119" s="34"/>
      <c r="D1119" s="68"/>
      <c r="E1119" s="69"/>
      <c r="F1119" s="69"/>
      <c r="G1119" s="70"/>
      <c r="H1119" s="44"/>
      <c r="I1119" s="32"/>
      <c r="J1119" s="32"/>
    </row>
    <row r="1120" spans="2:10" ht="15.75" hidden="1" customHeight="1" thickBot="1" x14ac:dyDescent="0.3">
      <c r="B1120" s="33" t="s">
        <v>45</v>
      </c>
      <c r="C1120" s="34"/>
      <c r="D1120" s="68"/>
      <c r="E1120" s="69"/>
      <c r="F1120" s="69"/>
      <c r="G1120" s="70"/>
      <c r="H1120" s="44"/>
      <c r="I1120" s="32"/>
      <c r="J1120" s="32"/>
    </row>
    <row r="1121" spans="2:10" ht="15.75" hidden="1" customHeight="1" thickBot="1" x14ac:dyDescent="0.3">
      <c r="B1121" s="33" t="s">
        <v>45</v>
      </c>
      <c r="C1121" s="34"/>
      <c r="D1121" s="68"/>
      <c r="E1121" s="69"/>
      <c r="F1121" s="69"/>
      <c r="G1121" s="70"/>
      <c r="H1121" s="44"/>
      <c r="I1121" s="32"/>
      <c r="J1121" s="32"/>
    </row>
    <row r="1122" spans="2:10" ht="15.75" hidden="1" customHeight="1" thickBot="1" x14ac:dyDescent="0.3">
      <c r="B1122" s="33" t="s">
        <v>45</v>
      </c>
      <c r="C1122" s="34"/>
      <c r="D1122" s="68"/>
      <c r="E1122" s="69"/>
      <c r="F1122" s="69"/>
      <c r="G1122" s="70"/>
      <c r="H1122" s="44"/>
      <c r="I1122" s="32"/>
      <c r="J1122" s="32"/>
    </row>
    <row r="1123" spans="2:10" ht="15.75" hidden="1" customHeight="1" thickBot="1" x14ac:dyDescent="0.3">
      <c r="B1123" s="33" t="s">
        <v>45</v>
      </c>
      <c r="C1123" s="34"/>
      <c r="D1123" s="68"/>
      <c r="E1123" s="69"/>
      <c r="F1123" s="69"/>
      <c r="G1123" s="70"/>
      <c r="H1123" s="44"/>
      <c r="I1123" s="32"/>
      <c r="J1123" s="32"/>
    </row>
    <row r="1124" spans="2:10" ht="15.75" hidden="1" customHeight="1" thickBot="1" x14ac:dyDescent="0.3">
      <c r="B1124" s="33" t="s">
        <v>45</v>
      </c>
      <c r="C1124" s="34"/>
      <c r="D1124" s="68"/>
      <c r="E1124" s="69"/>
      <c r="F1124" s="69"/>
      <c r="G1124" s="70"/>
      <c r="H1124" s="44"/>
      <c r="I1124" s="32"/>
      <c r="J1124" s="32"/>
    </row>
    <row r="1125" spans="2:10" ht="15.75" hidden="1" customHeight="1" thickBot="1" x14ac:dyDescent="0.3">
      <c r="B1125" s="33" t="s">
        <v>45</v>
      </c>
      <c r="C1125" s="34"/>
      <c r="D1125" s="68"/>
      <c r="E1125" s="69"/>
      <c r="F1125" s="69"/>
      <c r="G1125" s="70"/>
      <c r="H1125" s="44"/>
      <c r="I1125" s="32"/>
      <c r="J1125" s="32"/>
    </row>
    <row r="1126" spans="2:10" ht="15.75" hidden="1" customHeight="1" thickBot="1" x14ac:dyDescent="0.3">
      <c r="B1126" s="33" t="s">
        <v>45</v>
      </c>
      <c r="C1126" s="34"/>
      <c r="D1126" s="68"/>
      <c r="E1126" s="69"/>
      <c r="F1126" s="69"/>
      <c r="G1126" s="70"/>
      <c r="H1126" s="44"/>
      <c r="I1126" s="32"/>
      <c r="J1126" s="32"/>
    </row>
    <row r="1127" spans="2:10" ht="15.75" hidden="1" customHeight="1" thickBot="1" x14ac:dyDescent="0.3">
      <c r="B1127" s="33" t="s">
        <v>45</v>
      </c>
      <c r="C1127" s="34"/>
      <c r="D1127" s="68"/>
      <c r="E1127" s="69"/>
      <c r="F1127" s="69"/>
      <c r="G1127" s="70"/>
      <c r="H1127" s="44"/>
      <c r="I1127" s="32"/>
      <c r="J1127" s="32"/>
    </row>
    <row r="1128" spans="2:10" ht="15.75" hidden="1" customHeight="1" thickBot="1" x14ac:dyDescent="0.3">
      <c r="B1128" s="33" t="s">
        <v>45</v>
      </c>
      <c r="C1128" s="34"/>
      <c r="D1128" s="68"/>
      <c r="E1128" s="69"/>
      <c r="F1128" s="69"/>
      <c r="G1128" s="70"/>
      <c r="H1128" s="44"/>
      <c r="I1128" s="32"/>
      <c r="J1128" s="32"/>
    </row>
    <row r="1129" spans="2:10" ht="15.75" hidden="1" customHeight="1" thickBot="1" x14ac:dyDescent="0.3">
      <c r="B1129" s="33" t="s">
        <v>45</v>
      </c>
      <c r="C1129" s="34"/>
      <c r="D1129" s="68"/>
      <c r="E1129" s="69"/>
      <c r="F1129" s="69"/>
      <c r="G1129" s="70"/>
      <c r="H1129" s="44"/>
      <c r="I1129" s="32"/>
      <c r="J1129" s="32"/>
    </row>
    <row r="1130" spans="2:10" ht="15.75" hidden="1" customHeight="1" thickBot="1" x14ac:dyDescent="0.3">
      <c r="B1130" s="33" t="s">
        <v>45</v>
      </c>
      <c r="C1130" s="34"/>
      <c r="D1130" s="68"/>
      <c r="E1130" s="69"/>
      <c r="F1130" s="69"/>
      <c r="G1130" s="70"/>
      <c r="H1130" s="44"/>
      <c r="I1130" s="32"/>
      <c r="J1130" s="32"/>
    </row>
    <row r="1131" spans="2:10" ht="15.75" hidden="1" customHeight="1" thickBot="1" x14ac:dyDescent="0.3">
      <c r="B1131" s="33" t="s">
        <v>45</v>
      </c>
      <c r="C1131" s="34"/>
      <c r="D1131" s="68"/>
      <c r="E1131" s="69"/>
      <c r="F1131" s="69"/>
      <c r="G1131" s="70"/>
      <c r="H1131" s="44"/>
      <c r="I1131" s="32"/>
      <c r="J1131" s="32"/>
    </row>
    <row r="1132" spans="2:10" ht="15.75" hidden="1" customHeight="1" thickBot="1" x14ac:dyDescent="0.3">
      <c r="B1132" s="33" t="s">
        <v>45</v>
      </c>
      <c r="C1132" s="34"/>
      <c r="D1132" s="68"/>
      <c r="E1132" s="69"/>
      <c r="F1132" s="69"/>
      <c r="G1132" s="70"/>
      <c r="H1132" s="44"/>
      <c r="I1132" s="32"/>
      <c r="J1132" s="32"/>
    </row>
    <row r="1133" spans="2:10" ht="15.75" hidden="1" customHeight="1" thickBot="1" x14ac:dyDescent="0.3">
      <c r="B1133" s="33" t="s">
        <v>45</v>
      </c>
      <c r="C1133" s="34"/>
      <c r="D1133" s="68"/>
      <c r="E1133" s="69"/>
      <c r="F1133" s="69"/>
      <c r="G1133" s="70"/>
      <c r="H1133" s="44"/>
      <c r="I1133" s="32"/>
      <c r="J1133" s="32"/>
    </row>
    <row r="1134" spans="2:10" ht="15.75" hidden="1" customHeight="1" thickBot="1" x14ac:dyDescent="0.3">
      <c r="B1134" s="33" t="s">
        <v>45</v>
      </c>
      <c r="C1134" s="34"/>
      <c r="D1134" s="68"/>
      <c r="E1134" s="69"/>
      <c r="F1134" s="69"/>
      <c r="G1134" s="70"/>
      <c r="H1134" s="44"/>
      <c r="I1134" s="32"/>
      <c r="J1134" s="32"/>
    </row>
    <row r="1135" spans="2:10" ht="15.75" hidden="1" customHeight="1" thickBot="1" x14ac:dyDescent="0.3">
      <c r="B1135" s="33" t="s">
        <v>45</v>
      </c>
      <c r="C1135" s="34"/>
      <c r="D1135" s="68"/>
      <c r="E1135" s="69"/>
      <c r="F1135" s="69"/>
      <c r="G1135" s="70"/>
      <c r="H1135" s="44"/>
      <c r="I1135" s="32"/>
      <c r="J1135" s="32"/>
    </row>
    <row r="1136" spans="2:10" ht="15.75" hidden="1" customHeight="1" thickBot="1" x14ac:dyDescent="0.3">
      <c r="B1136" s="33" t="s">
        <v>45</v>
      </c>
      <c r="C1136" s="34"/>
      <c r="D1136" s="68"/>
      <c r="E1136" s="69"/>
      <c r="F1136" s="69"/>
      <c r="G1136" s="70"/>
      <c r="H1136" s="44"/>
      <c r="I1136" s="32"/>
      <c r="J1136" s="32"/>
    </row>
    <row r="1137" spans="2:10" ht="15.75" hidden="1" customHeight="1" thickBot="1" x14ac:dyDescent="0.3">
      <c r="B1137" s="33" t="s">
        <v>45</v>
      </c>
      <c r="C1137" s="34"/>
      <c r="D1137" s="68"/>
      <c r="E1137" s="69"/>
      <c r="F1137" s="69"/>
      <c r="G1137" s="70"/>
      <c r="H1137" s="44"/>
      <c r="I1137" s="32"/>
      <c r="J1137" s="32"/>
    </row>
    <row r="1138" spans="2:10" ht="15.75" hidden="1" customHeight="1" thickBot="1" x14ac:dyDescent="0.3">
      <c r="B1138" s="33" t="s">
        <v>45</v>
      </c>
      <c r="C1138" s="34"/>
      <c r="D1138" s="68"/>
      <c r="E1138" s="69"/>
      <c r="F1138" s="69"/>
      <c r="G1138" s="70"/>
      <c r="H1138" s="44"/>
      <c r="I1138" s="32"/>
      <c r="J1138" s="32"/>
    </row>
    <row r="1139" spans="2:10" ht="15.75" hidden="1" customHeight="1" thickBot="1" x14ac:dyDescent="0.3">
      <c r="B1139" s="33" t="s">
        <v>45</v>
      </c>
      <c r="C1139" s="34"/>
      <c r="D1139" s="68"/>
      <c r="E1139" s="69"/>
      <c r="F1139" s="69"/>
      <c r="G1139" s="70"/>
      <c r="H1139" s="44"/>
      <c r="I1139" s="32"/>
      <c r="J1139" s="32"/>
    </row>
    <row r="1140" spans="2:10" ht="15.75" hidden="1" customHeight="1" thickBot="1" x14ac:dyDescent="0.3">
      <c r="B1140" s="33" t="s">
        <v>45</v>
      </c>
      <c r="C1140" s="34"/>
      <c r="D1140" s="68"/>
      <c r="E1140" s="69"/>
      <c r="F1140" s="69"/>
      <c r="G1140" s="70"/>
      <c r="H1140" s="44"/>
      <c r="I1140" s="32"/>
      <c r="J1140" s="32"/>
    </row>
    <row r="1141" spans="2:10" ht="15.75" hidden="1" customHeight="1" thickBot="1" x14ac:dyDescent="0.3">
      <c r="B1141" s="33" t="s">
        <v>45</v>
      </c>
      <c r="C1141" s="34"/>
      <c r="D1141" s="68"/>
      <c r="E1141" s="69"/>
      <c r="F1141" s="69"/>
      <c r="G1141" s="70"/>
      <c r="H1141" s="44"/>
      <c r="I1141" s="32"/>
      <c r="J1141" s="32"/>
    </row>
    <row r="1142" spans="2:10" ht="15.75" hidden="1" customHeight="1" thickBot="1" x14ac:dyDescent="0.3">
      <c r="B1142" s="33" t="s">
        <v>45</v>
      </c>
      <c r="C1142" s="34"/>
      <c r="D1142" s="68"/>
      <c r="E1142" s="69"/>
      <c r="F1142" s="69"/>
      <c r="G1142" s="70"/>
      <c r="H1142" s="44"/>
      <c r="I1142" s="32"/>
      <c r="J1142" s="32"/>
    </row>
    <row r="1143" spans="2:10" ht="15.75" hidden="1" customHeight="1" thickBot="1" x14ac:dyDescent="0.3">
      <c r="B1143" s="33" t="s">
        <v>45</v>
      </c>
      <c r="C1143" s="34"/>
      <c r="D1143" s="68"/>
      <c r="E1143" s="69"/>
      <c r="F1143" s="69"/>
      <c r="G1143" s="70"/>
      <c r="H1143" s="44"/>
      <c r="I1143" s="32"/>
      <c r="J1143" s="32"/>
    </row>
    <row r="1144" spans="2:10" ht="15.75" hidden="1" customHeight="1" thickBot="1" x14ac:dyDescent="0.3">
      <c r="B1144" s="33" t="s">
        <v>45</v>
      </c>
      <c r="C1144" s="34"/>
      <c r="D1144" s="68"/>
      <c r="E1144" s="69"/>
      <c r="F1144" s="69"/>
      <c r="G1144" s="70"/>
      <c r="H1144" s="44"/>
      <c r="I1144" s="32"/>
      <c r="J1144" s="32"/>
    </row>
    <row r="1145" spans="2:10" ht="15.75" hidden="1" customHeight="1" thickBot="1" x14ac:dyDescent="0.3">
      <c r="B1145" s="33" t="s">
        <v>45</v>
      </c>
      <c r="C1145" s="34"/>
      <c r="D1145" s="68"/>
      <c r="E1145" s="69"/>
      <c r="F1145" s="69"/>
      <c r="G1145" s="70"/>
      <c r="H1145" s="44"/>
      <c r="I1145" s="32"/>
      <c r="J1145" s="32"/>
    </row>
    <row r="1146" spans="2:10" ht="15.75" hidden="1" customHeight="1" thickBot="1" x14ac:dyDescent="0.3">
      <c r="B1146" s="33" t="s">
        <v>45</v>
      </c>
      <c r="C1146" s="34"/>
      <c r="D1146" s="68"/>
      <c r="E1146" s="69"/>
      <c r="F1146" s="69"/>
      <c r="G1146" s="70"/>
      <c r="H1146" s="44"/>
      <c r="I1146" s="32"/>
      <c r="J1146" s="32"/>
    </row>
    <row r="1147" spans="2:10" ht="15.75" hidden="1" customHeight="1" thickBot="1" x14ac:dyDescent="0.3">
      <c r="B1147" s="33" t="s">
        <v>45</v>
      </c>
      <c r="C1147" s="34"/>
      <c r="D1147" s="68"/>
      <c r="E1147" s="69"/>
      <c r="F1147" s="69"/>
      <c r="G1147" s="70"/>
      <c r="H1147" s="44"/>
      <c r="I1147" s="32"/>
      <c r="J1147" s="32"/>
    </row>
    <row r="1148" spans="2:10" ht="15.75" hidden="1" customHeight="1" thickBot="1" x14ac:dyDescent="0.3">
      <c r="B1148" s="33" t="s">
        <v>45</v>
      </c>
      <c r="C1148" s="34"/>
      <c r="D1148" s="68"/>
      <c r="E1148" s="69"/>
      <c r="F1148" s="69"/>
      <c r="G1148" s="70"/>
      <c r="H1148" s="44"/>
      <c r="I1148" s="32"/>
      <c r="J1148" s="32"/>
    </row>
    <row r="1149" spans="2:10" ht="15.75" hidden="1" customHeight="1" thickBot="1" x14ac:dyDescent="0.3">
      <c r="B1149" s="33" t="s">
        <v>45</v>
      </c>
      <c r="C1149" s="34"/>
      <c r="D1149" s="68"/>
      <c r="E1149" s="69"/>
      <c r="F1149" s="69"/>
      <c r="G1149" s="70"/>
      <c r="H1149" s="44"/>
      <c r="I1149" s="32"/>
      <c r="J1149" s="32"/>
    </row>
    <row r="1150" spans="2:10" ht="15.75" hidden="1" customHeight="1" thickBot="1" x14ac:dyDescent="0.3">
      <c r="B1150" s="33" t="s">
        <v>45</v>
      </c>
      <c r="C1150" s="34"/>
      <c r="D1150" s="68"/>
      <c r="E1150" s="69"/>
      <c r="F1150" s="69"/>
      <c r="G1150" s="70"/>
      <c r="H1150" s="44"/>
      <c r="I1150" s="32"/>
      <c r="J1150" s="32"/>
    </row>
    <row r="1151" spans="2:10" ht="15.75" hidden="1" customHeight="1" thickBot="1" x14ac:dyDescent="0.3">
      <c r="B1151" s="33" t="s">
        <v>45</v>
      </c>
      <c r="C1151" s="34"/>
      <c r="D1151" s="68"/>
      <c r="E1151" s="69"/>
      <c r="F1151" s="69"/>
      <c r="G1151" s="70"/>
      <c r="H1151" s="44"/>
      <c r="I1151" s="32"/>
      <c r="J1151" s="32"/>
    </row>
    <row r="1152" spans="2:10" ht="15.75" hidden="1" customHeight="1" thickBot="1" x14ac:dyDescent="0.3">
      <c r="B1152" s="33" t="s">
        <v>45</v>
      </c>
      <c r="C1152" s="34"/>
      <c r="D1152" s="68"/>
      <c r="E1152" s="69"/>
      <c r="F1152" s="69"/>
      <c r="G1152" s="70"/>
      <c r="H1152" s="44"/>
      <c r="I1152" s="32"/>
      <c r="J1152" s="32"/>
    </row>
    <row r="1153" spans="2:10" ht="15.75" hidden="1" customHeight="1" thickBot="1" x14ac:dyDescent="0.3">
      <c r="B1153" s="33" t="s">
        <v>45</v>
      </c>
      <c r="C1153" s="34"/>
      <c r="D1153" s="68"/>
      <c r="E1153" s="69"/>
      <c r="F1153" s="69"/>
      <c r="G1153" s="70"/>
      <c r="H1153" s="44"/>
      <c r="I1153" s="32"/>
      <c r="J1153" s="32"/>
    </row>
    <row r="1154" spans="2:10" ht="15.75" hidden="1" customHeight="1" thickBot="1" x14ac:dyDescent="0.3">
      <c r="B1154" s="33" t="s">
        <v>45</v>
      </c>
      <c r="C1154" s="34"/>
      <c r="D1154" s="68"/>
      <c r="E1154" s="69"/>
      <c r="F1154" s="69"/>
      <c r="G1154" s="70"/>
      <c r="H1154" s="44"/>
      <c r="I1154" s="32"/>
      <c r="J1154" s="32"/>
    </row>
    <row r="1155" spans="2:10" ht="15.75" hidden="1" customHeight="1" thickBot="1" x14ac:dyDescent="0.3">
      <c r="B1155" s="33" t="s">
        <v>45</v>
      </c>
      <c r="C1155" s="34"/>
      <c r="D1155" s="68"/>
      <c r="E1155" s="69"/>
      <c r="F1155" s="69"/>
      <c r="G1155" s="70"/>
      <c r="H1155" s="44"/>
      <c r="I1155" s="32"/>
      <c r="J1155" s="32"/>
    </row>
    <row r="1156" spans="2:10" ht="15.75" hidden="1" customHeight="1" thickBot="1" x14ac:dyDescent="0.3">
      <c r="B1156" s="33" t="s">
        <v>45</v>
      </c>
      <c r="C1156" s="34"/>
      <c r="D1156" s="68"/>
      <c r="E1156" s="69"/>
      <c r="F1156" s="69"/>
      <c r="G1156" s="70"/>
      <c r="H1156" s="44"/>
      <c r="I1156" s="32"/>
      <c r="J1156" s="32"/>
    </row>
    <row r="1157" spans="2:10" ht="15.75" hidden="1" customHeight="1" thickBot="1" x14ac:dyDescent="0.3">
      <c r="B1157" s="33" t="s">
        <v>45</v>
      </c>
      <c r="C1157" s="34"/>
      <c r="D1157" s="68"/>
      <c r="E1157" s="69"/>
      <c r="F1157" s="69"/>
      <c r="G1157" s="70"/>
      <c r="H1157" s="44"/>
      <c r="I1157" s="32"/>
      <c r="J1157" s="32"/>
    </row>
    <row r="1158" spans="2:10" ht="15.75" hidden="1" customHeight="1" thickBot="1" x14ac:dyDescent="0.3">
      <c r="B1158" s="33" t="s">
        <v>45</v>
      </c>
      <c r="C1158" s="34"/>
      <c r="D1158" s="68"/>
      <c r="E1158" s="69"/>
      <c r="F1158" s="69"/>
      <c r="G1158" s="70"/>
      <c r="H1158" s="44"/>
      <c r="I1158" s="32"/>
      <c r="J1158" s="32"/>
    </row>
    <row r="1159" spans="2:10" ht="15.75" hidden="1" customHeight="1" thickBot="1" x14ac:dyDescent="0.3">
      <c r="B1159" s="33" t="s">
        <v>45</v>
      </c>
      <c r="C1159" s="34"/>
      <c r="D1159" s="68"/>
      <c r="E1159" s="69"/>
      <c r="F1159" s="69"/>
      <c r="G1159" s="70"/>
      <c r="H1159" s="44"/>
      <c r="I1159" s="32"/>
      <c r="J1159" s="32"/>
    </row>
    <row r="1160" spans="2:10" ht="15.75" hidden="1" customHeight="1" thickBot="1" x14ac:dyDescent="0.3">
      <c r="B1160" s="33" t="s">
        <v>45</v>
      </c>
      <c r="C1160" s="34"/>
      <c r="D1160" s="68"/>
      <c r="E1160" s="69"/>
      <c r="F1160" s="69"/>
      <c r="G1160" s="70"/>
      <c r="H1160" s="44"/>
      <c r="I1160" s="32"/>
      <c r="J1160" s="32"/>
    </row>
    <row r="1161" spans="2:10" ht="15.75" hidden="1" customHeight="1" thickBot="1" x14ac:dyDescent="0.3">
      <c r="B1161" s="33" t="s">
        <v>45</v>
      </c>
      <c r="C1161" s="34"/>
      <c r="D1161" s="68"/>
      <c r="E1161" s="69"/>
      <c r="F1161" s="69"/>
      <c r="G1161" s="70"/>
      <c r="H1161" s="44"/>
      <c r="I1161" s="32"/>
      <c r="J1161" s="32"/>
    </row>
    <row r="1162" spans="2:10" ht="15.75" hidden="1" customHeight="1" thickBot="1" x14ac:dyDescent="0.3">
      <c r="B1162" s="33" t="s">
        <v>45</v>
      </c>
      <c r="C1162" s="34"/>
      <c r="D1162" s="68"/>
      <c r="E1162" s="69"/>
      <c r="F1162" s="69"/>
      <c r="G1162" s="70"/>
      <c r="H1162" s="44"/>
      <c r="I1162" s="32"/>
      <c r="J1162" s="32"/>
    </row>
    <row r="1163" spans="2:10" ht="15.75" hidden="1" customHeight="1" thickBot="1" x14ac:dyDescent="0.3">
      <c r="B1163" s="33" t="s">
        <v>45</v>
      </c>
      <c r="C1163" s="34"/>
      <c r="D1163" s="68"/>
      <c r="E1163" s="69"/>
      <c r="F1163" s="69"/>
      <c r="G1163" s="70"/>
      <c r="H1163" s="44"/>
      <c r="I1163" s="32"/>
      <c r="J1163" s="32"/>
    </row>
    <row r="1164" spans="2:10" ht="15.75" hidden="1" customHeight="1" thickBot="1" x14ac:dyDescent="0.3">
      <c r="B1164" s="33" t="s">
        <v>45</v>
      </c>
      <c r="C1164" s="34"/>
      <c r="D1164" s="68"/>
      <c r="E1164" s="69"/>
      <c r="F1164" s="69"/>
      <c r="G1164" s="70"/>
      <c r="H1164" s="44"/>
      <c r="I1164" s="32"/>
      <c r="J1164" s="32"/>
    </row>
    <row r="1165" spans="2:10" ht="15.75" hidden="1" customHeight="1" thickBot="1" x14ac:dyDescent="0.3">
      <c r="B1165" s="33" t="s">
        <v>45</v>
      </c>
      <c r="C1165" s="34"/>
      <c r="D1165" s="68"/>
      <c r="E1165" s="69"/>
      <c r="F1165" s="69"/>
      <c r="G1165" s="70"/>
      <c r="H1165" s="44"/>
      <c r="I1165" s="32"/>
      <c r="J1165" s="32"/>
    </row>
    <row r="1166" spans="2:10" ht="15.75" hidden="1" customHeight="1" thickBot="1" x14ac:dyDescent="0.3">
      <c r="B1166" s="33" t="s">
        <v>45</v>
      </c>
      <c r="C1166" s="34"/>
      <c r="D1166" s="68"/>
      <c r="E1166" s="69"/>
      <c r="F1166" s="69"/>
      <c r="G1166" s="70"/>
      <c r="H1166" s="44"/>
      <c r="I1166" s="32"/>
      <c r="J1166" s="32"/>
    </row>
    <row r="1167" spans="2:10" ht="15.75" hidden="1" customHeight="1" thickBot="1" x14ac:dyDescent="0.3">
      <c r="B1167" s="33" t="s">
        <v>45</v>
      </c>
      <c r="C1167" s="34"/>
      <c r="D1167" s="68"/>
      <c r="E1167" s="69"/>
      <c r="F1167" s="69"/>
      <c r="G1167" s="70"/>
      <c r="H1167" s="44"/>
      <c r="I1167" s="32"/>
      <c r="J1167" s="32"/>
    </row>
    <row r="1168" spans="2:10" ht="15.75" hidden="1" customHeight="1" thickBot="1" x14ac:dyDescent="0.3">
      <c r="B1168" s="33" t="s">
        <v>45</v>
      </c>
      <c r="C1168" s="34"/>
      <c r="D1168" s="68"/>
      <c r="E1168" s="69"/>
      <c r="F1168" s="69"/>
      <c r="G1168" s="70"/>
      <c r="H1168" s="44"/>
      <c r="I1168" s="32"/>
      <c r="J1168" s="32"/>
    </row>
    <row r="1169" spans="2:10" ht="15.75" hidden="1" customHeight="1" thickBot="1" x14ac:dyDescent="0.3">
      <c r="B1169" s="33" t="s">
        <v>45</v>
      </c>
      <c r="C1169" s="34"/>
      <c r="D1169" s="68"/>
      <c r="E1169" s="69"/>
      <c r="F1169" s="69"/>
      <c r="G1169" s="70"/>
      <c r="H1169" s="44"/>
      <c r="I1169" s="32"/>
      <c r="J1169" s="32"/>
    </row>
    <row r="1170" spans="2:10" ht="15.75" hidden="1" customHeight="1" thickBot="1" x14ac:dyDescent="0.3">
      <c r="B1170" s="33" t="s">
        <v>45</v>
      </c>
      <c r="C1170" s="34"/>
      <c r="D1170" s="68"/>
      <c r="E1170" s="69"/>
      <c r="F1170" s="69"/>
      <c r="G1170" s="70"/>
      <c r="H1170" s="44"/>
      <c r="I1170" s="32"/>
      <c r="J1170" s="32"/>
    </row>
    <row r="1171" spans="2:10" ht="15.75" hidden="1" customHeight="1" thickBot="1" x14ac:dyDescent="0.3">
      <c r="B1171" s="33" t="s">
        <v>45</v>
      </c>
      <c r="C1171" s="34"/>
      <c r="D1171" s="68"/>
      <c r="E1171" s="69"/>
      <c r="F1171" s="69"/>
      <c r="G1171" s="70"/>
      <c r="H1171" s="44"/>
      <c r="I1171" s="32"/>
      <c r="J1171" s="32"/>
    </row>
    <row r="1172" spans="2:10" ht="15.75" hidden="1" customHeight="1" thickBot="1" x14ac:dyDescent="0.3">
      <c r="B1172" s="33" t="s">
        <v>45</v>
      </c>
      <c r="C1172" s="34"/>
      <c r="D1172" s="68"/>
      <c r="E1172" s="69"/>
      <c r="F1172" s="69"/>
      <c r="G1172" s="70"/>
      <c r="H1172" s="44"/>
      <c r="I1172" s="32"/>
      <c r="J1172" s="32"/>
    </row>
    <row r="1173" spans="2:10" ht="15.75" hidden="1" customHeight="1" thickBot="1" x14ac:dyDescent="0.3">
      <c r="B1173" s="33" t="s">
        <v>45</v>
      </c>
      <c r="C1173" s="34"/>
      <c r="D1173" s="68"/>
      <c r="E1173" s="69"/>
      <c r="F1173" s="69"/>
      <c r="G1173" s="70"/>
      <c r="H1173" s="44"/>
      <c r="I1173" s="32"/>
      <c r="J1173" s="32"/>
    </row>
    <row r="1174" spans="2:10" ht="15.75" hidden="1" customHeight="1" thickBot="1" x14ac:dyDescent="0.3">
      <c r="B1174" s="33" t="s">
        <v>45</v>
      </c>
      <c r="C1174" s="34"/>
      <c r="D1174" s="68"/>
      <c r="E1174" s="69"/>
      <c r="F1174" s="69"/>
      <c r="G1174" s="70"/>
      <c r="H1174" s="44"/>
      <c r="I1174" s="32"/>
      <c r="J1174" s="32"/>
    </row>
    <row r="1175" spans="2:10" ht="15.75" hidden="1" customHeight="1" thickBot="1" x14ac:dyDescent="0.3">
      <c r="B1175" s="33" t="s">
        <v>45</v>
      </c>
      <c r="C1175" s="34"/>
      <c r="D1175" s="68"/>
      <c r="E1175" s="69"/>
      <c r="F1175" s="69"/>
      <c r="G1175" s="70"/>
      <c r="H1175" s="44"/>
      <c r="I1175" s="32"/>
      <c r="J1175" s="32"/>
    </row>
    <row r="1176" spans="2:10" ht="15.75" hidden="1" customHeight="1" thickBot="1" x14ac:dyDescent="0.3">
      <c r="B1176" s="33" t="s">
        <v>45</v>
      </c>
      <c r="C1176" s="34"/>
      <c r="D1176" s="68"/>
      <c r="E1176" s="69"/>
      <c r="F1176" s="69"/>
      <c r="G1176" s="70"/>
      <c r="H1176" s="44"/>
      <c r="I1176" s="32"/>
      <c r="J1176" s="32"/>
    </row>
    <row r="1177" spans="2:10" ht="15.75" hidden="1" customHeight="1" thickBot="1" x14ac:dyDescent="0.3">
      <c r="B1177" s="33" t="s">
        <v>45</v>
      </c>
      <c r="C1177" s="34"/>
      <c r="D1177" s="68"/>
      <c r="E1177" s="69"/>
      <c r="F1177" s="69"/>
      <c r="G1177" s="70"/>
      <c r="H1177" s="44"/>
      <c r="I1177" s="32"/>
      <c r="J1177" s="32"/>
    </row>
    <row r="1178" spans="2:10" ht="15.75" hidden="1" customHeight="1" thickBot="1" x14ac:dyDescent="0.3">
      <c r="B1178" s="33" t="s">
        <v>45</v>
      </c>
      <c r="C1178" s="34"/>
      <c r="D1178" s="68"/>
      <c r="E1178" s="69"/>
      <c r="F1178" s="69"/>
      <c r="G1178" s="70"/>
      <c r="H1178" s="44"/>
      <c r="I1178" s="32"/>
      <c r="J1178" s="32"/>
    </row>
    <row r="1179" spans="2:10" ht="15.75" hidden="1" customHeight="1" thickBot="1" x14ac:dyDescent="0.3">
      <c r="B1179" s="33" t="s">
        <v>45</v>
      </c>
      <c r="C1179" s="34"/>
      <c r="D1179" s="68"/>
      <c r="E1179" s="69"/>
      <c r="F1179" s="69"/>
      <c r="G1179" s="70"/>
      <c r="H1179" s="44"/>
      <c r="I1179" s="32"/>
      <c r="J1179" s="32"/>
    </row>
    <row r="1180" spans="2:10" ht="15.75" hidden="1" customHeight="1" thickBot="1" x14ac:dyDescent="0.3">
      <c r="B1180" s="33" t="s">
        <v>45</v>
      </c>
      <c r="C1180" s="34"/>
      <c r="D1180" s="68"/>
      <c r="E1180" s="69"/>
      <c r="F1180" s="69"/>
      <c r="G1180" s="70"/>
      <c r="H1180" s="44"/>
      <c r="I1180" s="32"/>
      <c r="J1180" s="32"/>
    </row>
    <row r="1181" spans="2:10" ht="15.75" hidden="1" customHeight="1" thickBot="1" x14ac:dyDescent="0.3">
      <c r="B1181" s="33" t="s">
        <v>45</v>
      </c>
      <c r="C1181" s="34"/>
      <c r="D1181" s="68"/>
      <c r="E1181" s="69"/>
      <c r="F1181" s="69"/>
      <c r="G1181" s="70"/>
      <c r="H1181" s="44"/>
      <c r="I1181" s="32"/>
      <c r="J1181" s="32"/>
    </row>
    <row r="1182" spans="2:10" ht="15.75" hidden="1" customHeight="1" thickBot="1" x14ac:dyDescent="0.3">
      <c r="B1182" s="33" t="s">
        <v>45</v>
      </c>
      <c r="C1182" s="34"/>
      <c r="D1182" s="68"/>
      <c r="E1182" s="69"/>
      <c r="F1182" s="69"/>
      <c r="G1182" s="70"/>
      <c r="H1182" s="44"/>
      <c r="I1182" s="32"/>
      <c r="J1182" s="32"/>
    </row>
    <row r="1183" spans="2:10" ht="15.75" hidden="1" customHeight="1" thickBot="1" x14ac:dyDescent="0.3">
      <c r="B1183" s="33" t="s">
        <v>45</v>
      </c>
      <c r="C1183" s="34"/>
      <c r="D1183" s="68"/>
      <c r="E1183" s="69"/>
      <c r="F1183" s="69"/>
      <c r="G1183" s="70"/>
      <c r="H1183" s="44"/>
      <c r="I1183" s="32"/>
      <c r="J1183" s="32"/>
    </row>
    <row r="1184" spans="2:10" ht="15.75" hidden="1" customHeight="1" thickBot="1" x14ac:dyDescent="0.3">
      <c r="B1184" s="33" t="s">
        <v>45</v>
      </c>
      <c r="C1184" s="34"/>
      <c r="D1184" s="68"/>
      <c r="E1184" s="69"/>
      <c r="F1184" s="69"/>
      <c r="G1184" s="70"/>
      <c r="H1184" s="44"/>
      <c r="I1184" s="32"/>
      <c r="J1184" s="32"/>
    </row>
    <row r="1185" spans="2:10" ht="15.75" hidden="1" customHeight="1" thickBot="1" x14ac:dyDescent="0.3">
      <c r="B1185" s="33" t="s">
        <v>45</v>
      </c>
      <c r="C1185" s="34"/>
      <c r="D1185" s="68"/>
      <c r="E1185" s="69"/>
      <c r="F1185" s="69"/>
      <c r="G1185" s="70"/>
      <c r="H1185" s="44"/>
      <c r="I1185" s="32"/>
      <c r="J1185" s="32"/>
    </row>
    <row r="1186" spans="2:10" ht="15.75" hidden="1" customHeight="1" thickBot="1" x14ac:dyDescent="0.3">
      <c r="B1186" s="33" t="s">
        <v>45</v>
      </c>
      <c r="C1186" s="34"/>
      <c r="D1186" s="68"/>
      <c r="E1186" s="69"/>
      <c r="F1186" s="69"/>
      <c r="G1186" s="70"/>
      <c r="H1186" s="44"/>
      <c r="I1186" s="32"/>
      <c r="J1186" s="32"/>
    </row>
    <row r="1187" spans="2:10" ht="15.75" hidden="1" customHeight="1" thickBot="1" x14ac:dyDescent="0.3">
      <c r="B1187" s="33" t="s">
        <v>45</v>
      </c>
      <c r="C1187" s="34"/>
      <c r="D1187" s="68"/>
      <c r="E1187" s="69"/>
      <c r="F1187" s="69"/>
      <c r="G1187" s="70"/>
      <c r="H1187" s="44"/>
      <c r="I1187" s="32"/>
      <c r="J1187" s="32"/>
    </row>
    <row r="1188" spans="2:10" ht="15.75" hidden="1" customHeight="1" thickBot="1" x14ac:dyDescent="0.3">
      <c r="B1188" s="33" t="s">
        <v>45</v>
      </c>
      <c r="C1188" s="34"/>
      <c r="D1188" s="68"/>
      <c r="E1188" s="69"/>
      <c r="F1188" s="69"/>
      <c r="G1188" s="70"/>
      <c r="H1188" s="44"/>
      <c r="I1188" s="32"/>
      <c r="J1188" s="32"/>
    </row>
    <row r="1189" spans="2:10" ht="15.75" hidden="1" customHeight="1" thickBot="1" x14ac:dyDescent="0.3">
      <c r="B1189" s="33" t="s">
        <v>45</v>
      </c>
      <c r="C1189" s="34"/>
      <c r="D1189" s="68"/>
      <c r="E1189" s="69"/>
      <c r="F1189" s="69"/>
      <c r="G1189" s="70"/>
      <c r="H1189" s="44"/>
      <c r="I1189" s="32"/>
      <c r="J1189" s="32"/>
    </row>
    <row r="1190" spans="2:10" ht="15.75" hidden="1" customHeight="1" thickBot="1" x14ac:dyDescent="0.3">
      <c r="B1190" s="33" t="s">
        <v>45</v>
      </c>
      <c r="C1190" s="34"/>
      <c r="D1190" s="68"/>
      <c r="E1190" s="69"/>
      <c r="F1190" s="69"/>
      <c r="G1190" s="70"/>
      <c r="H1190" s="44"/>
      <c r="I1190" s="32"/>
      <c r="J1190" s="32"/>
    </row>
    <row r="1191" spans="2:10" ht="15.75" hidden="1" customHeight="1" thickBot="1" x14ac:dyDescent="0.3">
      <c r="B1191" s="33" t="s">
        <v>45</v>
      </c>
      <c r="C1191" s="34"/>
      <c r="D1191" s="68"/>
      <c r="E1191" s="69"/>
      <c r="F1191" s="69"/>
      <c r="G1191" s="70"/>
      <c r="H1191" s="44"/>
      <c r="I1191" s="32"/>
      <c r="J1191" s="32"/>
    </row>
    <row r="1192" spans="2:10" ht="15.75" hidden="1" customHeight="1" thickBot="1" x14ac:dyDescent="0.3">
      <c r="B1192" s="33" t="s">
        <v>45</v>
      </c>
      <c r="C1192" s="34"/>
      <c r="D1192" s="68"/>
      <c r="E1192" s="69"/>
      <c r="F1192" s="69"/>
      <c r="G1192" s="70"/>
      <c r="H1192" s="44"/>
      <c r="I1192" s="32"/>
      <c r="J1192" s="32"/>
    </row>
    <row r="1193" spans="2:10" ht="15.75" hidden="1" customHeight="1" thickBot="1" x14ac:dyDescent="0.3">
      <c r="B1193" s="33" t="s">
        <v>45</v>
      </c>
      <c r="C1193" s="34"/>
      <c r="D1193" s="68"/>
      <c r="E1193" s="69"/>
      <c r="F1193" s="69"/>
      <c r="G1193" s="70"/>
      <c r="H1193" s="44"/>
      <c r="I1193" s="32"/>
      <c r="J1193" s="32"/>
    </row>
    <row r="1194" spans="2:10" ht="15.75" hidden="1" customHeight="1" thickBot="1" x14ac:dyDescent="0.3">
      <c r="B1194" s="33" t="s">
        <v>45</v>
      </c>
      <c r="C1194" s="34"/>
      <c r="D1194" s="68"/>
      <c r="E1194" s="69"/>
      <c r="F1194" s="69"/>
      <c r="G1194" s="70"/>
      <c r="H1194" s="44"/>
      <c r="I1194" s="32"/>
      <c r="J1194" s="32"/>
    </row>
    <row r="1195" spans="2:10" ht="15.75" hidden="1" customHeight="1" thickBot="1" x14ac:dyDescent="0.3">
      <c r="B1195" s="33" t="s">
        <v>45</v>
      </c>
      <c r="C1195" s="34"/>
      <c r="D1195" s="68"/>
      <c r="E1195" s="69"/>
      <c r="F1195" s="69"/>
      <c r="G1195" s="70"/>
      <c r="H1195" s="44"/>
      <c r="I1195" s="32"/>
      <c r="J1195" s="32"/>
    </row>
    <row r="1196" spans="2:10" ht="15.75" hidden="1" customHeight="1" thickBot="1" x14ac:dyDescent="0.3">
      <c r="B1196" s="33" t="s">
        <v>45</v>
      </c>
      <c r="C1196" s="34"/>
      <c r="D1196" s="68"/>
      <c r="E1196" s="69"/>
      <c r="F1196" s="69"/>
      <c r="G1196" s="70"/>
      <c r="H1196" s="44"/>
      <c r="I1196" s="32"/>
      <c r="J1196" s="32"/>
    </row>
    <row r="1197" spans="2:10" ht="15.75" hidden="1" customHeight="1" thickBot="1" x14ac:dyDescent="0.3">
      <c r="B1197" s="33" t="s">
        <v>45</v>
      </c>
      <c r="C1197" s="34"/>
      <c r="D1197" s="68"/>
      <c r="E1197" s="69"/>
      <c r="F1197" s="69"/>
      <c r="G1197" s="70"/>
      <c r="H1197" s="44"/>
      <c r="I1197" s="32"/>
      <c r="J1197" s="32"/>
    </row>
    <row r="1198" spans="2:10" ht="15.75" hidden="1" customHeight="1" thickBot="1" x14ac:dyDescent="0.3">
      <c r="B1198" s="33" t="s">
        <v>45</v>
      </c>
      <c r="C1198" s="34"/>
      <c r="D1198" s="68"/>
      <c r="E1198" s="69"/>
      <c r="F1198" s="69"/>
      <c r="G1198" s="70"/>
      <c r="H1198" s="44"/>
      <c r="I1198" s="32"/>
      <c r="J1198" s="32"/>
    </row>
    <row r="1199" spans="2:10" ht="15.75" hidden="1" customHeight="1" thickBot="1" x14ac:dyDescent="0.3">
      <c r="B1199" s="33" t="s">
        <v>45</v>
      </c>
      <c r="C1199" s="34"/>
      <c r="D1199" s="68"/>
      <c r="E1199" s="69"/>
      <c r="F1199" s="69"/>
      <c r="G1199" s="70"/>
      <c r="H1199" s="44"/>
      <c r="I1199" s="32"/>
      <c r="J1199" s="32"/>
    </row>
    <row r="1200" spans="2:10" ht="15.75" hidden="1" customHeight="1" thickBot="1" x14ac:dyDescent="0.3">
      <c r="B1200" s="33" t="s">
        <v>45</v>
      </c>
      <c r="C1200" s="34"/>
      <c r="D1200" s="68"/>
      <c r="E1200" s="69"/>
      <c r="F1200" s="69"/>
      <c r="G1200" s="70"/>
      <c r="H1200" s="44"/>
      <c r="I1200" s="32"/>
      <c r="J1200" s="32"/>
    </row>
    <row r="1201" spans="2:10" ht="15.75" hidden="1" customHeight="1" thickBot="1" x14ac:dyDescent="0.3">
      <c r="B1201" s="33" t="s">
        <v>45</v>
      </c>
      <c r="C1201" s="34"/>
      <c r="D1201" s="68"/>
      <c r="E1201" s="69"/>
      <c r="F1201" s="69"/>
      <c r="G1201" s="70"/>
      <c r="H1201" s="44"/>
      <c r="I1201" s="32"/>
      <c r="J1201" s="32"/>
    </row>
    <row r="1202" spans="2:10" ht="15.75" hidden="1" customHeight="1" thickBot="1" x14ac:dyDescent="0.3">
      <c r="B1202" s="33" t="s">
        <v>45</v>
      </c>
      <c r="C1202" s="34"/>
      <c r="D1202" s="68"/>
      <c r="E1202" s="69"/>
      <c r="F1202" s="69"/>
      <c r="G1202" s="70"/>
      <c r="H1202" s="44"/>
      <c r="I1202" s="32"/>
      <c r="J1202" s="32"/>
    </row>
    <row r="1203" spans="2:10" ht="15.75" hidden="1" customHeight="1" thickBot="1" x14ac:dyDescent="0.3">
      <c r="B1203" s="33" t="s">
        <v>45</v>
      </c>
      <c r="C1203" s="34"/>
      <c r="D1203" s="68"/>
      <c r="E1203" s="69"/>
      <c r="F1203" s="69"/>
      <c r="G1203" s="70"/>
      <c r="H1203" s="44"/>
      <c r="I1203" s="32"/>
      <c r="J1203" s="32"/>
    </row>
    <row r="1204" spans="2:10" ht="15.75" hidden="1" customHeight="1" thickBot="1" x14ac:dyDescent="0.3">
      <c r="B1204" s="33" t="s">
        <v>45</v>
      </c>
      <c r="C1204" s="34"/>
      <c r="D1204" s="68"/>
      <c r="E1204" s="69"/>
      <c r="F1204" s="69"/>
      <c r="G1204" s="70"/>
      <c r="H1204" s="44"/>
      <c r="I1204" s="32"/>
      <c r="J1204" s="32"/>
    </row>
    <row r="1205" spans="2:10" ht="15.75" hidden="1" customHeight="1" thickBot="1" x14ac:dyDescent="0.3">
      <c r="B1205" s="33" t="s">
        <v>45</v>
      </c>
      <c r="C1205" s="34"/>
      <c r="D1205" s="68"/>
      <c r="E1205" s="69"/>
      <c r="F1205" s="69"/>
      <c r="G1205" s="70"/>
      <c r="H1205" s="44"/>
      <c r="I1205" s="32"/>
      <c r="J1205" s="32"/>
    </row>
    <row r="1206" spans="2:10" ht="15.75" hidden="1" customHeight="1" thickBot="1" x14ac:dyDescent="0.3">
      <c r="B1206" s="33" t="s">
        <v>45</v>
      </c>
      <c r="C1206" s="34"/>
      <c r="D1206" s="68"/>
      <c r="E1206" s="69"/>
      <c r="F1206" s="69"/>
      <c r="G1206" s="70"/>
      <c r="H1206" s="44"/>
      <c r="I1206" s="32"/>
      <c r="J1206" s="32"/>
    </row>
    <row r="1207" spans="2:10" ht="15.75" hidden="1" customHeight="1" thickBot="1" x14ac:dyDescent="0.3">
      <c r="B1207" s="33" t="s">
        <v>45</v>
      </c>
      <c r="C1207" s="34"/>
      <c r="D1207" s="68"/>
      <c r="E1207" s="69"/>
      <c r="F1207" s="69"/>
      <c r="G1207" s="70"/>
      <c r="H1207" s="44"/>
      <c r="I1207" s="32"/>
      <c r="J1207" s="32"/>
    </row>
    <row r="1208" spans="2:10" ht="15.75" hidden="1" customHeight="1" thickBot="1" x14ac:dyDescent="0.3">
      <c r="B1208" s="33" t="s">
        <v>45</v>
      </c>
      <c r="C1208" s="34"/>
      <c r="D1208" s="68"/>
      <c r="E1208" s="69"/>
      <c r="F1208" s="69"/>
      <c r="G1208" s="70"/>
      <c r="H1208" s="44"/>
      <c r="I1208" s="32"/>
      <c r="J1208" s="32"/>
    </row>
    <row r="1209" spans="2:10" ht="15.75" hidden="1" customHeight="1" thickBot="1" x14ac:dyDescent="0.3">
      <c r="B1209" s="33" t="s">
        <v>45</v>
      </c>
      <c r="C1209" s="34"/>
      <c r="D1209" s="68"/>
      <c r="E1209" s="69"/>
      <c r="F1209" s="69"/>
      <c r="G1209" s="70"/>
      <c r="H1209" s="44"/>
      <c r="I1209" s="32"/>
      <c r="J1209" s="32"/>
    </row>
    <row r="1210" spans="2:10" ht="15.75" hidden="1" customHeight="1" thickBot="1" x14ac:dyDescent="0.3">
      <c r="B1210" s="33" t="s">
        <v>45</v>
      </c>
      <c r="C1210" s="34"/>
      <c r="D1210" s="68"/>
      <c r="E1210" s="69"/>
      <c r="F1210" s="69"/>
      <c r="G1210" s="70"/>
      <c r="H1210" s="44"/>
      <c r="I1210" s="32"/>
      <c r="J1210" s="32"/>
    </row>
    <row r="1211" spans="2:10" ht="15.75" hidden="1" customHeight="1" thickBot="1" x14ac:dyDescent="0.3">
      <c r="B1211" s="33" t="s">
        <v>45</v>
      </c>
      <c r="C1211" s="34"/>
      <c r="D1211" s="68"/>
      <c r="E1211" s="69"/>
      <c r="F1211" s="69"/>
      <c r="G1211" s="70"/>
      <c r="H1211" s="44"/>
      <c r="I1211" s="32"/>
      <c r="J1211" s="32"/>
    </row>
    <row r="1212" spans="2:10" ht="15.75" hidden="1" customHeight="1" thickBot="1" x14ac:dyDescent="0.3">
      <c r="B1212" s="33" t="s">
        <v>45</v>
      </c>
      <c r="C1212" s="34"/>
      <c r="D1212" s="68"/>
      <c r="E1212" s="69"/>
      <c r="F1212" s="69"/>
      <c r="G1212" s="70"/>
      <c r="H1212" s="44"/>
      <c r="I1212" s="32"/>
      <c r="J1212" s="32"/>
    </row>
    <row r="1213" spans="2:10" ht="15.75" hidden="1" customHeight="1" thickBot="1" x14ac:dyDescent="0.3">
      <c r="B1213" s="33" t="s">
        <v>45</v>
      </c>
      <c r="C1213" s="34"/>
      <c r="D1213" s="68"/>
      <c r="E1213" s="69"/>
      <c r="F1213" s="69"/>
      <c r="G1213" s="70"/>
      <c r="H1213" s="44"/>
      <c r="I1213" s="32"/>
      <c r="J1213" s="32"/>
    </row>
    <row r="1214" spans="2:10" ht="15.75" hidden="1" customHeight="1" thickBot="1" x14ac:dyDescent="0.3">
      <c r="B1214" s="33" t="s">
        <v>45</v>
      </c>
      <c r="C1214" s="34"/>
      <c r="D1214" s="68"/>
      <c r="E1214" s="69"/>
      <c r="F1214" s="69"/>
      <c r="G1214" s="70"/>
      <c r="H1214" s="44"/>
      <c r="I1214" s="32"/>
      <c r="J1214" s="32"/>
    </row>
    <row r="1215" spans="2:10" ht="15.75" hidden="1" customHeight="1" thickBot="1" x14ac:dyDescent="0.3">
      <c r="B1215" s="33" t="s">
        <v>45</v>
      </c>
      <c r="C1215" s="34"/>
      <c r="D1215" s="68"/>
      <c r="E1215" s="69"/>
      <c r="F1215" s="69"/>
      <c r="G1215" s="70"/>
      <c r="H1215" s="44"/>
      <c r="I1215" s="32"/>
      <c r="J1215" s="32"/>
    </row>
    <row r="1216" spans="2:10" ht="15.75" hidden="1" customHeight="1" thickBot="1" x14ac:dyDescent="0.3">
      <c r="B1216" s="33" t="s">
        <v>45</v>
      </c>
      <c r="C1216" s="34"/>
      <c r="D1216" s="68"/>
      <c r="E1216" s="69"/>
      <c r="F1216" s="69"/>
      <c r="G1216" s="70"/>
      <c r="H1216" s="44"/>
      <c r="I1216" s="32"/>
      <c r="J1216" s="32"/>
    </row>
    <row r="1217" spans="2:10" ht="15.75" hidden="1" customHeight="1" thickBot="1" x14ac:dyDescent="0.3">
      <c r="B1217" s="33" t="s">
        <v>45</v>
      </c>
      <c r="C1217" s="34"/>
      <c r="D1217" s="68"/>
      <c r="E1217" s="69"/>
      <c r="F1217" s="69"/>
      <c r="G1217" s="70"/>
      <c r="H1217" s="44"/>
      <c r="I1217" s="32"/>
      <c r="J1217" s="32"/>
    </row>
    <row r="1218" spans="2:10" ht="15.75" hidden="1" customHeight="1" thickBot="1" x14ac:dyDescent="0.3">
      <c r="B1218" s="33" t="s">
        <v>45</v>
      </c>
      <c r="C1218" s="34"/>
      <c r="D1218" s="68"/>
      <c r="E1218" s="69"/>
      <c r="F1218" s="69"/>
      <c r="G1218" s="70"/>
      <c r="H1218" s="44"/>
      <c r="I1218" s="32"/>
      <c r="J1218" s="32"/>
    </row>
    <row r="1219" spans="2:10" ht="15.75" hidden="1" customHeight="1" thickBot="1" x14ac:dyDescent="0.3">
      <c r="B1219" s="33" t="s">
        <v>45</v>
      </c>
      <c r="C1219" s="34"/>
      <c r="D1219" s="68"/>
      <c r="E1219" s="69"/>
      <c r="F1219" s="69"/>
      <c r="G1219" s="70"/>
      <c r="H1219" s="44"/>
      <c r="I1219" s="32"/>
      <c r="J1219" s="32"/>
    </row>
    <row r="1220" spans="2:10" ht="15.75" hidden="1" customHeight="1" thickBot="1" x14ac:dyDescent="0.3">
      <c r="B1220" s="33" t="s">
        <v>45</v>
      </c>
      <c r="C1220" s="34"/>
      <c r="D1220" s="68"/>
      <c r="E1220" s="69"/>
      <c r="F1220" s="69"/>
      <c r="G1220" s="70"/>
      <c r="H1220" s="44"/>
      <c r="I1220" s="32"/>
      <c r="J1220" s="32"/>
    </row>
    <row r="1221" spans="2:10" ht="15.75" hidden="1" customHeight="1" thickBot="1" x14ac:dyDescent="0.3">
      <c r="B1221" s="33" t="s">
        <v>45</v>
      </c>
      <c r="C1221" s="34"/>
      <c r="D1221" s="68"/>
      <c r="E1221" s="69"/>
      <c r="F1221" s="69"/>
      <c r="G1221" s="70"/>
      <c r="H1221" s="44"/>
      <c r="I1221" s="32"/>
      <c r="J1221" s="32"/>
    </row>
    <row r="1222" spans="2:10" ht="15.75" hidden="1" customHeight="1" thickBot="1" x14ac:dyDescent="0.3">
      <c r="B1222" s="33" t="s">
        <v>45</v>
      </c>
      <c r="C1222" s="34"/>
      <c r="D1222" s="68"/>
      <c r="E1222" s="69"/>
      <c r="F1222" s="69"/>
      <c r="G1222" s="70"/>
      <c r="H1222" s="44"/>
      <c r="I1222" s="32"/>
      <c r="J1222" s="32"/>
    </row>
    <row r="1223" spans="2:10" ht="15.75" hidden="1" customHeight="1" thickBot="1" x14ac:dyDescent="0.3">
      <c r="B1223" s="33" t="s">
        <v>45</v>
      </c>
      <c r="C1223" s="34"/>
      <c r="D1223" s="68"/>
      <c r="E1223" s="69"/>
      <c r="F1223" s="69"/>
      <c r="G1223" s="70"/>
      <c r="H1223" s="44"/>
      <c r="I1223" s="32"/>
      <c r="J1223" s="32"/>
    </row>
    <row r="1224" spans="2:10" ht="15.75" hidden="1" customHeight="1" thickBot="1" x14ac:dyDescent="0.3">
      <c r="B1224" s="33" t="s">
        <v>45</v>
      </c>
      <c r="C1224" s="34"/>
      <c r="D1224" s="68"/>
      <c r="E1224" s="69"/>
      <c r="F1224" s="69"/>
      <c r="G1224" s="70"/>
      <c r="H1224" s="44"/>
      <c r="I1224" s="32"/>
      <c r="J1224" s="32"/>
    </row>
    <row r="1225" spans="2:10" ht="15.75" hidden="1" customHeight="1" thickBot="1" x14ac:dyDescent="0.3">
      <c r="B1225" s="33" t="s">
        <v>45</v>
      </c>
      <c r="C1225" s="34"/>
      <c r="D1225" s="68"/>
      <c r="E1225" s="69"/>
      <c r="F1225" s="69"/>
      <c r="G1225" s="70"/>
      <c r="H1225" s="44"/>
      <c r="I1225" s="32"/>
      <c r="J1225" s="32"/>
    </row>
    <row r="1226" spans="2:10" ht="15.75" hidden="1" customHeight="1" thickBot="1" x14ac:dyDescent="0.3">
      <c r="B1226" s="33" t="s">
        <v>45</v>
      </c>
      <c r="C1226" s="34"/>
      <c r="D1226" s="68"/>
      <c r="E1226" s="69"/>
      <c r="F1226" s="69"/>
      <c r="G1226" s="70"/>
      <c r="H1226" s="44"/>
      <c r="I1226" s="32"/>
      <c r="J1226" s="32"/>
    </row>
    <row r="1227" spans="2:10" ht="15.75" hidden="1" customHeight="1" thickBot="1" x14ac:dyDescent="0.3">
      <c r="B1227" s="33" t="s">
        <v>45</v>
      </c>
      <c r="C1227" s="34"/>
      <c r="D1227" s="68"/>
      <c r="E1227" s="69"/>
      <c r="F1227" s="69"/>
      <c r="G1227" s="70"/>
      <c r="H1227" s="44"/>
      <c r="I1227" s="32"/>
      <c r="J1227" s="32"/>
    </row>
    <row r="1228" spans="2:10" ht="15.75" hidden="1" customHeight="1" thickBot="1" x14ac:dyDescent="0.3">
      <c r="B1228" s="33" t="s">
        <v>45</v>
      </c>
      <c r="C1228" s="34"/>
      <c r="D1228" s="68"/>
      <c r="E1228" s="69"/>
      <c r="F1228" s="69"/>
      <c r="G1228" s="70"/>
      <c r="H1228" s="44"/>
      <c r="I1228" s="32"/>
      <c r="J1228" s="32"/>
    </row>
    <row r="1229" spans="2:10" ht="15.75" hidden="1" customHeight="1" thickBot="1" x14ac:dyDescent="0.3">
      <c r="B1229" s="33" t="s">
        <v>45</v>
      </c>
      <c r="C1229" s="34"/>
      <c r="D1229" s="68"/>
      <c r="E1229" s="69"/>
      <c r="F1229" s="69"/>
      <c r="G1229" s="70"/>
      <c r="H1229" s="44"/>
      <c r="I1229" s="32"/>
      <c r="J1229" s="32"/>
    </row>
    <row r="1230" spans="2:10" ht="15.75" hidden="1" customHeight="1" thickBot="1" x14ac:dyDescent="0.3">
      <c r="B1230" s="33" t="s">
        <v>45</v>
      </c>
      <c r="C1230" s="34"/>
      <c r="D1230" s="68"/>
      <c r="E1230" s="69"/>
      <c r="F1230" s="69"/>
      <c r="G1230" s="70"/>
      <c r="H1230" s="44"/>
      <c r="I1230" s="32"/>
      <c r="J1230" s="32"/>
    </row>
    <row r="1231" spans="2:10" ht="15.75" hidden="1" customHeight="1" thickBot="1" x14ac:dyDescent="0.3">
      <c r="B1231" s="33" t="s">
        <v>45</v>
      </c>
      <c r="C1231" s="34"/>
      <c r="D1231" s="68"/>
      <c r="E1231" s="69"/>
      <c r="F1231" s="69"/>
      <c r="G1231" s="70"/>
      <c r="H1231" s="44"/>
      <c r="I1231" s="32"/>
      <c r="J1231" s="32"/>
    </row>
    <row r="1232" spans="2:10" ht="15.75" hidden="1" customHeight="1" thickBot="1" x14ac:dyDescent="0.3">
      <c r="B1232" s="33" t="s">
        <v>45</v>
      </c>
      <c r="C1232" s="34"/>
      <c r="D1232" s="68"/>
      <c r="E1232" s="69"/>
      <c r="F1232" s="69"/>
      <c r="G1232" s="70"/>
      <c r="H1232" s="44"/>
      <c r="I1232" s="32"/>
      <c r="J1232" s="32"/>
    </row>
    <row r="1233" spans="2:10" ht="15.75" hidden="1" customHeight="1" thickBot="1" x14ac:dyDescent="0.3">
      <c r="B1233" s="33" t="s">
        <v>45</v>
      </c>
      <c r="C1233" s="34"/>
      <c r="D1233" s="68"/>
      <c r="E1233" s="69"/>
      <c r="F1233" s="69"/>
      <c r="G1233" s="70"/>
      <c r="H1233" s="44"/>
      <c r="I1233" s="32"/>
      <c r="J1233" s="32"/>
    </row>
    <row r="1234" spans="2:10" ht="15.75" hidden="1" customHeight="1" thickBot="1" x14ac:dyDescent="0.3">
      <c r="B1234" s="33" t="s">
        <v>45</v>
      </c>
      <c r="C1234" s="34"/>
      <c r="D1234" s="68"/>
      <c r="E1234" s="69"/>
      <c r="F1234" s="69"/>
      <c r="G1234" s="70"/>
      <c r="H1234" s="44"/>
      <c r="I1234" s="32"/>
      <c r="J1234" s="32"/>
    </row>
    <row r="1235" spans="2:10" ht="15.75" hidden="1" customHeight="1" thickBot="1" x14ac:dyDescent="0.3">
      <c r="B1235" s="33" t="s">
        <v>45</v>
      </c>
      <c r="C1235" s="34"/>
      <c r="D1235" s="68"/>
      <c r="E1235" s="69"/>
      <c r="F1235" s="69"/>
      <c r="G1235" s="70"/>
      <c r="H1235" s="44"/>
      <c r="I1235" s="32"/>
      <c r="J1235" s="32"/>
    </row>
    <row r="1236" spans="2:10" ht="15.75" hidden="1" customHeight="1" thickBot="1" x14ac:dyDescent="0.3">
      <c r="B1236" s="33" t="s">
        <v>45</v>
      </c>
      <c r="C1236" s="34"/>
      <c r="D1236" s="68"/>
      <c r="E1236" s="69"/>
      <c r="F1236" s="69"/>
      <c r="G1236" s="70"/>
      <c r="H1236" s="44"/>
      <c r="I1236" s="32"/>
      <c r="J1236" s="32"/>
    </row>
    <row r="1237" spans="2:10" ht="15.75" hidden="1" customHeight="1" thickBot="1" x14ac:dyDescent="0.3">
      <c r="B1237" s="33" t="s">
        <v>45</v>
      </c>
      <c r="C1237" s="34"/>
      <c r="D1237" s="68"/>
      <c r="E1237" s="69"/>
      <c r="F1237" s="69"/>
      <c r="G1237" s="70"/>
      <c r="H1237" s="44"/>
      <c r="I1237" s="32"/>
      <c r="J1237" s="32"/>
    </row>
    <row r="1238" spans="2:10" ht="15.75" hidden="1" customHeight="1" thickBot="1" x14ac:dyDescent="0.3">
      <c r="B1238" s="33" t="s">
        <v>45</v>
      </c>
      <c r="C1238" s="34"/>
      <c r="D1238" s="68"/>
      <c r="E1238" s="69"/>
      <c r="F1238" s="69"/>
      <c r="G1238" s="70"/>
      <c r="H1238" s="44"/>
      <c r="I1238" s="32"/>
      <c r="J1238" s="32"/>
    </row>
    <row r="1239" spans="2:10" ht="15.75" hidden="1" customHeight="1" thickBot="1" x14ac:dyDescent="0.3">
      <c r="B1239" s="33" t="s">
        <v>45</v>
      </c>
      <c r="C1239" s="34"/>
      <c r="D1239" s="68"/>
      <c r="E1239" s="69"/>
      <c r="F1239" s="69"/>
      <c r="G1239" s="70"/>
      <c r="H1239" s="44"/>
      <c r="I1239" s="32"/>
      <c r="J1239" s="32"/>
    </row>
    <row r="1240" spans="2:10" ht="15.75" hidden="1" customHeight="1" thickBot="1" x14ac:dyDescent="0.3">
      <c r="B1240" s="33" t="s">
        <v>45</v>
      </c>
      <c r="C1240" s="34"/>
      <c r="D1240" s="68"/>
      <c r="E1240" s="69"/>
      <c r="F1240" s="69"/>
      <c r="G1240" s="70"/>
      <c r="H1240" s="44"/>
      <c r="I1240" s="32"/>
      <c r="J1240" s="32"/>
    </row>
    <row r="1241" spans="2:10" ht="15.75" hidden="1" customHeight="1" thickBot="1" x14ac:dyDescent="0.3">
      <c r="B1241" s="33" t="s">
        <v>45</v>
      </c>
      <c r="C1241" s="34"/>
      <c r="D1241" s="68"/>
      <c r="E1241" s="69"/>
      <c r="F1241" s="69"/>
      <c r="G1241" s="70"/>
      <c r="H1241" s="44"/>
      <c r="I1241" s="32"/>
      <c r="J1241" s="32"/>
    </row>
    <row r="1242" spans="2:10" ht="15.75" hidden="1" customHeight="1" thickBot="1" x14ac:dyDescent="0.3">
      <c r="B1242" s="33" t="s">
        <v>45</v>
      </c>
      <c r="C1242" s="34"/>
      <c r="D1242" s="68"/>
      <c r="E1242" s="69"/>
      <c r="F1242" s="69"/>
      <c r="G1242" s="70"/>
      <c r="H1242" s="44"/>
      <c r="I1242" s="32"/>
      <c r="J1242" s="32"/>
    </row>
    <row r="1243" spans="2:10" ht="15.75" hidden="1" customHeight="1" thickBot="1" x14ac:dyDescent="0.3">
      <c r="B1243" s="33" t="s">
        <v>45</v>
      </c>
      <c r="C1243" s="34"/>
      <c r="D1243" s="68"/>
      <c r="E1243" s="69"/>
      <c r="F1243" s="69"/>
      <c r="G1243" s="70"/>
      <c r="H1243" s="44"/>
      <c r="I1243" s="32"/>
      <c r="J1243" s="32"/>
    </row>
    <row r="1244" spans="2:10" ht="15.75" hidden="1" customHeight="1" thickBot="1" x14ac:dyDescent="0.3">
      <c r="B1244" s="33" t="s">
        <v>45</v>
      </c>
      <c r="C1244" s="34"/>
      <c r="D1244" s="68"/>
      <c r="E1244" s="69"/>
      <c r="F1244" s="69"/>
      <c r="G1244" s="70"/>
      <c r="H1244" s="44"/>
      <c r="I1244" s="32"/>
      <c r="J1244" s="32"/>
    </row>
    <row r="1245" spans="2:10" ht="15.75" hidden="1" customHeight="1" thickBot="1" x14ac:dyDescent="0.3">
      <c r="B1245" s="33" t="s">
        <v>45</v>
      </c>
      <c r="C1245" s="34"/>
      <c r="D1245" s="68"/>
      <c r="E1245" s="69"/>
      <c r="F1245" s="69"/>
      <c r="G1245" s="70"/>
      <c r="H1245" s="44"/>
      <c r="I1245" s="32"/>
      <c r="J1245" s="32"/>
    </row>
    <row r="1246" spans="2:10" ht="15.75" hidden="1" customHeight="1" thickBot="1" x14ac:dyDescent="0.3">
      <c r="B1246" s="33" t="s">
        <v>45</v>
      </c>
      <c r="C1246" s="34"/>
      <c r="D1246" s="68"/>
      <c r="E1246" s="69"/>
      <c r="F1246" s="69"/>
      <c r="G1246" s="70"/>
      <c r="H1246" s="44"/>
      <c r="I1246" s="32"/>
      <c r="J1246" s="32"/>
    </row>
    <row r="1247" spans="2:10" ht="15.75" hidden="1" customHeight="1" thickBot="1" x14ac:dyDescent="0.3">
      <c r="B1247" s="33" t="s">
        <v>45</v>
      </c>
      <c r="C1247" s="34"/>
      <c r="D1247" s="68"/>
      <c r="E1247" s="69"/>
      <c r="F1247" s="69"/>
      <c r="G1247" s="70"/>
      <c r="H1247" s="44"/>
      <c r="I1247" s="32"/>
      <c r="J1247" s="32"/>
    </row>
    <row r="1248" spans="2:10" ht="15.75" hidden="1" customHeight="1" thickBot="1" x14ac:dyDescent="0.3">
      <c r="B1248" s="33" t="s">
        <v>45</v>
      </c>
      <c r="C1248" s="34"/>
      <c r="D1248" s="68"/>
      <c r="E1248" s="69"/>
      <c r="F1248" s="69"/>
      <c r="G1248" s="70"/>
      <c r="H1248" s="44"/>
      <c r="I1248" s="32"/>
      <c r="J1248" s="32"/>
    </row>
    <row r="1249" spans="2:10" ht="15.75" hidden="1" customHeight="1" thickBot="1" x14ac:dyDescent="0.3">
      <c r="B1249" s="33" t="s">
        <v>45</v>
      </c>
      <c r="C1249" s="34"/>
      <c r="D1249" s="68"/>
      <c r="E1249" s="69"/>
      <c r="F1249" s="69"/>
      <c r="G1249" s="70"/>
      <c r="H1249" s="44"/>
      <c r="I1249" s="32"/>
      <c r="J1249" s="32"/>
    </row>
    <row r="1250" spans="2:10" ht="15.75" hidden="1" customHeight="1" thickBot="1" x14ac:dyDescent="0.3">
      <c r="B1250" s="33" t="s">
        <v>45</v>
      </c>
      <c r="C1250" s="34"/>
      <c r="D1250" s="68"/>
      <c r="E1250" s="69"/>
      <c r="F1250" s="69"/>
      <c r="G1250" s="70"/>
      <c r="H1250" s="44"/>
      <c r="I1250" s="32"/>
      <c r="J1250" s="32"/>
    </row>
    <row r="1251" spans="2:10" ht="15.75" hidden="1" customHeight="1" thickBot="1" x14ac:dyDescent="0.3">
      <c r="B1251" s="33" t="s">
        <v>45</v>
      </c>
      <c r="C1251" s="34"/>
      <c r="D1251" s="68"/>
      <c r="E1251" s="69"/>
      <c r="F1251" s="69"/>
      <c r="G1251" s="70"/>
      <c r="H1251" s="44"/>
      <c r="I1251" s="32"/>
      <c r="J1251" s="32"/>
    </row>
    <row r="1252" spans="2:10" ht="15.75" hidden="1" customHeight="1" thickBot="1" x14ac:dyDescent="0.3">
      <c r="B1252" s="33" t="s">
        <v>45</v>
      </c>
      <c r="C1252" s="34"/>
      <c r="D1252" s="68"/>
      <c r="E1252" s="69"/>
      <c r="F1252" s="69"/>
      <c r="G1252" s="70"/>
      <c r="H1252" s="44"/>
      <c r="I1252" s="32"/>
      <c r="J1252" s="32"/>
    </row>
    <row r="1253" spans="2:10" ht="15.75" hidden="1" customHeight="1" thickBot="1" x14ac:dyDescent="0.3">
      <c r="B1253" s="33" t="s">
        <v>45</v>
      </c>
      <c r="C1253" s="34"/>
      <c r="D1253" s="68"/>
      <c r="E1253" s="69"/>
      <c r="F1253" s="69"/>
      <c r="G1253" s="70"/>
      <c r="H1253" s="44"/>
      <c r="I1253" s="32"/>
      <c r="J1253" s="32"/>
    </row>
    <row r="1254" spans="2:10" ht="15.75" hidden="1" customHeight="1" thickBot="1" x14ac:dyDescent="0.3">
      <c r="B1254" s="33" t="s">
        <v>45</v>
      </c>
      <c r="C1254" s="34"/>
      <c r="D1254" s="68"/>
      <c r="E1254" s="69"/>
      <c r="F1254" s="69"/>
      <c r="G1254" s="70"/>
      <c r="H1254" s="44"/>
      <c r="I1254" s="32"/>
      <c r="J1254" s="32"/>
    </row>
    <row r="1255" spans="2:10" ht="15.75" hidden="1" customHeight="1" thickBot="1" x14ac:dyDescent="0.3">
      <c r="B1255" s="33" t="s">
        <v>45</v>
      </c>
      <c r="C1255" s="34"/>
      <c r="D1255" s="68"/>
      <c r="E1255" s="69"/>
      <c r="F1255" s="69"/>
      <c r="G1255" s="70"/>
      <c r="H1255" s="44"/>
      <c r="I1255" s="32"/>
      <c r="J1255" s="32"/>
    </row>
    <row r="1256" spans="2:10" ht="15.75" hidden="1" customHeight="1" thickBot="1" x14ac:dyDescent="0.3">
      <c r="B1256" s="33" t="s">
        <v>45</v>
      </c>
      <c r="C1256" s="34"/>
      <c r="D1256" s="68"/>
      <c r="E1256" s="69"/>
      <c r="F1256" s="69"/>
      <c r="G1256" s="70"/>
      <c r="H1256" s="44"/>
      <c r="I1256" s="32"/>
      <c r="J1256" s="32"/>
    </row>
    <row r="1257" spans="2:10" ht="15.75" hidden="1" customHeight="1" thickBot="1" x14ac:dyDescent="0.3">
      <c r="B1257" s="33" t="s">
        <v>45</v>
      </c>
      <c r="C1257" s="34"/>
      <c r="D1257" s="68"/>
      <c r="E1257" s="69"/>
      <c r="F1257" s="69"/>
      <c r="G1257" s="70"/>
      <c r="H1257" s="44"/>
      <c r="I1257" s="32"/>
      <c r="J1257" s="32"/>
    </row>
    <row r="1258" spans="2:10" ht="15.75" hidden="1" customHeight="1" thickBot="1" x14ac:dyDescent="0.3">
      <c r="B1258" s="33" t="s">
        <v>45</v>
      </c>
      <c r="C1258" s="34"/>
      <c r="D1258" s="68"/>
      <c r="E1258" s="69"/>
      <c r="F1258" s="69"/>
      <c r="G1258" s="70"/>
      <c r="H1258" s="44"/>
      <c r="I1258" s="32"/>
      <c r="J1258" s="32"/>
    </row>
    <row r="1259" spans="2:10" ht="15.75" hidden="1" customHeight="1" thickBot="1" x14ac:dyDescent="0.3">
      <c r="B1259" s="33" t="s">
        <v>45</v>
      </c>
      <c r="C1259" s="34"/>
      <c r="D1259" s="68"/>
      <c r="E1259" s="69"/>
      <c r="F1259" s="69"/>
      <c r="G1259" s="70"/>
      <c r="H1259" s="44"/>
      <c r="I1259" s="32"/>
      <c r="J1259" s="32"/>
    </row>
    <row r="1260" spans="2:10" ht="15.75" hidden="1" customHeight="1" thickBot="1" x14ac:dyDescent="0.3">
      <c r="B1260" s="33" t="s">
        <v>45</v>
      </c>
      <c r="C1260" s="34"/>
      <c r="D1260" s="68"/>
      <c r="E1260" s="69"/>
      <c r="F1260" s="69"/>
      <c r="G1260" s="70"/>
      <c r="H1260" s="44"/>
      <c r="I1260" s="32"/>
      <c r="J1260" s="32"/>
    </row>
    <row r="1261" spans="2:10" ht="15.75" hidden="1" customHeight="1" thickBot="1" x14ac:dyDescent="0.3">
      <c r="B1261" s="33" t="s">
        <v>45</v>
      </c>
      <c r="C1261" s="34"/>
      <c r="D1261" s="68"/>
      <c r="E1261" s="69"/>
      <c r="F1261" s="69"/>
      <c r="G1261" s="70"/>
      <c r="H1261" s="44"/>
      <c r="I1261" s="32"/>
      <c r="J1261" s="32"/>
    </row>
    <row r="1262" spans="2:10" ht="15.75" hidden="1" customHeight="1" thickBot="1" x14ac:dyDescent="0.3">
      <c r="B1262" s="33" t="s">
        <v>45</v>
      </c>
      <c r="C1262" s="34"/>
      <c r="D1262" s="68"/>
      <c r="E1262" s="69"/>
      <c r="F1262" s="69"/>
      <c r="G1262" s="70"/>
      <c r="H1262" s="44"/>
      <c r="I1262" s="32"/>
      <c r="J1262" s="32"/>
    </row>
    <row r="1263" spans="2:10" ht="15.75" hidden="1" customHeight="1" thickBot="1" x14ac:dyDescent="0.3">
      <c r="B1263" s="33" t="s">
        <v>45</v>
      </c>
      <c r="C1263" s="34"/>
      <c r="D1263" s="68"/>
      <c r="E1263" s="69"/>
      <c r="F1263" s="69"/>
      <c r="G1263" s="70"/>
      <c r="H1263" s="44"/>
      <c r="I1263" s="32"/>
      <c r="J1263" s="32"/>
    </row>
    <row r="1264" spans="2:10" ht="15.75" hidden="1" customHeight="1" thickBot="1" x14ac:dyDescent="0.3">
      <c r="B1264" s="33" t="s">
        <v>45</v>
      </c>
      <c r="C1264" s="34"/>
      <c r="D1264" s="68"/>
      <c r="E1264" s="69"/>
      <c r="F1264" s="69"/>
      <c r="G1264" s="70"/>
      <c r="H1264" s="44"/>
      <c r="I1264" s="32"/>
      <c r="J1264" s="32"/>
    </row>
    <row r="1265" spans="2:10" ht="15.75" hidden="1" customHeight="1" thickBot="1" x14ac:dyDescent="0.3">
      <c r="B1265" s="33" t="s">
        <v>45</v>
      </c>
      <c r="C1265" s="34"/>
      <c r="D1265" s="68"/>
      <c r="E1265" s="69"/>
      <c r="F1265" s="69"/>
      <c r="G1265" s="70"/>
      <c r="H1265" s="44"/>
      <c r="I1265" s="32"/>
      <c r="J1265" s="32"/>
    </row>
    <row r="1266" spans="2:10" ht="15.75" hidden="1" customHeight="1" thickBot="1" x14ac:dyDescent="0.3">
      <c r="B1266" s="33" t="s">
        <v>45</v>
      </c>
      <c r="C1266" s="34"/>
      <c r="D1266" s="68"/>
      <c r="E1266" s="69"/>
      <c r="F1266" s="69"/>
      <c r="G1266" s="70"/>
      <c r="H1266" s="44"/>
      <c r="I1266" s="32"/>
      <c r="J1266" s="32"/>
    </row>
    <row r="1267" spans="2:10" ht="15.75" hidden="1" customHeight="1" thickBot="1" x14ac:dyDescent="0.3">
      <c r="B1267" s="33" t="s">
        <v>45</v>
      </c>
      <c r="C1267" s="34"/>
      <c r="D1267" s="68"/>
      <c r="E1267" s="69"/>
      <c r="F1267" s="69"/>
      <c r="G1267" s="70"/>
      <c r="H1267" s="44"/>
      <c r="I1267" s="32"/>
      <c r="J1267" s="32"/>
    </row>
    <row r="1268" spans="2:10" ht="15.75" hidden="1" customHeight="1" thickBot="1" x14ac:dyDescent="0.3">
      <c r="B1268" s="33" t="s">
        <v>45</v>
      </c>
      <c r="C1268" s="34"/>
      <c r="D1268" s="68"/>
      <c r="E1268" s="69"/>
      <c r="F1268" s="69"/>
      <c r="G1268" s="70"/>
      <c r="H1268" s="44"/>
      <c r="I1268" s="32"/>
      <c r="J1268" s="32"/>
    </row>
    <row r="1269" spans="2:10" ht="15.75" hidden="1" customHeight="1" thickBot="1" x14ac:dyDescent="0.3">
      <c r="B1269" s="33" t="s">
        <v>45</v>
      </c>
      <c r="C1269" s="34"/>
      <c r="D1269" s="68"/>
      <c r="E1269" s="69"/>
      <c r="F1269" s="69"/>
      <c r="G1269" s="70"/>
      <c r="H1269" s="44"/>
      <c r="I1269" s="32"/>
      <c r="J1269" s="32"/>
    </row>
    <row r="1270" spans="2:10" ht="15.75" hidden="1" customHeight="1" thickBot="1" x14ac:dyDescent="0.3">
      <c r="B1270" s="33" t="s">
        <v>45</v>
      </c>
      <c r="C1270" s="34"/>
      <c r="D1270" s="68"/>
      <c r="E1270" s="69"/>
      <c r="F1270" s="69"/>
      <c r="G1270" s="70"/>
      <c r="H1270" s="44"/>
      <c r="I1270" s="32"/>
      <c r="J1270" s="32"/>
    </row>
    <row r="1271" spans="2:10" ht="15.75" hidden="1" customHeight="1" thickBot="1" x14ac:dyDescent="0.3">
      <c r="B1271" s="33" t="s">
        <v>45</v>
      </c>
      <c r="C1271" s="34"/>
      <c r="D1271" s="68"/>
      <c r="E1271" s="69"/>
      <c r="F1271" s="69"/>
      <c r="G1271" s="70"/>
      <c r="H1271" s="44"/>
      <c r="I1271" s="32"/>
      <c r="J1271" s="32"/>
    </row>
    <row r="1272" spans="2:10" ht="15.75" hidden="1" customHeight="1" thickBot="1" x14ac:dyDescent="0.3">
      <c r="B1272" s="33" t="s">
        <v>45</v>
      </c>
      <c r="C1272" s="34"/>
      <c r="D1272" s="68"/>
      <c r="E1272" s="69"/>
      <c r="F1272" s="69"/>
      <c r="G1272" s="70"/>
      <c r="H1272" s="44"/>
      <c r="I1272" s="32"/>
      <c r="J1272" s="32"/>
    </row>
    <row r="1273" spans="2:10" ht="15.75" hidden="1" customHeight="1" thickBot="1" x14ac:dyDescent="0.3">
      <c r="B1273" s="33" t="s">
        <v>45</v>
      </c>
      <c r="C1273" s="34"/>
      <c r="D1273" s="68"/>
      <c r="E1273" s="69"/>
      <c r="F1273" s="69"/>
      <c r="G1273" s="70"/>
      <c r="H1273" s="44"/>
      <c r="I1273" s="32"/>
      <c r="J1273" s="32"/>
    </row>
    <row r="1274" spans="2:10" ht="15.75" hidden="1" customHeight="1" thickBot="1" x14ac:dyDescent="0.3">
      <c r="B1274" s="33" t="s">
        <v>45</v>
      </c>
      <c r="C1274" s="34"/>
      <c r="D1274" s="68"/>
      <c r="E1274" s="69"/>
      <c r="F1274" s="69"/>
      <c r="G1274" s="70"/>
      <c r="H1274" s="44"/>
      <c r="I1274" s="32"/>
      <c r="J1274" s="32"/>
    </row>
    <row r="1275" spans="2:10" ht="15.75" hidden="1" customHeight="1" thickBot="1" x14ac:dyDescent="0.3">
      <c r="B1275" s="33" t="s">
        <v>45</v>
      </c>
      <c r="C1275" s="34"/>
      <c r="D1275" s="68"/>
      <c r="E1275" s="69"/>
      <c r="F1275" s="69"/>
      <c r="G1275" s="70"/>
      <c r="H1275" s="44"/>
      <c r="I1275" s="32"/>
      <c r="J1275" s="32"/>
    </row>
    <row r="1276" spans="2:10" ht="15.75" hidden="1" customHeight="1" thickBot="1" x14ac:dyDescent="0.3">
      <c r="B1276" s="33" t="s">
        <v>45</v>
      </c>
      <c r="C1276" s="34"/>
      <c r="D1276" s="68"/>
      <c r="E1276" s="69"/>
      <c r="F1276" s="69"/>
      <c r="G1276" s="70"/>
      <c r="H1276" s="44"/>
      <c r="I1276" s="32"/>
      <c r="J1276" s="32"/>
    </row>
    <row r="1277" spans="2:10" ht="15.75" hidden="1" customHeight="1" thickBot="1" x14ac:dyDescent="0.3">
      <c r="B1277" s="33" t="s">
        <v>45</v>
      </c>
      <c r="C1277" s="34"/>
      <c r="D1277" s="68"/>
      <c r="E1277" s="69"/>
      <c r="F1277" s="69"/>
      <c r="G1277" s="70"/>
      <c r="H1277" s="44"/>
      <c r="I1277" s="32"/>
      <c r="J1277" s="32"/>
    </row>
    <row r="1278" spans="2:10" ht="15.75" hidden="1" customHeight="1" thickBot="1" x14ac:dyDescent="0.3">
      <c r="B1278" s="33" t="s">
        <v>45</v>
      </c>
      <c r="C1278" s="34"/>
      <c r="D1278" s="68"/>
      <c r="E1278" s="69"/>
      <c r="F1278" s="69"/>
      <c r="G1278" s="70"/>
      <c r="H1278" s="44"/>
      <c r="I1278" s="32"/>
      <c r="J1278" s="32"/>
    </row>
    <row r="1279" spans="2:10" ht="15.75" hidden="1" customHeight="1" thickBot="1" x14ac:dyDescent="0.3">
      <c r="B1279" s="33" t="s">
        <v>45</v>
      </c>
      <c r="C1279" s="34"/>
      <c r="D1279" s="68"/>
      <c r="E1279" s="69"/>
      <c r="F1279" s="69"/>
      <c r="G1279" s="70"/>
      <c r="H1279" s="44"/>
      <c r="I1279" s="32"/>
      <c r="J1279" s="32"/>
    </row>
    <row r="1280" spans="2:10" ht="15.75" hidden="1" customHeight="1" thickBot="1" x14ac:dyDescent="0.3">
      <c r="B1280" s="33" t="s">
        <v>45</v>
      </c>
      <c r="C1280" s="34"/>
      <c r="D1280" s="68"/>
      <c r="E1280" s="69"/>
      <c r="F1280" s="69"/>
      <c r="G1280" s="70"/>
      <c r="H1280" s="44"/>
      <c r="I1280" s="32"/>
      <c r="J1280" s="32"/>
    </row>
    <row r="1281" spans="2:10" ht="15.75" hidden="1" customHeight="1" thickBot="1" x14ac:dyDescent="0.3">
      <c r="B1281" s="33" t="s">
        <v>45</v>
      </c>
      <c r="C1281" s="34"/>
      <c r="D1281" s="68"/>
      <c r="E1281" s="69"/>
      <c r="F1281" s="69"/>
      <c r="G1281" s="70"/>
      <c r="H1281" s="44"/>
      <c r="I1281" s="32"/>
      <c r="J1281" s="32"/>
    </row>
    <row r="1282" spans="2:10" ht="15.75" hidden="1" customHeight="1" thickBot="1" x14ac:dyDescent="0.3">
      <c r="B1282" s="33" t="s">
        <v>45</v>
      </c>
      <c r="C1282" s="34"/>
      <c r="D1282" s="68"/>
      <c r="E1282" s="69"/>
      <c r="F1282" s="69"/>
      <c r="G1282" s="70"/>
      <c r="H1282" s="44"/>
      <c r="I1282" s="32"/>
      <c r="J1282" s="32"/>
    </row>
    <row r="1283" spans="2:10" ht="15.75" hidden="1" customHeight="1" thickBot="1" x14ac:dyDescent="0.3">
      <c r="B1283" s="33" t="s">
        <v>45</v>
      </c>
      <c r="C1283" s="34"/>
      <c r="D1283" s="68"/>
      <c r="E1283" s="69"/>
      <c r="F1283" s="69"/>
      <c r="G1283" s="70"/>
      <c r="H1283" s="44"/>
      <c r="I1283" s="32"/>
      <c r="J1283" s="32"/>
    </row>
    <row r="1284" spans="2:10" ht="15.75" hidden="1" customHeight="1" thickBot="1" x14ac:dyDescent="0.3">
      <c r="B1284" s="33" t="s">
        <v>45</v>
      </c>
      <c r="C1284" s="34"/>
      <c r="D1284" s="68"/>
      <c r="E1284" s="69"/>
      <c r="F1284" s="69"/>
      <c r="G1284" s="70"/>
      <c r="H1284" s="44"/>
      <c r="I1284" s="32"/>
      <c r="J1284" s="32"/>
    </row>
    <row r="1285" spans="2:10" ht="15.75" hidden="1" customHeight="1" thickBot="1" x14ac:dyDescent="0.3">
      <c r="B1285" s="33" t="s">
        <v>45</v>
      </c>
      <c r="C1285" s="34"/>
      <c r="D1285" s="68"/>
      <c r="E1285" s="69"/>
      <c r="F1285" s="69"/>
      <c r="G1285" s="70"/>
      <c r="H1285" s="44"/>
      <c r="I1285" s="32"/>
      <c r="J1285" s="32"/>
    </row>
    <row r="1286" spans="2:10" ht="15.75" hidden="1" customHeight="1" thickBot="1" x14ac:dyDescent="0.3">
      <c r="B1286" s="33" t="s">
        <v>45</v>
      </c>
      <c r="C1286" s="34"/>
      <c r="D1286" s="68"/>
      <c r="E1286" s="69"/>
      <c r="F1286" s="69"/>
      <c r="G1286" s="70"/>
      <c r="H1286" s="44"/>
      <c r="I1286" s="32"/>
      <c r="J1286" s="32"/>
    </row>
    <row r="1287" spans="2:10" ht="15.75" hidden="1" customHeight="1" thickBot="1" x14ac:dyDescent="0.3">
      <c r="B1287" s="33" t="s">
        <v>45</v>
      </c>
      <c r="C1287" s="34"/>
      <c r="D1287" s="68"/>
      <c r="E1287" s="69"/>
      <c r="F1287" s="69"/>
      <c r="G1287" s="70"/>
      <c r="H1287" s="44"/>
      <c r="I1287" s="32"/>
      <c r="J1287" s="32"/>
    </row>
    <row r="1288" spans="2:10" ht="15.75" hidden="1" customHeight="1" thickBot="1" x14ac:dyDescent="0.3">
      <c r="B1288" s="33" t="s">
        <v>45</v>
      </c>
      <c r="C1288" s="34"/>
      <c r="D1288" s="68"/>
      <c r="E1288" s="69"/>
      <c r="F1288" s="69"/>
      <c r="G1288" s="70"/>
      <c r="H1288" s="44"/>
      <c r="I1288" s="32"/>
      <c r="J1288" s="32"/>
    </row>
    <row r="1289" spans="2:10" ht="15.75" hidden="1" customHeight="1" thickBot="1" x14ac:dyDescent="0.3">
      <c r="B1289" s="33" t="s">
        <v>45</v>
      </c>
      <c r="C1289" s="34"/>
      <c r="D1289" s="68"/>
      <c r="E1289" s="69"/>
      <c r="F1289" s="69"/>
      <c r="G1289" s="70"/>
      <c r="H1289" s="44"/>
      <c r="I1289" s="32"/>
      <c r="J1289" s="32"/>
    </row>
    <row r="1290" spans="2:10" ht="15.75" hidden="1" customHeight="1" thickBot="1" x14ac:dyDescent="0.3">
      <c r="B1290" s="33" t="s">
        <v>45</v>
      </c>
      <c r="C1290" s="34"/>
      <c r="D1290" s="68"/>
      <c r="E1290" s="69"/>
      <c r="F1290" s="69"/>
      <c r="G1290" s="70"/>
      <c r="H1290" s="44"/>
      <c r="I1290" s="32"/>
      <c r="J1290" s="32"/>
    </row>
    <row r="1291" spans="2:10" ht="15.75" hidden="1" customHeight="1" thickBot="1" x14ac:dyDescent="0.3">
      <c r="B1291" s="33" t="s">
        <v>45</v>
      </c>
      <c r="C1291" s="34"/>
      <c r="D1291" s="68"/>
      <c r="E1291" s="69"/>
      <c r="F1291" s="69"/>
      <c r="G1291" s="70"/>
      <c r="H1291" s="44"/>
      <c r="I1291" s="32"/>
      <c r="J1291" s="32"/>
    </row>
    <row r="1292" spans="2:10" ht="15.75" hidden="1" customHeight="1" thickBot="1" x14ac:dyDescent="0.3">
      <c r="B1292" s="33" t="s">
        <v>45</v>
      </c>
      <c r="C1292" s="34"/>
      <c r="D1292" s="68"/>
      <c r="E1292" s="69"/>
      <c r="F1292" s="69"/>
      <c r="G1292" s="70"/>
      <c r="H1292" s="44"/>
      <c r="I1292" s="32"/>
      <c r="J1292" s="32"/>
    </row>
    <row r="1293" spans="2:10" ht="15.75" hidden="1" customHeight="1" thickBot="1" x14ac:dyDescent="0.3">
      <c r="B1293" s="33" t="s">
        <v>45</v>
      </c>
      <c r="C1293" s="34"/>
      <c r="D1293" s="68"/>
      <c r="E1293" s="69"/>
      <c r="F1293" s="69"/>
      <c r="G1293" s="70"/>
      <c r="H1293" s="44"/>
      <c r="I1293" s="32"/>
      <c r="J1293" s="32"/>
    </row>
    <row r="1294" spans="2:10" ht="15.75" hidden="1" customHeight="1" thickBot="1" x14ac:dyDescent="0.3">
      <c r="B1294" s="33" t="s">
        <v>45</v>
      </c>
      <c r="C1294" s="34"/>
      <c r="D1294" s="68"/>
      <c r="E1294" s="69"/>
      <c r="F1294" s="69"/>
      <c r="G1294" s="70"/>
      <c r="H1294" s="44"/>
      <c r="I1294" s="32"/>
      <c r="J1294" s="32"/>
    </row>
    <row r="1295" spans="2:10" ht="15.75" hidden="1" customHeight="1" thickBot="1" x14ac:dyDescent="0.3">
      <c r="B1295" s="33" t="s">
        <v>45</v>
      </c>
      <c r="C1295" s="34"/>
      <c r="D1295" s="68"/>
      <c r="E1295" s="69"/>
      <c r="F1295" s="69"/>
      <c r="G1295" s="70"/>
      <c r="H1295" s="44"/>
      <c r="I1295" s="32"/>
      <c r="J1295" s="32"/>
    </row>
    <row r="1296" spans="2:10" ht="15.75" hidden="1" customHeight="1" thickBot="1" x14ac:dyDescent="0.3">
      <c r="B1296" s="33" t="s">
        <v>45</v>
      </c>
      <c r="C1296" s="34"/>
      <c r="D1296" s="68"/>
      <c r="E1296" s="69"/>
      <c r="F1296" s="69"/>
      <c r="G1296" s="70"/>
      <c r="H1296" s="44"/>
      <c r="I1296" s="32"/>
      <c r="J1296" s="32"/>
    </row>
    <row r="1297" spans="2:10" ht="15.75" hidden="1" customHeight="1" thickBot="1" x14ac:dyDescent="0.3">
      <c r="B1297" s="33" t="s">
        <v>45</v>
      </c>
      <c r="C1297" s="34"/>
      <c r="D1297" s="68"/>
      <c r="E1297" s="69"/>
      <c r="F1297" s="69"/>
      <c r="G1297" s="70"/>
      <c r="H1297" s="44"/>
      <c r="I1297" s="32"/>
      <c r="J1297" s="32"/>
    </row>
    <row r="1298" spans="2:10" ht="15.75" hidden="1" customHeight="1" thickBot="1" x14ac:dyDescent="0.3">
      <c r="B1298" s="33" t="s">
        <v>45</v>
      </c>
      <c r="C1298" s="34"/>
      <c r="D1298" s="68"/>
      <c r="E1298" s="69"/>
      <c r="F1298" s="69"/>
      <c r="G1298" s="70"/>
      <c r="H1298" s="44"/>
      <c r="I1298" s="32"/>
      <c r="J1298" s="32"/>
    </row>
    <row r="1299" spans="2:10" ht="15.75" hidden="1" customHeight="1" thickBot="1" x14ac:dyDescent="0.3">
      <c r="B1299" s="33" t="s">
        <v>45</v>
      </c>
      <c r="C1299" s="34"/>
      <c r="D1299" s="68"/>
      <c r="E1299" s="69"/>
      <c r="F1299" s="69"/>
      <c r="G1299" s="70"/>
      <c r="H1299" s="44"/>
      <c r="I1299" s="32"/>
      <c r="J1299" s="32"/>
    </row>
    <row r="1300" spans="2:10" ht="15.75" hidden="1" customHeight="1" thickBot="1" x14ac:dyDescent="0.3">
      <c r="B1300" s="33" t="s">
        <v>45</v>
      </c>
      <c r="C1300" s="34"/>
      <c r="D1300" s="68"/>
      <c r="E1300" s="69"/>
      <c r="F1300" s="69"/>
      <c r="G1300" s="70"/>
      <c r="H1300" s="44"/>
      <c r="I1300" s="32"/>
      <c r="J1300" s="32"/>
    </row>
    <row r="1301" spans="2:10" ht="15.75" hidden="1" customHeight="1" thickBot="1" x14ac:dyDescent="0.3">
      <c r="B1301" s="33" t="s">
        <v>45</v>
      </c>
      <c r="C1301" s="34"/>
      <c r="D1301" s="68"/>
      <c r="E1301" s="69"/>
      <c r="F1301" s="69"/>
      <c r="G1301" s="70"/>
      <c r="H1301" s="44"/>
      <c r="I1301" s="32"/>
      <c r="J1301" s="32"/>
    </row>
    <row r="1302" spans="2:10" ht="15.75" hidden="1" customHeight="1" thickBot="1" x14ac:dyDescent="0.3">
      <c r="B1302" s="33" t="s">
        <v>45</v>
      </c>
      <c r="C1302" s="34"/>
      <c r="D1302" s="68"/>
      <c r="E1302" s="69"/>
      <c r="F1302" s="69"/>
      <c r="G1302" s="70"/>
      <c r="H1302" s="44"/>
      <c r="I1302" s="32"/>
      <c r="J1302" s="32"/>
    </row>
    <row r="1303" spans="2:10" ht="15.75" hidden="1" customHeight="1" thickBot="1" x14ac:dyDescent="0.3">
      <c r="B1303" s="33" t="s">
        <v>45</v>
      </c>
      <c r="C1303" s="34"/>
      <c r="D1303" s="68"/>
      <c r="E1303" s="69"/>
      <c r="F1303" s="69"/>
      <c r="G1303" s="70"/>
      <c r="H1303" s="44"/>
      <c r="I1303" s="32"/>
      <c r="J1303" s="32"/>
    </row>
    <row r="1304" spans="2:10" ht="15.75" hidden="1" customHeight="1" thickBot="1" x14ac:dyDescent="0.3">
      <c r="B1304" s="33" t="s">
        <v>45</v>
      </c>
      <c r="C1304" s="34"/>
      <c r="D1304" s="68"/>
      <c r="E1304" s="69"/>
      <c r="F1304" s="69"/>
      <c r="G1304" s="70"/>
      <c r="H1304" s="44"/>
      <c r="I1304" s="32"/>
      <c r="J1304" s="32"/>
    </row>
    <row r="1305" spans="2:10" ht="15.75" hidden="1" customHeight="1" thickBot="1" x14ac:dyDescent="0.3">
      <c r="B1305" s="33" t="s">
        <v>45</v>
      </c>
      <c r="C1305" s="34"/>
      <c r="D1305" s="68"/>
      <c r="E1305" s="69"/>
      <c r="F1305" s="69"/>
      <c r="G1305" s="70"/>
      <c r="H1305" s="44"/>
      <c r="I1305" s="32"/>
      <c r="J1305" s="32"/>
    </row>
    <row r="1306" spans="2:10" ht="15.75" hidden="1" customHeight="1" thickBot="1" x14ac:dyDescent="0.3">
      <c r="B1306" s="33" t="s">
        <v>45</v>
      </c>
      <c r="C1306" s="34"/>
      <c r="D1306" s="68"/>
      <c r="E1306" s="69"/>
      <c r="F1306" s="69"/>
      <c r="G1306" s="70"/>
      <c r="H1306" s="44"/>
      <c r="I1306" s="32"/>
      <c r="J1306" s="32"/>
    </row>
    <row r="1307" spans="2:10" ht="15.75" hidden="1" customHeight="1" thickBot="1" x14ac:dyDescent="0.3">
      <c r="B1307" s="33" t="s">
        <v>45</v>
      </c>
      <c r="C1307" s="34"/>
      <c r="D1307" s="68"/>
      <c r="E1307" s="69"/>
      <c r="F1307" s="69"/>
      <c r="G1307" s="70"/>
      <c r="H1307" s="44"/>
      <c r="I1307" s="32"/>
      <c r="J1307" s="32"/>
    </row>
    <row r="1308" spans="2:10" ht="15.75" hidden="1" customHeight="1" thickBot="1" x14ac:dyDescent="0.3">
      <c r="B1308" s="33" t="s">
        <v>45</v>
      </c>
      <c r="C1308" s="34"/>
      <c r="D1308" s="68"/>
      <c r="E1308" s="69"/>
      <c r="F1308" s="69"/>
      <c r="G1308" s="70"/>
      <c r="H1308" s="44"/>
      <c r="I1308" s="32"/>
      <c r="J1308" s="32"/>
    </row>
    <row r="1309" spans="2:10" ht="15.75" hidden="1" customHeight="1" thickBot="1" x14ac:dyDescent="0.3">
      <c r="B1309" s="33" t="s">
        <v>45</v>
      </c>
      <c r="C1309" s="34"/>
      <c r="D1309" s="68"/>
      <c r="E1309" s="69"/>
      <c r="F1309" s="69"/>
      <c r="G1309" s="70"/>
      <c r="H1309" s="44"/>
      <c r="I1309" s="32"/>
      <c r="J1309" s="32"/>
    </row>
    <row r="1310" spans="2:10" ht="15.75" hidden="1" customHeight="1" thickBot="1" x14ac:dyDescent="0.3">
      <c r="B1310" s="33" t="s">
        <v>45</v>
      </c>
      <c r="C1310" s="34"/>
      <c r="D1310" s="68"/>
      <c r="E1310" s="69"/>
      <c r="F1310" s="69"/>
      <c r="G1310" s="70"/>
      <c r="H1310" s="44"/>
      <c r="I1310" s="32"/>
      <c r="J1310" s="32"/>
    </row>
    <row r="1311" spans="2:10" ht="15.75" hidden="1" customHeight="1" thickBot="1" x14ac:dyDescent="0.3">
      <c r="B1311" s="33" t="s">
        <v>45</v>
      </c>
      <c r="C1311" s="34"/>
      <c r="D1311" s="68"/>
      <c r="E1311" s="69"/>
      <c r="F1311" s="69"/>
      <c r="G1311" s="70"/>
      <c r="H1311" s="44"/>
      <c r="I1311" s="32"/>
      <c r="J1311" s="32"/>
    </row>
    <row r="1312" spans="2:10" ht="15.75" hidden="1" customHeight="1" thickBot="1" x14ac:dyDescent="0.3">
      <c r="B1312" s="33" t="s">
        <v>45</v>
      </c>
      <c r="C1312" s="34"/>
      <c r="D1312" s="68"/>
      <c r="E1312" s="69"/>
      <c r="F1312" s="69"/>
      <c r="G1312" s="70"/>
      <c r="H1312" s="44"/>
      <c r="I1312" s="32"/>
      <c r="J1312" s="32"/>
    </row>
    <row r="1313" spans="2:10" ht="15.75" hidden="1" customHeight="1" thickBot="1" x14ac:dyDescent="0.3">
      <c r="B1313" s="33" t="s">
        <v>45</v>
      </c>
      <c r="C1313" s="34"/>
      <c r="D1313" s="68"/>
      <c r="E1313" s="69"/>
      <c r="F1313" s="69"/>
      <c r="G1313" s="70"/>
      <c r="H1313" s="44"/>
      <c r="I1313" s="32"/>
      <c r="J1313" s="32"/>
    </row>
    <row r="1314" spans="2:10" ht="15.75" hidden="1" customHeight="1" thickBot="1" x14ac:dyDescent="0.3">
      <c r="B1314" s="33" t="s">
        <v>45</v>
      </c>
      <c r="C1314" s="34"/>
      <c r="D1314" s="68"/>
      <c r="E1314" s="69"/>
      <c r="F1314" s="69"/>
      <c r="G1314" s="70"/>
      <c r="H1314" s="44"/>
      <c r="I1314" s="32"/>
      <c r="J1314" s="32"/>
    </row>
    <row r="1315" spans="2:10" ht="15.75" hidden="1" customHeight="1" thickBot="1" x14ac:dyDescent="0.3">
      <c r="B1315" s="33" t="s">
        <v>45</v>
      </c>
      <c r="C1315" s="34"/>
      <c r="D1315" s="68"/>
      <c r="E1315" s="69"/>
      <c r="F1315" s="69"/>
      <c r="G1315" s="70"/>
      <c r="H1315" s="44"/>
      <c r="I1315" s="32"/>
      <c r="J1315" s="32"/>
    </row>
    <row r="1316" spans="2:10" ht="15.75" hidden="1" customHeight="1" thickBot="1" x14ac:dyDescent="0.3">
      <c r="B1316" s="33" t="s">
        <v>45</v>
      </c>
      <c r="C1316" s="34"/>
      <c r="D1316" s="68"/>
      <c r="E1316" s="69"/>
      <c r="F1316" s="69"/>
      <c r="G1316" s="70"/>
      <c r="H1316" s="44"/>
      <c r="I1316" s="32"/>
      <c r="J1316" s="32"/>
    </row>
    <row r="1317" spans="2:10" ht="15.75" hidden="1" customHeight="1" thickBot="1" x14ac:dyDescent="0.3">
      <c r="B1317" s="33" t="s">
        <v>45</v>
      </c>
      <c r="C1317" s="34"/>
      <c r="D1317" s="68"/>
      <c r="E1317" s="69"/>
      <c r="F1317" s="69"/>
      <c r="G1317" s="70"/>
      <c r="H1317" s="44"/>
      <c r="I1317" s="32"/>
      <c r="J1317" s="32"/>
    </row>
    <row r="1318" spans="2:10" ht="15.75" hidden="1" customHeight="1" thickBot="1" x14ac:dyDescent="0.3">
      <c r="B1318" s="33" t="s">
        <v>45</v>
      </c>
      <c r="C1318" s="34"/>
      <c r="D1318" s="68"/>
      <c r="E1318" s="69"/>
      <c r="F1318" s="69"/>
      <c r="G1318" s="70"/>
      <c r="H1318" s="44"/>
      <c r="I1318" s="32"/>
      <c r="J1318" s="32"/>
    </row>
    <row r="1319" spans="2:10" ht="15.75" hidden="1" customHeight="1" thickBot="1" x14ac:dyDescent="0.3">
      <c r="B1319" s="33" t="s">
        <v>45</v>
      </c>
      <c r="C1319" s="34"/>
      <c r="D1319" s="68"/>
      <c r="E1319" s="69"/>
      <c r="F1319" s="69"/>
      <c r="G1319" s="70"/>
      <c r="H1319" s="44"/>
      <c r="I1319" s="32"/>
      <c r="J1319" s="32"/>
    </row>
    <row r="1320" spans="2:10" ht="15.75" hidden="1" customHeight="1" thickBot="1" x14ac:dyDescent="0.3">
      <c r="B1320" s="33" t="s">
        <v>45</v>
      </c>
      <c r="C1320" s="34"/>
      <c r="D1320" s="68"/>
      <c r="E1320" s="69"/>
      <c r="F1320" s="69"/>
      <c r="G1320" s="70"/>
      <c r="H1320" s="44"/>
      <c r="I1320" s="32"/>
      <c r="J1320" s="32"/>
    </row>
    <row r="1321" spans="2:10" ht="15.75" hidden="1" customHeight="1" thickBot="1" x14ac:dyDescent="0.3">
      <c r="B1321" s="33" t="s">
        <v>45</v>
      </c>
      <c r="C1321" s="34"/>
      <c r="D1321" s="68"/>
      <c r="E1321" s="69"/>
      <c r="F1321" s="69"/>
      <c r="G1321" s="70"/>
      <c r="H1321" s="44"/>
      <c r="I1321" s="32"/>
      <c r="J1321" s="32"/>
    </row>
    <row r="1322" spans="2:10" ht="15.75" hidden="1" customHeight="1" thickBot="1" x14ac:dyDescent="0.3">
      <c r="B1322" s="33" t="s">
        <v>45</v>
      </c>
      <c r="C1322" s="34"/>
      <c r="D1322" s="68"/>
      <c r="E1322" s="69"/>
      <c r="F1322" s="69"/>
      <c r="G1322" s="70"/>
      <c r="H1322" s="44"/>
      <c r="I1322" s="32"/>
      <c r="J1322" s="32"/>
    </row>
    <row r="1323" spans="2:10" ht="15.75" hidden="1" customHeight="1" thickBot="1" x14ac:dyDescent="0.3">
      <c r="B1323" s="33" t="s">
        <v>45</v>
      </c>
      <c r="C1323" s="34"/>
      <c r="D1323" s="68"/>
      <c r="E1323" s="69"/>
      <c r="F1323" s="69"/>
      <c r="G1323" s="70"/>
      <c r="H1323" s="44"/>
      <c r="I1323" s="32"/>
      <c r="J1323" s="32"/>
    </row>
    <row r="1324" spans="2:10" ht="15.75" hidden="1" customHeight="1" thickBot="1" x14ac:dyDescent="0.3">
      <c r="B1324" s="33" t="s">
        <v>45</v>
      </c>
      <c r="C1324" s="34"/>
      <c r="D1324" s="68"/>
      <c r="E1324" s="69"/>
      <c r="F1324" s="69"/>
      <c r="G1324" s="70"/>
      <c r="H1324" s="44"/>
      <c r="I1324" s="32"/>
      <c r="J1324" s="32"/>
    </row>
    <row r="1325" spans="2:10" ht="15.75" hidden="1" customHeight="1" thickBot="1" x14ac:dyDescent="0.3">
      <c r="B1325" s="33" t="s">
        <v>45</v>
      </c>
      <c r="C1325" s="34"/>
      <c r="D1325" s="68"/>
      <c r="E1325" s="69"/>
      <c r="F1325" s="69"/>
      <c r="G1325" s="70"/>
      <c r="H1325" s="44"/>
      <c r="I1325" s="32"/>
      <c r="J1325" s="32"/>
    </row>
    <row r="1326" spans="2:10" ht="15.75" hidden="1" customHeight="1" thickBot="1" x14ac:dyDescent="0.3">
      <c r="B1326" s="33" t="s">
        <v>45</v>
      </c>
      <c r="C1326" s="34"/>
      <c r="D1326" s="68"/>
      <c r="E1326" s="69"/>
      <c r="F1326" s="69"/>
      <c r="G1326" s="70"/>
      <c r="H1326" s="44"/>
      <c r="I1326" s="32"/>
      <c r="J1326" s="32"/>
    </row>
    <row r="1327" spans="2:10" ht="15.75" hidden="1" customHeight="1" thickBot="1" x14ac:dyDescent="0.3">
      <c r="B1327" s="33" t="s">
        <v>45</v>
      </c>
      <c r="C1327" s="34"/>
      <c r="D1327" s="68"/>
      <c r="E1327" s="69"/>
      <c r="F1327" s="69"/>
      <c r="G1327" s="70"/>
      <c r="H1327" s="44"/>
      <c r="I1327" s="32"/>
      <c r="J1327" s="32"/>
    </row>
    <row r="1328" spans="2:10" ht="15.75" hidden="1" customHeight="1" thickBot="1" x14ac:dyDescent="0.3">
      <c r="B1328" s="33" t="s">
        <v>45</v>
      </c>
      <c r="C1328" s="34"/>
      <c r="D1328" s="68"/>
      <c r="E1328" s="69"/>
      <c r="F1328" s="69"/>
      <c r="G1328" s="70"/>
      <c r="H1328" s="44"/>
      <c r="I1328" s="32"/>
      <c r="J1328" s="32"/>
    </row>
    <row r="1329" spans="2:10" ht="15.75" hidden="1" customHeight="1" thickBot="1" x14ac:dyDescent="0.3">
      <c r="B1329" s="33" t="s">
        <v>45</v>
      </c>
      <c r="C1329" s="34"/>
      <c r="D1329" s="68"/>
      <c r="E1329" s="69"/>
      <c r="F1329" s="69"/>
      <c r="G1329" s="70"/>
      <c r="H1329" s="44"/>
      <c r="I1329" s="32"/>
      <c r="J1329" s="32"/>
    </row>
    <row r="1330" spans="2:10" ht="15.75" hidden="1" customHeight="1" thickBot="1" x14ac:dyDescent="0.3">
      <c r="B1330" s="33" t="s">
        <v>45</v>
      </c>
      <c r="C1330" s="34"/>
      <c r="D1330" s="68"/>
      <c r="E1330" s="69"/>
      <c r="F1330" s="69"/>
      <c r="G1330" s="70"/>
      <c r="H1330" s="44"/>
      <c r="I1330" s="32"/>
      <c r="J1330" s="32"/>
    </row>
    <row r="1331" spans="2:10" ht="15.75" hidden="1" customHeight="1" thickBot="1" x14ac:dyDescent="0.3">
      <c r="B1331" s="33" t="s">
        <v>45</v>
      </c>
      <c r="C1331" s="34"/>
      <c r="D1331" s="68"/>
      <c r="E1331" s="69"/>
      <c r="F1331" s="69"/>
      <c r="G1331" s="70"/>
      <c r="H1331" s="44"/>
      <c r="I1331" s="32"/>
      <c r="J1331" s="32"/>
    </row>
    <row r="1332" spans="2:10" ht="15.75" hidden="1" customHeight="1" thickBot="1" x14ac:dyDescent="0.3">
      <c r="B1332" s="33" t="s">
        <v>45</v>
      </c>
      <c r="C1332" s="34"/>
      <c r="D1332" s="68"/>
      <c r="E1332" s="69"/>
      <c r="F1332" s="69"/>
      <c r="G1332" s="70"/>
      <c r="H1332" s="44"/>
      <c r="I1332" s="32"/>
      <c r="J1332" s="32"/>
    </row>
    <row r="1333" spans="2:10" ht="15.75" hidden="1" customHeight="1" thickBot="1" x14ac:dyDescent="0.3">
      <c r="B1333" s="33" t="s">
        <v>45</v>
      </c>
      <c r="C1333" s="34"/>
      <c r="D1333" s="68"/>
      <c r="E1333" s="69"/>
      <c r="F1333" s="69"/>
      <c r="G1333" s="70"/>
      <c r="H1333" s="44"/>
      <c r="I1333" s="32"/>
      <c r="J1333" s="32"/>
    </row>
    <row r="1334" spans="2:10" ht="15.75" hidden="1" customHeight="1" thickBot="1" x14ac:dyDescent="0.3">
      <c r="B1334" s="33" t="s">
        <v>45</v>
      </c>
      <c r="C1334" s="34"/>
      <c r="D1334" s="68"/>
      <c r="E1334" s="69"/>
      <c r="F1334" s="69"/>
      <c r="G1334" s="70"/>
      <c r="H1334" s="44"/>
      <c r="I1334" s="32"/>
      <c r="J1334" s="32"/>
    </row>
    <row r="1335" spans="2:10" ht="15.75" hidden="1" customHeight="1" thickBot="1" x14ac:dyDescent="0.3">
      <c r="B1335" s="33" t="s">
        <v>45</v>
      </c>
      <c r="C1335" s="34"/>
      <c r="D1335" s="68"/>
      <c r="E1335" s="69"/>
      <c r="F1335" s="69"/>
      <c r="G1335" s="70"/>
      <c r="H1335" s="44"/>
      <c r="I1335" s="32"/>
      <c r="J1335" s="32"/>
    </row>
    <row r="1336" spans="2:10" ht="15.75" hidden="1" customHeight="1" thickBot="1" x14ac:dyDescent="0.3">
      <c r="B1336" s="33" t="s">
        <v>45</v>
      </c>
      <c r="C1336" s="34"/>
      <c r="D1336" s="68"/>
      <c r="E1336" s="69"/>
      <c r="F1336" s="69"/>
      <c r="G1336" s="70"/>
      <c r="H1336" s="44"/>
      <c r="I1336" s="32"/>
      <c r="J1336" s="32"/>
    </row>
    <row r="1337" spans="2:10" ht="15.75" hidden="1" customHeight="1" thickBot="1" x14ac:dyDescent="0.3">
      <c r="B1337" s="33" t="s">
        <v>45</v>
      </c>
      <c r="C1337" s="34"/>
      <c r="D1337" s="68"/>
      <c r="E1337" s="69"/>
      <c r="F1337" s="69"/>
      <c r="G1337" s="70"/>
      <c r="H1337" s="44"/>
      <c r="I1337" s="32"/>
      <c r="J1337" s="32"/>
    </row>
    <row r="1338" spans="2:10" ht="15.75" hidden="1" customHeight="1" thickBot="1" x14ac:dyDescent="0.3">
      <c r="B1338" s="33" t="s">
        <v>45</v>
      </c>
      <c r="C1338" s="34"/>
      <c r="D1338" s="68"/>
      <c r="E1338" s="69"/>
      <c r="F1338" s="69"/>
      <c r="G1338" s="70"/>
      <c r="H1338" s="44"/>
      <c r="I1338" s="32"/>
      <c r="J1338" s="32"/>
    </row>
    <row r="1339" spans="2:10" ht="15.75" hidden="1" customHeight="1" thickBot="1" x14ac:dyDescent="0.3">
      <c r="B1339" s="33" t="s">
        <v>45</v>
      </c>
      <c r="C1339" s="34"/>
      <c r="D1339" s="68"/>
      <c r="E1339" s="69"/>
      <c r="F1339" s="69"/>
      <c r="G1339" s="70"/>
      <c r="H1339" s="44"/>
      <c r="I1339" s="32"/>
      <c r="J1339" s="32"/>
    </row>
    <row r="1340" spans="2:10" ht="15.75" hidden="1" customHeight="1" thickBot="1" x14ac:dyDescent="0.3">
      <c r="B1340" s="33" t="s">
        <v>45</v>
      </c>
      <c r="C1340" s="34"/>
      <c r="D1340" s="68"/>
      <c r="E1340" s="69"/>
      <c r="F1340" s="69"/>
      <c r="G1340" s="70"/>
      <c r="H1340" s="44"/>
      <c r="I1340" s="32"/>
      <c r="J1340" s="32"/>
    </row>
    <row r="1341" spans="2:10" ht="15.75" hidden="1" customHeight="1" thickBot="1" x14ac:dyDescent="0.3">
      <c r="B1341" s="33" t="s">
        <v>45</v>
      </c>
      <c r="C1341" s="34"/>
      <c r="D1341" s="68"/>
      <c r="E1341" s="69"/>
      <c r="F1341" s="69"/>
      <c r="G1341" s="70"/>
      <c r="H1341" s="44"/>
      <c r="I1341" s="32"/>
      <c r="J1341" s="32"/>
    </row>
    <row r="1342" spans="2:10" ht="15.75" hidden="1" customHeight="1" thickBot="1" x14ac:dyDescent="0.3">
      <c r="B1342" s="33" t="s">
        <v>45</v>
      </c>
      <c r="C1342" s="34"/>
      <c r="D1342" s="68"/>
      <c r="E1342" s="69"/>
      <c r="F1342" s="69"/>
      <c r="G1342" s="70"/>
      <c r="H1342" s="44"/>
      <c r="I1342" s="32"/>
      <c r="J1342" s="32"/>
    </row>
    <row r="1343" spans="2:10" ht="15.75" hidden="1" customHeight="1" thickBot="1" x14ac:dyDescent="0.3">
      <c r="B1343" s="33" t="s">
        <v>45</v>
      </c>
      <c r="C1343" s="34"/>
      <c r="D1343" s="68"/>
      <c r="E1343" s="69"/>
      <c r="F1343" s="69"/>
      <c r="G1343" s="70"/>
      <c r="H1343" s="44"/>
      <c r="I1343" s="32"/>
      <c r="J1343" s="32"/>
    </row>
    <row r="1344" spans="2:10" ht="15.75" hidden="1" customHeight="1" thickBot="1" x14ac:dyDescent="0.3">
      <c r="B1344" s="33" t="s">
        <v>45</v>
      </c>
      <c r="C1344" s="34"/>
      <c r="D1344" s="68"/>
      <c r="E1344" s="69"/>
      <c r="F1344" s="69"/>
      <c r="G1344" s="70"/>
      <c r="H1344" s="44"/>
      <c r="I1344" s="32"/>
      <c r="J1344" s="32"/>
    </row>
    <row r="1345" spans="2:10" ht="15.75" hidden="1" customHeight="1" thickBot="1" x14ac:dyDescent="0.3">
      <c r="B1345" s="33" t="s">
        <v>45</v>
      </c>
      <c r="C1345" s="34"/>
      <c r="D1345" s="68"/>
      <c r="E1345" s="69"/>
      <c r="F1345" s="69"/>
      <c r="G1345" s="70"/>
      <c r="H1345" s="44"/>
      <c r="I1345" s="32"/>
      <c r="J1345" s="32"/>
    </row>
    <row r="1346" spans="2:10" ht="15.75" hidden="1" customHeight="1" thickBot="1" x14ac:dyDescent="0.3">
      <c r="B1346" s="33" t="s">
        <v>45</v>
      </c>
      <c r="C1346" s="34"/>
      <c r="D1346" s="68"/>
      <c r="E1346" s="69"/>
      <c r="F1346" s="69"/>
      <c r="G1346" s="70"/>
      <c r="H1346" s="44"/>
      <c r="I1346" s="32"/>
      <c r="J1346" s="32"/>
    </row>
    <row r="1347" spans="2:10" ht="15.75" hidden="1" customHeight="1" thickBot="1" x14ac:dyDescent="0.3">
      <c r="B1347" s="33" t="s">
        <v>45</v>
      </c>
      <c r="C1347" s="34"/>
      <c r="D1347" s="68"/>
      <c r="E1347" s="69"/>
      <c r="F1347" s="69"/>
      <c r="G1347" s="70"/>
      <c r="H1347" s="44"/>
      <c r="I1347" s="32"/>
      <c r="J1347" s="32"/>
    </row>
    <row r="1348" spans="2:10" ht="15.75" hidden="1" customHeight="1" thickBot="1" x14ac:dyDescent="0.3">
      <c r="B1348" s="33" t="s">
        <v>45</v>
      </c>
      <c r="C1348" s="34"/>
      <c r="D1348" s="68"/>
      <c r="E1348" s="69"/>
      <c r="F1348" s="69"/>
      <c r="G1348" s="70"/>
      <c r="H1348" s="44"/>
      <c r="I1348" s="32"/>
      <c r="J1348" s="32"/>
    </row>
    <row r="1349" spans="2:10" ht="15.75" hidden="1" customHeight="1" thickBot="1" x14ac:dyDescent="0.3">
      <c r="B1349" s="33" t="s">
        <v>45</v>
      </c>
      <c r="C1349" s="34"/>
      <c r="D1349" s="68"/>
      <c r="E1349" s="69"/>
      <c r="F1349" s="69"/>
      <c r="G1349" s="70"/>
      <c r="H1349" s="44"/>
      <c r="I1349" s="32"/>
      <c r="J1349" s="32"/>
    </row>
    <row r="1350" spans="2:10" ht="15.75" hidden="1" customHeight="1" thickBot="1" x14ac:dyDescent="0.3">
      <c r="B1350" s="33" t="s">
        <v>45</v>
      </c>
      <c r="C1350" s="34"/>
      <c r="D1350" s="68"/>
      <c r="E1350" s="69"/>
      <c r="F1350" s="69"/>
      <c r="G1350" s="70"/>
      <c r="H1350" s="44"/>
      <c r="I1350" s="32"/>
      <c r="J1350" s="32"/>
    </row>
    <row r="1351" spans="2:10" ht="15.75" hidden="1" customHeight="1" thickBot="1" x14ac:dyDescent="0.3">
      <c r="B1351" s="33" t="s">
        <v>45</v>
      </c>
      <c r="C1351" s="34"/>
      <c r="D1351" s="68"/>
      <c r="E1351" s="69"/>
      <c r="F1351" s="69"/>
      <c r="G1351" s="70"/>
      <c r="H1351" s="44"/>
      <c r="I1351" s="32"/>
      <c r="J1351" s="32"/>
    </row>
    <row r="1352" spans="2:10" ht="15.75" hidden="1" customHeight="1" thickBot="1" x14ac:dyDescent="0.3">
      <c r="B1352" s="33" t="s">
        <v>45</v>
      </c>
      <c r="C1352" s="34"/>
      <c r="D1352" s="68"/>
      <c r="E1352" s="69"/>
      <c r="F1352" s="69"/>
      <c r="G1352" s="70"/>
      <c r="H1352" s="44"/>
      <c r="I1352" s="32"/>
      <c r="J1352" s="32"/>
    </row>
    <row r="1353" spans="2:10" ht="15.75" hidden="1" customHeight="1" thickBot="1" x14ac:dyDescent="0.3">
      <c r="B1353" s="33" t="s">
        <v>45</v>
      </c>
      <c r="C1353" s="34"/>
      <c r="D1353" s="68"/>
      <c r="E1353" s="69"/>
      <c r="F1353" s="69"/>
      <c r="G1353" s="70"/>
      <c r="H1353" s="44"/>
      <c r="I1353" s="32"/>
      <c r="J1353" s="32"/>
    </row>
    <row r="1354" spans="2:10" ht="15.75" hidden="1" customHeight="1" thickBot="1" x14ac:dyDescent="0.3">
      <c r="B1354" s="33" t="s">
        <v>45</v>
      </c>
      <c r="C1354" s="34"/>
      <c r="D1354" s="68"/>
      <c r="E1354" s="69"/>
      <c r="F1354" s="69"/>
      <c r="G1354" s="70"/>
      <c r="H1354" s="44"/>
      <c r="I1354" s="32"/>
      <c r="J1354" s="32"/>
    </row>
    <row r="1355" spans="2:10" ht="15.75" hidden="1" customHeight="1" thickBot="1" x14ac:dyDescent="0.3">
      <c r="B1355" s="33" t="s">
        <v>45</v>
      </c>
      <c r="C1355" s="34"/>
      <c r="D1355" s="68"/>
      <c r="E1355" s="69"/>
      <c r="F1355" s="69"/>
      <c r="G1355" s="70"/>
      <c r="H1355" s="44"/>
      <c r="I1355" s="32"/>
      <c r="J1355" s="32"/>
    </row>
    <row r="1356" spans="2:10" ht="15.75" hidden="1" customHeight="1" thickBot="1" x14ac:dyDescent="0.3">
      <c r="B1356" s="33" t="s">
        <v>45</v>
      </c>
      <c r="C1356" s="34"/>
      <c r="D1356" s="68"/>
      <c r="E1356" s="69"/>
      <c r="F1356" s="69"/>
      <c r="G1356" s="70"/>
      <c r="H1356" s="44"/>
      <c r="I1356" s="32"/>
      <c r="J1356" s="32"/>
    </row>
    <row r="1357" spans="2:10" ht="15.75" hidden="1" customHeight="1" thickBot="1" x14ac:dyDescent="0.3">
      <c r="B1357" s="33" t="s">
        <v>45</v>
      </c>
      <c r="C1357" s="34"/>
      <c r="D1357" s="68"/>
      <c r="E1357" s="69"/>
      <c r="F1357" s="69"/>
      <c r="G1357" s="70"/>
      <c r="H1357" s="44"/>
      <c r="I1357" s="32"/>
      <c r="J1357" s="32"/>
    </row>
    <row r="1358" spans="2:10" ht="15.75" hidden="1" customHeight="1" thickBot="1" x14ac:dyDescent="0.3">
      <c r="B1358" s="33" t="s">
        <v>45</v>
      </c>
      <c r="C1358" s="34"/>
      <c r="D1358" s="68"/>
      <c r="E1358" s="69"/>
      <c r="F1358" s="69"/>
      <c r="G1358" s="70"/>
      <c r="H1358" s="44"/>
      <c r="I1358" s="32"/>
      <c r="J1358" s="32"/>
    </row>
    <row r="1359" spans="2:10" ht="15.75" hidden="1" customHeight="1" thickBot="1" x14ac:dyDescent="0.3">
      <c r="B1359" s="33" t="s">
        <v>45</v>
      </c>
      <c r="C1359" s="34"/>
      <c r="D1359" s="68"/>
      <c r="E1359" s="69"/>
      <c r="F1359" s="69"/>
      <c r="G1359" s="70"/>
      <c r="H1359" s="44"/>
      <c r="I1359" s="32"/>
      <c r="J1359" s="32"/>
    </row>
    <row r="1360" spans="2:10" ht="15.75" hidden="1" customHeight="1" thickBot="1" x14ac:dyDescent="0.3">
      <c r="B1360" s="33" t="s">
        <v>45</v>
      </c>
      <c r="C1360" s="34"/>
      <c r="D1360" s="68"/>
      <c r="E1360" s="69"/>
      <c r="F1360" s="69"/>
      <c r="G1360" s="70"/>
      <c r="H1360" s="44"/>
      <c r="I1360" s="32"/>
      <c r="J1360" s="32"/>
    </row>
    <row r="1361" spans="2:10" ht="15.75" hidden="1" customHeight="1" thickBot="1" x14ac:dyDescent="0.3">
      <c r="B1361" s="33" t="s">
        <v>45</v>
      </c>
      <c r="C1361" s="34"/>
      <c r="D1361" s="68"/>
      <c r="E1361" s="69"/>
      <c r="F1361" s="69"/>
      <c r="G1361" s="70"/>
      <c r="H1361" s="44"/>
      <c r="I1361" s="32"/>
      <c r="J1361" s="32"/>
    </row>
    <row r="1362" spans="2:10" ht="15.75" hidden="1" customHeight="1" thickBot="1" x14ac:dyDescent="0.3">
      <c r="B1362" s="33" t="s">
        <v>45</v>
      </c>
      <c r="C1362" s="34"/>
      <c r="D1362" s="68"/>
      <c r="E1362" s="69"/>
      <c r="F1362" s="69"/>
      <c r="G1362" s="70"/>
      <c r="H1362" s="44"/>
      <c r="I1362" s="32"/>
      <c r="J1362" s="32"/>
    </row>
    <row r="1363" spans="2:10" ht="15.75" hidden="1" customHeight="1" thickBot="1" x14ac:dyDescent="0.3">
      <c r="B1363" s="33" t="s">
        <v>45</v>
      </c>
      <c r="C1363" s="34"/>
      <c r="D1363" s="68"/>
      <c r="E1363" s="69"/>
      <c r="F1363" s="69"/>
      <c r="G1363" s="70"/>
      <c r="H1363" s="44"/>
      <c r="I1363" s="32"/>
      <c r="J1363" s="32"/>
    </row>
    <row r="1364" spans="2:10" ht="15.75" hidden="1" customHeight="1" thickBot="1" x14ac:dyDescent="0.3">
      <c r="B1364" s="33" t="s">
        <v>45</v>
      </c>
      <c r="C1364" s="34"/>
      <c r="D1364" s="68"/>
      <c r="E1364" s="69"/>
      <c r="F1364" s="69"/>
      <c r="G1364" s="70"/>
      <c r="H1364" s="44"/>
      <c r="I1364" s="32"/>
      <c r="J1364" s="32"/>
    </row>
    <row r="1365" spans="2:10" ht="15.75" hidden="1" customHeight="1" thickBot="1" x14ac:dyDescent="0.3">
      <c r="B1365" s="33" t="s">
        <v>45</v>
      </c>
      <c r="C1365" s="34"/>
      <c r="D1365" s="68"/>
      <c r="E1365" s="69"/>
      <c r="F1365" s="69"/>
      <c r="G1365" s="70"/>
      <c r="H1365" s="44"/>
      <c r="I1365" s="32"/>
      <c r="J1365" s="32"/>
    </row>
    <row r="1366" spans="2:10" ht="15.75" hidden="1" customHeight="1" thickBot="1" x14ac:dyDescent="0.3">
      <c r="B1366" s="33" t="s">
        <v>45</v>
      </c>
      <c r="C1366" s="34"/>
      <c r="D1366" s="68"/>
      <c r="E1366" s="69"/>
      <c r="F1366" s="69"/>
      <c r="G1366" s="70"/>
      <c r="H1366" s="44"/>
      <c r="I1366" s="32"/>
      <c r="J1366" s="32"/>
    </row>
    <row r="1367" spans="2:10" ht="15.75" hidden="1" customHeight="1" thickBot="1" x14ac:dyDescent="0.3">
      <c r="B1367" s="33" t="s">
        <v>45</v>
      </c>
      <c r="C1367" s="34"/>
      <c r="D1367" s="68"/>
      <c r="E1367" s="69"/>
      <c r="F1367" s="69"/>
      <c r="G1367" s="70"/>
      <c r="H1367" s="44"/>
      <c r="I1367" s="32"/>
      <c r="J1367" s="32"/>
    </row>
    <row r="1368" spans="2:10" ht="15.75" hidden="1" customHeight="1" thickBot="1" x14ac:dyDescent="0.3">
      <c r="B1368" s="33" t="s">
        <v>45</v>
      </c>
      <c r="C1368" s="34"/>
      <c r="D1368" s="68"/>
      <c r="E1368" s="69"/>
      <c r="F1368" s="69"/>
      <c r="G1368" s="70"/>
      <c r="H1368" s="44"/>
      <c r="I1368" s="32"/>
      <c r="J1368" s="32"/>
    </row>
    <row r="1369" spans="2:10" ht="15.75" hidden="1" customHeight="1" thickBot="1" x14ac:dyDescent="0.3">
      <c r="B1369" s="33" t="s">
        <v>45</v>
      </c>
      <c r="C1369" s="34"/>
      <c r="D1369" s="68"/>
      <c r="E1369" s="69"/>
      <c r="F1369" s="69"/>
      <c r="G1369" s="70"/>
      <c r="H1369" s="44"/>
      <c r="I1369" s="32"/>
      <c r="J1369" s="32"/>
    </row>
    <row r="1370" spans="2:10" ht="15.75" hidden="1" customHeight="1" thickBot="1" x14ac:dyDescent="0.3">
      <c r="B1370" s="33" t="s">
        <v>45</v>
      </c>
      <c r="C1370" s="34"/>
      <c r="D1370" s="68"/>
      <c r="E1370" s="69"/>
      <c r="F1370" s="69"/>
      <c r="G1370" s="70"/>
      <c r="H1370" s="44"/>
      <c r="I1370" s="32"/>
      <c r="J1370" s="32"/>
    </row>
    <row r="1371" spans="2:10" ht="15.75" hidden="1" customHeight="1" thickBot="1" x14ac:dyDescent="0.3">
      <c r="B1371" s="33" t="s">
        <v>45</v>
      </c>
      <c r="C1371" s="34"/>
      <c r="D1371" s="68"/>
      <c r="E1371" s="69"/>
      <c r="F1371" s="69"/>
      <c r="G1371" s="70"/>
      <c r="H1371" s="44"/>
      <c r="I1371" s="32"/>
      <c r="J1371" s="32"/>
    </row>
    <row r="1372" spans="2:10" ht="15.75" hidden="1" customHeight="1" thickBot="1" x14ac:dyDescent="0.3">
      <c r="B1372" s="33" t="s">
        <v>45</v>
      </c>
      <c r="C1372" s="34"/>
      <c r="D1372" s="68"/>
      <c r="E1372" s="69"/>
      <c r="F1372" s="69"/>
      <c r="G1372" s="70"/>
      <c r="H1372" s="44"/>
      <c r="I1372" s="32"/>
      <c r="J1372" s="32"/>
    </row>
    <row r="1373" spans="2:10" ht="15.75" hidden="1" customHeight="1" thickBot="1" x14ac:dyDescent="0.3">
      <c r="B1373" s="33" t="s">
        <v>45</v>
      </c>
      <c r="C1373" s="34"/>
      <c r="D1373" s="68"/>
      <c r="E1373" s="69"/>
      <c r="F1373" s="69"/>
      <c r="G1373" s="70"/>
      <c r="H1373" s="44"/>
      <c r="I1373" s="32"/>
      <c r="J1373" s="32"/>
    </row>
    <row r="1374" spans="2:10" ht="15.75" hidden="1" customHeight="1" thickBot="1" x14ac:dyDescent="0.3">
      <c r="B1374" s="33" t="s">
        <v>45</v>
      </c>
      <c r="C1374" s="34"/>
      <c r="D1374" s="68"/>
      <c r="E1374" s="69"/>
      <c r="F1374" s="69"/>
      <c r="G1374" s="70"/>
      <c r="H1374" s="44"/>
      <c r="I1374" s="32"/>
      <c r="J1374" s="32"/>
    </row>
    <row r="1375" spans="2:10" ht="15.75" hidden="1" customHeight="1" thickBot="1" x14ac:dyDescent="0.3">
      <c r="B1375" s="33" t="s">
        <v>45</v>
      </c>
      <c r="C1375" s="34"/>
      <c r="D1375" s="68"/>
      <c r="E1375" s="69"/>
      <c r="F1375" s="69"/>
      <c r="G1375" s="70"/>
      <c r="H1375" s="44"/>
      <c r="I1375" s="32"/>
      <c r="J1375" s="32"/>
    </row>
    <row r="1376" spans="2:10" ht="15.75" hidden="1" customHeight="1" thickBot="1" x14ac:dyDescent="0.3">
      <c r="B1376" s="33" t="s">
        <v>45</v>
      </c>
      <c r="C1376" s="34"/>
      <c r="D1376" s="68"/>
      <c r="E1376" s="69"/>
      <c r="F1376" s="69"/>
      <c r="G1376" s="70"/>
      <c r="H1376" s="44"/>
      <c r="I1376" s="32"/>
      <c r="J1376" s="32"/>
    </row>
    <row r="1377" spans="2:10" ht="15.75" hidden="1" customHeight="1" thickBot="1" x14ac:dyDescent="0.3">
      <c r="B1377" s="33" t="s">
        <v>45</v>
      </c>
      <c r="C1377" s="34"/>
      <c r="D1377" s="68"/>
      <c r="E1377" s="69"/>
      <c r="F1377" s="69"/>
      <c r="G1377" s="70"/>
      <c r="H1377" s="44"/>
      <c r="I1377" s="32"/>
      <c r="J1377" s="32"/>
    </row>
    <row r="1378" spans="2:10" ht="15.75" hidden="1" customHeight="1" thickBot="1" x14ac:dyDescent="0.3">
      <c r="B1378" s="33" t="s">
        <v>45</v>
      </c>
      <c r="C1378" s="34"/>
      <c r="D1378" s="68"/>
      <c r="E1378" s="69"/>
      <c r="F1378" s="69"/>
      <c r="G1378" s="70"/>
      <c r="H1378" s="44"/>
      <c r="I1378" s="32"/>
      <c r="J1378" s="32"/>
    </row>
    <row r="1379" spans="2:10" ht="15.75" hidden="1" customHeight="1" thickBot="1" x14ac:dyDescent="0.3">
      <c r="B1379" s="33" t="s">
        <v>45</v>
      </c>
      <c r="C1379" s="34"/>
      <c r="D1379" s="68"/>
      <c r="E1379" s="69"/>
      <c r="F1379" s="69"/>
      <c r="G1379" s="70"/>
      <c r="H1379" s="44"/>
      <c r="I1379" s="32"/>
      <c r="J1379" s="32"/>
    </row>
    <row r="1380" spans="2:10" ht="15.75" hidden="1" customHeight="1" thickBot="1" x14ac:dyDescent="0.3">
      <c r="B1380" s="33" t="s">
        <v>45</v>
      </c>
      <c r="C1380" s="34"/>
      <c r="D1380" s="68"/>
      <c r="E1380" s="69"/>
      <c r="F1380" s="69"/>
      <c r="G1380" s="70"/>
      <c r="H1380" s="44"/>
      <c r="I1380" s="32"/>
      <c r="J1380" s="32"/>
    </row>
    <row r="1381" spans="2:10" ht="15.75" hidden="1" customHeight="1" thickBot="1" x14ac:dyDescent="0.3">
      <c r="B1381" s="33" t="s">
        <v>45</v>
      </c>
      <c r="C1381" s="34"/>
      <c r="D1381" s="68"/>
      <c r="E1381" s="69"/>
      <c r="F1381" s="69"/>
      <c r="G1381" s="70"/>
      <c r="H1381" s="44"/>
      <c r="I1381" s="32"/>
      <c r="J1381" s="32"/>
    </row>
    <row r="1382" spans="2:10" ht="15.75" hidden="1" customHeight="1" thickBot="1" x14ac:dyDescent="0.3">
      <c r="B1382" s="33" t="s">
        <v>45</v>
      </c>
      <c r="C1382" s="34"/>
      <c r="D1382" s="68"/>
      <c r="E1382" s="69"/>
      <c r="F1382" s="69"/>
      <c r="G1382" s="70"/>
      <c r="H1382" s="44"/>
      <c r="I1382" s="32"/>
      <c r="J1382" s="32"/>
    </row>
    <row r="1383" spans="2:10" ht="15.75" hidden="1" customHeight="1" thickBot="1" x14ac:dyDescent="0.3">
      <c r="B1383" s="33" t="s">
        <v>45</v>
      </c>
      <c r="C1383" s="34"/>
      <c r="D1383" s="68"/>
      <c r="E1383" s="69"/>
      <c r="F1383" s="69"/>
      <c r="G1383" s="70"/>
      <c r="H1383" s="44"/>
      <c r="I1383" s="32"/>
      <c r="J1383" s="32"/>
    </row>
    <row r="1384" spans="2:10" ht="15.75" hidden="1" customHeight="1" thickBot="1" x14ac:dyDescent="0.3">
      <c r="B1384" s="33" t="s">
        <v>45</v>
      </c>
      <c r="C1384" s="34"/>
      <c r="D1384" s="68"/>
      <c r="E1384" s="69"/>
      <c r="F1384" s="69"/>
      <c r="G1384" s="70"/>
      <c r="H1384" s="44"/>
      <c r="I1384" s="32"/>
      <c r="J1384" s="32"/>
    </row>
    <row r="1385" spans="2:10" ht="15.75" hidden="1" customHeight="1" thickBot="1" x14ac:dyDescent="0.3">
      <c r="B1385" s="33" t="s">
        <v>45</v>
      </c>
      <c r="C1385" s="34"/>
      <c r="D1385" s="68"/>
      <c r="E1385" s="69"/>
      <c r="F1385" s="69"/>
      <c r="G1385" s="70"/>
      <c r="H1385" s="44"/>
      <c r="I1385" s="32"/>
      <c r="J1385" s="32"/>
    </row>
    <row r="1386" spans="2:10" ht="15.75" hidden="1" customHeight="1" thickBot="1" x14ac:dyDescent="0.3">
      <c r="B1386" s="33" t="s">
        <v>45</v>
      </c>
      <c r="C1386" s="34"/>
      <c r="D1386" s="68"/>
      <c r="E1386" s="69"/>
      <c r="F1386" s="69"/>
      <c r="G1386" s="70"/>
      <c r="H1386" s="44"/>
      <c r="I1386" s="32"/>
      <c r="J1386" s="32"/>
    </row>
    <row r="1387" spans="2:10" ht="15.75" hidden="1" customHeight="1" thickBot="1" x14ac:dyDescent="0.3">
      <c r="B1387" s="33" t="s">
        <v>45</v>
      </c>
      <c r="C1387" s="34"/>
      <c r="D1387" s="68"/>
      <c r="E1387" s="69"/>
      <c r="F1387" s="69"/>
      <c r="G1387" s="70"/>
      <c r="H1387" s="44"/>
      <c r="I1387" s="32"/>
      <c r="J1387" s="32"/>
    </row>
    <row r="1388" spans="2:10" ht="15.75" hidden="1" customHeight="1" thickBot="1" x14ac:dyDescent="0.3">
      <c r="B1388" s="33" t="s">
        <v>45</v>
      </c>
      <c r="C1388" s="34"/>
      <c r="D1388" s="68"/>
      <c r="E1388" s="69"/>
      <c r="F1388" s="69"/>
      <c r="G1388" s="70"/>
      <c r="H1388" s="44"/>
      <c r="I1388" s="32"/>
      <c r="J1388" s="32"/>
    </row>
    <row r="1389" spans="2:10" ht="15.75" hidden="1" customHeight="1" thickBot="1" x14ac:dyDescent="0.3">
      <c r="B1389" s="33" t="s">
        <v>45</v>
      </c>
      <c r="C1389" s="34"/>
      <c r="D1389" s="68"/>
      <c r="E1389" s="69"/>
      <c r="F1389" s="69"/>
      <c r="G1389" s="70"/>
      <c r="H1389" s="44"/>
      <c r="I1389" s="32"/>
      <c r="J1389" s="32"/>
    </row>
    <row r="1390" spans="2:10" ht="15.75" hidden="1" customHeight="1" thickBot="1" x14ac:dyDescent="0.3">
      <c r="B1390" s="33" t="s">
        <v>45</v>
      </c>
      <c r="C1390" s="34"/>
      <c r="D1390" s="68"/>
      <c r="E1390" s="69"/>
      <c r="F1390" s="69"/>
      <c r="G1390" s="70"/>
      <c r="H1390" s="44"/>
      <c r="I1390" s="32"/>
      <c r="J1390" s="32"/>
    </row>
    <row r="1391" spans="2:10" ht="15.75" hidden="1" customHeight="1" thickBot="1" x14ac:dyDescent="0.3">
      <c r="B1391" s="33" t="s">
        <v>45</v>
      </c>
      <c r="C1391" s="34"/>
      <c r="D1391" s="68"/>
      <c r="E1391" s="69"/>
      <c r="F1391" s="69"/>
      <c r="G1391" s="70"/>
      <c r="H1391" s="44"/>
      <c r="I1391" s="32"/>
      <c r="J1391" s="32"/>
    </row>
    <row r="1392" spans="2:10" ht="15.75" hidden="1" customHeight="1" thickBot="1" x14ac:dyDescent="0.3">
      <c r="B1392" s="33" t="s">
        <v>45</v>
      </c>
      <c r="C1392" s="34"/>
      <c r="D1392" s="68"/>
      <c r="E1392" s="69"/>
      <c r="F1392" s="69"/>
      <c r="G1392" s="70"/>
      <c r="H1392" s="44"/>
      <c r="I1392" s="32"/>
      <c r="J1392" s="32"/>
    </row>
    <row r="1393" spans="2:10" ht="15.75" hidden="1" customHeight="1" thickBot="1" x14ac:dyDescent="0.3">
      <c r="B1393" s="33" t="s">
        <v>45</v>
      </c>
      <c r="C1393" s="34"/>
      <c r="D1393" s="68"/>
      <c r="E1393" s="69"/>
      <c r="F1393" s="69"/>
      <c r="G1393" s="70"/>
      <c r="H1393" s="44"/>
      <c r="I1393" s="32"/>
      <c r="J1393" s="32"/>
    </row>
    <row r="1394" spans="2:10" ht="15.75" hidden="1" customHeight="1" thickBot="1" x14ac:dyDescent="0.3">
      <c r="B1394" s="33" t="s">
        <v>45</v>
      </c>
      <c r="C1394" s="34"/>
      <c r="D1394" s="68"/>
      <c r="E1394" s="69"/>
      <c r="F1394" s="69"/>
      <c r="G1394" s="70"/>
      <c r="H1394" s="44"/>
      <c r="I1394" s="32"/>
      <c r="J1394" s="32"/>
    </row>
    <row r="1395" spans="2:10" ht="15.75" hidden="1" customHeight="1" thickBot="1" x14ac:dyDescent="0.3">
      <c r="B1395" s="33" t="s">
        <v>45</v>
      </c>
      <c r="C1395" s="34"/>
      <c r="D1395" s="68"/>
      <c r="E1395" s="69"/>
      <c r="F1395" s="69"/>
      <c r="G1395" s="70"/>
      <c r="H1395" s="44"/>
      <c r="I1395" s="32"/>
      <c r="J1395" s="32"/>
    </row>
    <row r="1396" spans="2:10" ht="15.75" hidden="1" customHeight="1" thickBot="1" x14ac:dyDescent="0.3">
      <c r="B1396" s="33" t="s">
        <v>45</v>
      </c>
      <c r="C1396" s="34"/>
      <c r="D1396" s="68"/>
      <c r="E1396" s="69"/>
      <c r="F1396" s="69"/>
      <c r="G1396" s="70"/>
      <c r="H1396" s="44"/>
      <c r="I1396" s="32"/>
      <c r="J1396" s="32"/>
    </row>
    <row r="1397" spans="2:10" ht="15.75" hidden="1" customHeight="1" thickBot="1" x14ac:dyDescent="0.3">
      <c r="B1397" s="33" t="s">
        <v>45</v>
      </c>
      <c r="C1397" s="34"/>
      <c r="D1397" s="68"/>
      <c r="E1397" s="69"/>
      <c r="F1397" s="69"/>
      <c r="G1397" s="70"/>
      <c r="H1397" s="44"/>
      <c r="I1397" s="32"/>
      <c r="J1397" s="32"/>
    </row>
    <row r="1398" spans="2:10" ht="15.75" hidden="1" customHeight="1" thickBot="1" x14ac:dyDescent="0.3">
      <c r="B1398" s="33" t="s">
        <v>45</v>
      </c>
      <c r="C1398" s="34"/>
      <c r="D1398" s="68"/>
      <c r="E1398" s="69"/>
      <c r="F1398" s="69"/>
      <c r="G1398" s="70"/>
      <c r="H1398" s="44"/>
      <c r="I1398" s="32"/>
      <c r="J1398" s="32"/>
    </row>
    <row r="1399" spans="2:10" ht="15.75" hidden="1" customHeight="1" thickBot="1" x14ac:dyDescent="0.3">
      <c r="B1399" s="33" t="s">
        <v>45</v>
      </c>
      <c r="C1399" s="34"/>
      <c r="D1399" s="68"/>
      <c r="E1399" s="69"/>
      <c r="F1399" s="69"/>
      <c r="G1399" s="70"/>
      <c r="H1399" s="44"/>
      <c r="I1399" s="32"/>
      <c r="J1399" s="32"/>
    </row>
    <row r="1400" spans="2:10" ht="15.75" hidden="1" customHeight="1" thickBot="1" x14ac:dyDescent="0.3">
      <c r="B1400" s="33" t="s">
        <v>45</v>
      </c>
      <c r="C1400" s="34"/>
      <c r="D1400" s="68"/>
      <c r="E1400" s="69"/>
      <c r="F1400" s="69"/>
      <c r="G1400" s="70"/>
      <c r="H1400" s="44"/>
      <c r="I1400" s="32"/>
      <c r="J1400" s="32"/>
    </row>
    <row r="1401" spans="2:10" ht="15.75" hidden="1" customHeight="1" thickBot="1" x14ac:dyDescent="0.3">
      <c r="B1401" s="33" t="s">
        <v>45</v>
      </c>
      <c r="C1401" s="34"/>
      <c r="D1401" s="68"/>
      <c r="E1401" s="69"/>
      <c r="F1401" s="69"/>
      <c r="G1401" s="70"/>
      <c r="H1401" s="44"/>
      <c r="I1401" s="32"/>
      <c r="J1401" s="32"/>
    </row>
    <row r="1402" spans="2:10" ht="15.75" hidden="1" customHeight="1" thickBot="1" x14ac:dyDescent="0.3">
      <c r="B1402" s="33" t="s">
        <v>45</v>
      </c>
      <c r="C1402" s="34"/>
      <c r="D1402" s="68"/>
      <c r="E1402" s="69"/>
      <c r="F1402" s="69"/>
      <c r="G1402" s="70"/>
      <c r="H1402" s="44"/>
      <c r="I1402" s="32"/>
      <c r="J1402" s="32"/>
    </row>
    <row r="1403" spans="2:10" ht="15.75" hidden="1" customHeight="1" thickBot="1" x14ac:dyDescent="0.3">
      <c r="B1403" s="33" t="s">
        <v>45</v>
      </c>
      <c r="C1403" s="34"/>
      <c r="D1403" s="68"/>
      <c r="E1403" s="69"/>
      <c r="F1403" s="69"/>
      <c r="G1403" s="70"/>
      <c r="H1403" s="44"/>
      <c r="I1403" s="32"/>
      <c r="J1403" s="32"/>
    </row>
    <row r="1404" spans="2:10" ht="15.75" hidden="1" customHeight="1" thickBot="1" x14ac:dyDescent="0.3">
      <c r="B1404" s="33" t="s">
        <v>45</v>
      </c>
      <c r="C1404" s="34"/>
      <c r="D1404" s="68"/>
      <c r="E1404" s="69"/>
      <c r="F1404" s="69"/>
      <c r="G1404" s="70"/>
      <c r="H1404" s="44"/>
      <c r="I1404" s="32"/>
      <c r="J1404" s="32"/>
    </row>
    <row r="1405" spans="2:10" ht="15.75" hidden="1" customHeight="1" thickBot="1" x14ac:dyDescent="0.3">
      <c r="B1405" s="33" t="s">
        <v>45</v>
      </c>
      <c r="C1405" s="34"/>
      <c r="D1405" s="68"/>
      <c r="E1405" s="69"/>
      <c r="F1405" s="69"/>
      <c r="G1405" s="70"/>
      <c r="H1405" s="44"/>
      <c r="I1405" s="32"/>
      <c r="J1405" s="32"/>
    </row>
    <row r="1406" spans="2:10" ht="15.75" hidden="1" customHeight="1" thickBot="1" x14ac:dyDescent="0.3">
      <c r="B1406" s="33" t="s">
        <v>45</v>
      </c>
      <c r="C1406" s="34"/>
      <c r="D1406" s="68"/>
      <c r="E1406" s="69"/>
      <c r="F1406" s="69"/>
      <c r="G1406" s="70"/>
      <c r="H1406" s="44"/>
      <c r="I1406" s="32"/>
      <c r="J1406" s="32"/>
    </row>
    <row r="1407" spans="2:10" ht="15.75" hidden="1" customHeight="1" thickBot="1" x14ac:dyDescent="0.3">
      <c r="B1407" s="33" t="s">
        <v>45</v>
      </c>
      <c r="C1407" s="34"/>
      <c r="D1407" s="68"/>
      <c r="E1407" s="69"/>
      <c r="F1407" s="69"/>
      <c r="G1407" s="70"/>
      <c r="H1407" s="44"/>
      <c r="I1407" s="32"/>
      <c r="J1407" s="32"/>
    </row>
    <row r="1408" spans="2:10" ht="15.75" hidden="1" customHeight="1" thickBot="1" x14ac:dyDescent="0.3">
      <c r="B1408" s="33" t="s">
        <v>45</v>
      </c>
      <c r="C1408" s="34"/>
      <c r="D1408" s="68"/>
      <c r="E1408" s="69"/>
      <c r="F1408" s="69"/>
      <c r="G1408" s="70"/>
      <c r="H1408" s="44"/>
      <c r="I1408" s="32"/>
      <c r="J1408" s="32"/>
    </row>
    <row r="1409" spans="2:10" ht="15.75" hidden="1" thickBot="1" x14ac:dyDescent="0.3">
      <c r="B1409" s="33" t="s">
        <v>45</v>
      </c>
      <c r="C1409" s="34"/>
      <c r="D1409" s="68"/>
      <c r="E1409" s="69"/>
      <c r="F1409" s="69"/>
      <c r="G1409" s="70"/>
      <c r="H1409" s="44"/>
      <c r="I1409" s="32"/>
      <c r="J1409" s="32"/>
    </row>
    <row r="1411" spans="2:10" ht="15.75" hidden="1" x14ac:dyDescent="0.25">
      <c r="B1411" s="17" t="s">
        <v>36</v>
      </c>
      <c r="C1411" s="5" t="s">
        <v>46</v>
      </c>
      <c r="D1411" s="31" t="s">
        <v>47</v>
      </c>
      <c r="E1411" s="5" t="s">
        <v>48</v>
      </c>
      <c r="F1411" s="43" t="s">
        <v>49</v>
      </c>
      <c r="G1411" s="64"/>
      <c r="H1411" s="31"/>
    </row>
    <row r="1412" spans="2:10" ht="15.75" hidden="1" thickBot="1" x14ac:dyDescent="0.3">
      <c r="B1412" s="10" t="s">
        <v>45</v>
      </c>
      <c r="C1412" s="35" t="str">
        <f t="shared" ref="C1412:C1475" si="16">IF(E1412="","",IF(ISERROR(VLOOKUP(E1412,rTimeZoneTable,8,0)),"Update Contacts",VLOOKUP(E1412,rTimeZoneTable,8,0)))</f>
        <v/>
      </c>
      <c r="D1412" s="36"/>
      <c r="E1412" s="37"/>
      <c r="F1412" s="7"/>
      <c r="G1412" s="65"/>
      <c r="H1412" s="9"/>
    </row>
    <row r="1413" spans="2:10" ht="15" hidden="1" customHeight="1" thickBot="1" x14ac:dyDescent="0.3">
      <c r="B1413" s="10" t="s">
        <v>45</v>
      </c>
      <c r="C1413" s="35" t="str">
        <f t="shared" si="16"/>
        <v/>
      </c>
      <c r="D1413" s="36"/>
      <c r="E1413" s="37"/>
      <c r="F1413" s="7"/>
      <c r="G1413" s="65"/>
      <c r="H1413" s="9"/>
    </row>
    <row r="1414" spans="2:10" ht="15.75" hidden="1" customHeight="1" thickBot="1" x14ac:dyDescent="0.3">
      <c r="B1414" s="10" t="s">
        <v>45</v>
      </c>
      <c r="C1414" s="35" t="str">
        <f t="shared" si="16"/>
        <v/>
      </c>
      <c r="D1414" s="36"/>
      <c r="E1414" s="37"/>
      <c r="F1414" s="7"/>
      <c r="G1414" s="65"/>
      <c r="H1414" s="9"/>
    </row>
    <row r="1415" spans="2:10" ht="15.75" hidden="1" customHeight="1" thickBot="1" x14ac:dyDescent="0.3">
      <c r="B1415" s="10" t="s">
        <v>45</v>
      </c>
      <c r="C1415" s="35" t="str">
        <f t="shared" si="16"/>
        <v/>
      </c>
      <c r="D1415" s="36"/>
      <c r="E1415" s="37"/>
      <c r="F1415" s="7"/>
      <c r="G1415" s="65"/>
      <c r="H1415" s="9"/>
    </row>
    <row r="1416" spans="2:10" ht="15.75" hidden="1" customHeight="1" thickBot="1" x14ac:dyDescent="0.3">
      <c r="B1416" s="10" t="s">
        <v>45</v>
      </c>
      <c r="C1416" s="35" t="str">
        <f t="shared" si="16"/>
        <v/>
      </c>
      <c r="D1416" s="36"/>
      <c r="E1416" s="37"/>
      <c r="F1416" s="7"/>
      <c r="G1416" s="65"/>
      <c r="H1416" s="9"/>
    </row>
    <row r="1417" spans="2:10" ht="15.75" hidden="1" customHeight="1" thickBot="1" x14ac:dyDescent="0.3">
      <c r="B1417" s="10" t="s">
        <v>45</v>
      </c>
      <c r="C1417" s="35" t="str">
        <f t="shared" si="16"/>
        <v/>
      </c>
      <c r="D1417" s="36"/>
      <c r="E1417" s="37"/>
      <c r="F1417" s="7"/>
      <c r="G1417" s="65"/>
      <c r="H1417" s="9"/>
    </row>
    <row r="1418" spans="2:10" ht="15.75" hidden="1" customHeight="1" thickBot="1" x14ac:dyDescent="0.3">
      <c r="B1418" s="10" t="s">
        <v>45</v>
      </c>
      <c r="C1418" s="35" t="str">
        <f t="shared" si="16"/>
        <v/>
      </c>
      <c r="D1418" s="36"/>
      <c r="E1418" s="37"/>
      <c r="F1418" s="7"/>
      <c r="G1418" s="65"/>
      <c r="H1418" s="9"/>
    </row>
    <row r="1419" spans="2:10" ht="15.75" hidden="1" customHeight="1" thickBot="1" x14ac:dyDescent="0.3">
      <c r="B1419" s="10" t="s">
        <v>45</v>
      </c>
      <c r="C1419" s="35" t="str">
        <f t="shared" si="16"/>
        <v/>
      </c>
      <c r="D1419" s="36"/>
      <c r="E1419" s="37"/>
      <c r="F1419" s="7"/>
      <c r="G1419" s="65"/>
      <c r="H1419" s="9"/>
    </row>
    <row r="1420" spans="2:10" ht="15.75" hidden="1" customHeight="1" thickBot="1" x14ac:dyDescent="0.3">
      <c r="B1420" s="10" t="s">
        <v>45</v>
      </c>
      <c r="C1420" s="35" t="str">
        <f t="shared" si="16"/>
        <v/>
      </c>
      <c r="D1420" s="36"/>
      <c r="E1420" s="37"/>
      <c r="F1420" s="7"/>
      <c r="G1420" s="65"/>
      <c r="H1420" s="9"/>
    </row>
    <row r="1421" spans="2:10" ht="15.75" hidden="1" customHeight="1" thickBot="1" x14ac:dyDescent="0.3">
      <c r="B1421" s="10" t="s">
        <v>45</v>
      </c>
      <c r="C1421" s="35" t="str">
        <f t="shared" si="16"/>
        <v/>
      </c>
      <c r="D1421" s="36"/>
      <c r="E1421" s="37"/>
      <c r="F1421" s="7"/>
      <c r="G1421" s="65"/>
      <c r="H1421" s="9"/>
    </row>
    <row r="1422" spans="2:10" ht="15.75" hidden="1" customHeight="1" thickBot="1" x14ac:dyDescent="0.3">
      <c r="B1422" s="10" t="s">
        <v>45</v>
      </c>
      <c r="C1422" s="35" t="str">
        <f t="shared" si="16"/>
        <v/>
      </c>
      <c r="D1422" s="36"/>
      <c r="E1422" s="37"/>
      <c r="F1422" s="7"/>
      <c r="G1422" s="65"/>
      <c r="H1422" s="9"/>
    </row>
    <row r="1423" spans="2:10" ht="15.75" hidden="1" customHeight="1" thickBot="1" x14ac:dyDescent="0.3">
      <c r="B1423" s="10" t="s">
        <v>45</v>
      </c>
      <c r="C1423" s="35" t="str">
        <f t="shared" si="16"/>
        <v/>
      </c>
      <c r="D1423" s="36"/>
      <c r="E1423" s="37"/>
      <c r="F1423" s="7"/>
      <c r="G1423" s="65"/>
      <c r="H1423" s="9"/>
    </row>
    <row r="1424" spans="2:10" ht="15.75" hidden="1" customHeight="1" thickBot="1" x14ac:dyDescent="0.3">
      <c r="B1424" s="10" t="s">
        <v>45</v>
      </c>
      <c r="C1424" s="35" t="str">
        <f t="shared" si="16"/>
        <v/>
      </c>
      <c r="D1424" s="36"/>
      <c r="E1424" s="37"/>
      <c r="F1424" s="7"/>
      <c r="G1424" s="65"/>
      <c r="H1424" s="9"/>
    </row>
    <row r="1425" spans="2:8" ht="15.75" hidden="1" customHeight="1" thickBot="1" x14ac:dyDescent="0.3">
      <c r="B1425" s="10" t="s">
        <v>45</v>
      </c>
      <c r="C1425" s="35" t="str">
        <f t="shared" si="16"/>
        <v/>
      </c>
      <c r="D1425" s="36"/>
      <c r="E1425" s="37"/>
      <c r="F1425" s="7"/>
      <c r="G1425" s="65"/>
      <c r="H1425" s="9"/>
    </row>
    <row r="1426" spans="2:8" ht="15.75" hidden="1" customHeight="1" thickBot="1" x14ac:dyDescent="0.3">
      <c r="B1426" s="10" t="s">
        <v>45</v>
      </c>
      <c r="C1426" s="35" t="str">
        <f t="shared" si="16"/>
        <v/>
      </c>
      <c r="D1426" s="36"/>
      <c r="E1426" s="37"/>
      <c r="F1426" s="7"/>
      <c r="G1426" s="65"/>
      <c r="H1426" s="9"/>
    </row>
    <row r="1427" spans="2:8" ht="15.75" hidden="1" customHeight="1" thickBot="1" x14ac:dyDescent="0.3">
      <c r="B1427" s="10" t="s">
        <v>45</v>
      </c>
      <c r="C1427" s="35" t="str">
        <f t="shared" si="16"/>
        <v/>
      </c>
      <c r="D1427" s="36"/>
      <c r="E1427" s="37"/>
      <c r="F1427" s="7"/>
      <c r="G1427" s="65"/>
      <c r="H1427" s="9"/>
    </row>
    <row r="1428" spans="2:8" ht="15.75" hidden="1" customHeight="1" thickBot="1" x14ac:dyDescent="0.3">
      <c r="B1428" s="10" t="s">
        <v>45</v>
      </c>
      <c r="C1428" s="35" t="str">
        <f t="shared" si="16"/>
        <v/>
      </c>
      <c r="D1428" s="36"/>
      <c r="E1428" s="37"/>
      <c r="F1428" s="7"/>
      <c r="G1428" s="65"/>
      <c r="H1428" s="9"/>
    </row>
    <row r="1429" spans="2:8" ht="15.75" hidden="1" customHeight="1" thickBot="1" x14ac:dyDescent="0.3">
      <c r="B1429" s="10" t="s">
        <v>45</v>
      </c>
      <c r="C1429" s="35" t="str">
        <f t="shared" si="16"/>
        <v/>
      </c>
      <c r="D1429" s="36"/>
      <c r="E1429" s="37"/>
      <c r="F1429" s="7"/>
      <c r="G1429" s="65"/>
      <c r="H1429" s="9"/>
    </row>
    <row r="1430" spans="2:8" ht="15.75" hidden="1" customHeight="1" thickBot="1" x14ac:dyDescent="0.3">
      <c r="B1430" s="10" t="s">
        <v>45</v>
      </c>
      <c r="C1430" s="35" t="str">
        <f t="shared" si="16"/>
        <v/>
      </c>
      <c r="D1430" s="36"/>
      <c r="E1430" s="37"/>
      <c r="F1430" s="7"/>
      <c r="G1430" s="65"/>
      <c r="H1430" s="9"/>
    </row>
    <row r="1431" spans="2:8" ht="15.75" hidden="1" customHeight="1" thickBot="1" x14ac:dyDescent="0.3">
      <c r="B1431" s="10" t="s">
        <v>45</v>
      </c>
      <c r="C1431" s="35" t="str">
        <f t="shared" si="16"/>
        <v/>
      </c>
      <c r="D1431" s="36"/>
      <c r="E1431" s="37"/>
      <c r="F1431" s="7"/>
      <c r="G1431" s="65"/>
      <c r="H1431" s="9"/>
    </row>
    <row r="1432" spans="2:8" ht="15.75" hidden="1" customHeight="1" thickBot="1" x14ac:dyDescent="0.3">
      <c r="B1432" s="10" t="s">
        <v>45</v>
      </c>
      <c r="C1432" s="35" t="str">
        <f t="shared" si="16"/>
        <v/>
      </c>
      <c r="D1432" s="36"/>
      <c r="E1432" s="37"/>
      <c r="F1432" s="7"/>
      <c r="G1432" s="65"/>
      <c r="H1432" s="9"/>
    </row>
    <row r="1433" spans="2:8" ht="15.75" hidden="1" customHeight="1" thickBot="1" x14ac:dyDescent="0.3">
      <c r="B1433" s="10" t="s">
        <v>45</v>
      </c>
      <c r="C1433" s="35" t="str">
        <f t="shared" si="16"/>
        <v/>
      </c>
      <c r="D1433" s="36"/>
      <c r="E1433" s="37"/>
      <c r="F1433" s="7"/>
      <c r="G1433" s="65"/>
      <c r="H1433" s="9"/>
    </row>
    <row r="1434" spans="2:8" ht="15.75" hidden="1" customHeight="1" thickBot="1" x14ac:dyDescent="0.3">
      <c r="B1434" s="10" t="s">
        <v>45</v>
      </c>
      <c r="C1434" s="35" t="str">
        <f t="shared" si="16"/>
        <v/>
      </c>
      <c r="D1434" s="36"/>
      <c r="E1434" s="37"/>
      <c r="F1434" s="7"/>
      <c r="G1434" s="65"/>
      <c r="H1434" s="9"/>
    </row>
    <row r="1435" spans="2:8" ht="15.75" hidden="1" customHeight="1" thickBot="1" x14ac:dyDescent="0.3">
      <c r="B1435" s="10" t="s">
        <v>45</v>
      </c>
      <c r="C1435" s="35" t="str">
        <f t="shared" si="16"/>
        <v/>
      </c>
      <c r="D1435" s="36"/>
      <c r="E1435" s="37"/>
      <c r="F1435" s="7"/>
      <c r="G1435" s="65"/>
      <c r="H1435" s="9"/>
    </row>
    <row r="1436" spans="2:8" ht="15.75" hidden="1" customHeight="1" thickBot="1" x14ac:dyDescent="0.3">
      <c r="B1436" s="10" t="s">
        <v>45</v>
      </c>
      <c r="C1436" s="35" t="str">
        <f t="shared" si="16"/>
        <v/>
      </c>
      <c r="D1436" s="36"/>
      <c r="E1436" s="37"/>
      <c r="F1436" s="7"/>
      <c r="G1436" s="65"/>
      <c r="H1436" s="9"/>
    </row>
    <row r="1437" spans="2:8" ht="15.75" hidden="1" customHeight="1" thickBot="1" x14ac:dyDescent="0.3">
      <c r="B1437" s="10" t="s">
        <v>45</v>
      </c>
      <c r="C1437" s="35" t="str">
        <f t="shared" si="16"/>
        <v/>
      </c>
      <c r="D1437" s="36"/>
      <c r="E1437" s="37"/>
      <c r="F1437" s="7"/>
      <c r="G1437" s="65"/>
      <c r="H1437" s="9"/>
    </row>
    <row r="1438" spans="2:8" ht="15.75" hidden="1" customHeight="1" thickBot="1" x14ac:dyDescent="0.3">
      <c r="B1438" s="10" t="s">
        <v>45</v>
      </c>
      <c r="C1438" s="35" t="str">
        <f t="shared" si="16"/>
        <v/>
      </c>
      <c r="D1438" s="36"/>
      <c r="E1438" s="37"/>
      <c r="F1438" s="7"/>
      <c r="G1438" s="65"/>
      <c r="H1438" s="9"/>
    </row>
    <row r="1439" spans="2:8" ht="15.75" hidden="1" customHeight="1" thickBot="1" x14ac:dyDescent="0.3">
      <c r="B1439" s="10" t="s">
        <v>45</v>
      </c>
      <c r="C1439" s="35" t="str">
        <f t="shared" si="16"/>
        <v/>
      </c>
      <c r="D1439" s="36"/>
      <c r="E1439" s="37"/>
      <c r="F1439" s="7"/>
      <c r="G1439" s="65"/>
      <c r="H1439" s="9"/>
    </row>
    <row r="1440" spans="2:8" ht="15.75" hidden="1" customHeight="1" thickBot="1" x14ac:dyDescent="0.3">
      <c r="B1440" s="10" t="s">
        <v>45</v>
      </c>
      <c r="C1440" s="35" t="str">
        <f t="shared" si="16"/>
        <v/>
      </c>
      <c r="D1440" s="36"/>
      <c r="E1440" s="37"/>
      <c r="F1440" s="7"/>
      <c r="G1440" s="65"/>
      <c r="H1440" s="9"/>
    </row>
    <row r="1441" spans="2:8" ht="15.75" hidden="1" customHeight="1" thickBot="1" x14ac:dyDescent="0.3">
      <c r="B1441" s="10" t="s">
        <v>45</v>
      </c>
      <c r="C1441" s="35" t="str">
        <f t="shared" si="16"/>
        <v/>
      </c>
      <c r="D1441" s="36"/>
      <c r="E1441" s="37"/>
      <c r="F1441" s="7"/>
      <c r="G1441" s="65"/>
      <c r="H1441" s="9"/>
    </row>
    <row r="1442" spans="2:8" ht="15.75" hidden="1" customHeight="1" thickBot="1" x14ac:dyDescent="0.3">
      <c r="B1442" s="10" t="s">
        <v>45</v>
      </c>
      <c r="C1442" s="35" t="str">
        <f t="shared" si="16"/>
        <v/>
      </c>
      <c r="D1442" s="36"/>
      <c r="E1442" s="37"/>
      <c r="F1442" s="7"/>
      <c r="G1442" s="65"/>
      <c r="H1442" s="9"/>
    </row>
    <row r="1443" spans="2:8" ht="15.75" hidden="1" customHeight="1" thickBot="1" x14ac:dyDescent="0.3">
      <c r="B1443" s="10" t="s">
        <v>45</v>
      </c>
      <c r="C1443" s="35" t="str">
        <f t="shared" si="16"/>
        <v/>
      </c>
      <c r="D1443" s="36"/>
      <c r="E1443" s="37"/>
      <c r="F1443" s="7"/>
      <c r="G1443" s="65"/>
      <c r="H1443" s="9"/>
    </row>
    <row r="1444" spans="2:8" ht="15.75" hidden="1" customHeight="1" thickBot="1" x14ac:dyDescent="0.3">
      <c r="B1444" s="10" t="s">
        <v>45</v>
      </c>
      <c r="C1444" s="35" t="str">
        <f t="shared" si="16"/>
        <v/>
      </c>
      <c r="D1444" s="36"/>
      <c r="E1444" s="37"/>
      <c r="F1444" s="7"/>
      <c r="G1444" s="65"/>
      <c r="H1444" s="9"/>
    </row>
    <row r="1445" spans="2:8" ht="15.75" hidden="1" customHeight="1" thickBot="1" x14ac:dyDescent="0.3">
      <c r="B1445" s="10" t="s">
        <v>45</v>
      </c>
      <c r="C1445" s="35" t="str">
        <f t="shared" si="16"/>
        <v/>
      </c>
      <c r="D1445" s="36"/>
      <c r="E1445" s="37"/>
      <c r="F1445" s="7"/>
      <c r="G1445" s="65"/>
      <c r="H1445" s="9"/>
    </row>
    <row r="1446" spans="2:8" ht="15.75" hidden="1" customHeight="1" thickBot="1" x14ac:dyDescent="0.3">
      <c r="B1446" s="10" t="s">
        <v>45</v>
      </c>
      <c r="C1446" s="35" t="str">
        <f t="shared" si="16"/>
        <v/>
      </c>
      <c r="D1446" s="36"/>
      <c r="E1446" s="37"/>
      <c r="F1446" s="7"/>
      <c r="G1446" s="65"/>
      <c r="H1446" s="9"/>
    </row>
    <row r="1447" spans="2:8" ht="15.75" hidden="1" customHeight="1" thickBot="1" x14ac:dyDescent="0.3">
      <c r="B1447" s="10" t="s">
        <v>45</v>
      </c>
      <c r="C1447" s="35" t="str">
        <f t="shared" si="16"/>
        <v/>
      </c>
      <c r="D1447" s="36"/>
      <c r="E1447" s="37"/>
      <c r="F1447" s="7"/>
      <c r="G1447" s="65"/>
      <c r="H1447" s="9"/>
    </row>
    <row r="1448" spans="2:8" ht="15.75" hidden="1" customHeight="1" thickBot="1" x14ac:dyDescent="0.3">
      <c r="B1448" s="10" t="s">
        <v>45</v>
      </c>
      <c r="C1448" s="35" t="str">
        <f t="shared" si="16"/>
        <v/>
      </c>
      <c r="D1448" s="36"/>
      <c r="E1448" s="37"/>
      <c r="F1448" s="7"/>
      <c r="G1448" s="65"/>
      <c r="H1448" s="9"/>
    </row>
    <row r="1449" spans="2:8" ht="15.75" hidden="1" customHeight="1" thickBot="1" x14ac:dyDescent="0.3">
      <c r="B1449" s="10" t="s">
        <v>45</v>
      </c>
      <c r="C1449" s="35" t="str">
        <f t="shared" si="16"/>
        <v/>
      </c>
      <c r="D1449" s="36"/>
      <c r="E1449" s="37"/>
      <c r="F1449" s="7"/>
      <c r="G1449" s="65"/>
      <c r="H1449" s="9"/>
    </row>
    <row r="1450" spans="2:8" ht="15.75" hidden="1" customHeight="1" thickBot="1" x14ac:dyDescent="0.3">
      <c r="B1450" s="10" t="s">
        <v>45</v>
      </c>
      <c r="C1450" s="35" t="str">
        <f t="shared" si="16"/>
        <v/>
      </c>
      <c r="D1450" s="36"/>
      <c r="E1450" s="37"/>
      <c r="F1450" s="7"/>
      <c r="G1450" s="65"/>
      <c r="H1450" s="9"/>
    </row>
    <row r="1451" spans="2:8" ht="15.75" hidden="1" customHeight="1" thickBot="1" x14ac:dyDescent="0.3">
      <c r="B1451" s="10" t="s">
        <v>45</v>
      </c>
      <c r="C1451" s="35" t="str">
        <f t="shared" si="16"/>
        <v/>
      </c>
      <c r="D1451" s="36"/>
      <c r="E1451" s="37"/>
      <c r="F1451" s="7"/>
      <c r="G1451" s="65"/>
      <c r="H1451" s="9"/>
    </row>
    <row r="1452" spans="2:8" ht="15.75" hidden="1" customHeight="1" thickBot="1" x14ac:dyDescent="0.3">
      <c r="B1452" s="10" t="s">
        <v>45</v>
      </c>
      <c r="C1452" s="35" t="str">
        <f t="shared" si="16"/>
        <v/>
      </c>
      <c r="D1452" s="36"/>
      <c r="E1452" s="37"/>
      <c r="F1452" s="7"/>
      <c r="G1452" s="65"/>
      <c r="H1452" s="9"/>
    </row>
    <row r="1453" spans="2:8" ht="15.75" hidden="1" customHeight="1" thickBot="1" x14ac:dyDescent="0.3">
      <c r="B1453" s="10" t="s">
        <v>45</v>
      </c>
      <c r="C1453" s="35" t="str">
        <f t="shared" si="16"/>
        <v/>
      </c>
      <c r="D1453" s="36"/>
      <c r="E1453" s="37"/>
      <c r="F1453" s="7"/>
      <c r="G1453" s="65"/>
      <c r="H1453" s="9"/>
    </row>
    <row r="1454" spans="2:8" ht="15.75" hidden="1" customHeight="1" thickBot="1" x14ac:dyDescent="0.3">
      <c r="B1454" s="10" t="s">
        <v>45</v>
      </c>
      <c r="C1454" s="35" t="str">
        <f t="shared" si="16"/>
        <v/>
      </c>
      <c r="D1454" s="36"/>
      <c r="E1454" s="37"/>
      <c r="F1454" s="7"/>
      <c r="G1454" s="65"/>
      <c r="H1454" s="9"/>
    </row>
    <row r="1455" spans="2:8" ht="15.75" hidden="1" customHeight="1" thickBot="1" x14ac:dyDescent="0.3">
      <c r="B1455" s="10" t="s">
        <v>45</v>
      </c>
      <c r="C1455" s="35" t="str">
        <f t="shared" si="16"/>
        <v/>
      </c>
      <c r="D1455" s="36"/>
      <c r="E1455" s="37"/>
      <c r="F1455" s="7"/>
      <c r="G1455" s="65"/>
      <c r="H1455" s="9"/>
    </row>
    <row r="1456" spans="2:8" ht="15.75" hidden="1" customHeight="1" thickBot="1" x14ac:dyDescent="0.3">
      <c r="B1456" s="10" t="s">
        <v>45</v>
      </c>
      <c r="C1456" s="35" t="str">
        <f t="shared" si="16"/>
        <v/>
      </c>
      <c r="D1456" s="36"/>
      <c r="E1456" s="37"/>
      <c r="F1456" s="7"/>
      <c r="G1456" s="65"/>
      <c r="H1456" s="9"/>
    </row>
    <row r="1457" spans="2:8" ht="15.75" hidden="1" customHeight="1" thickBot="1" x14ac:dyDescent="0.3">
      <c r="B1457" s="10" t="s">
        <v>45</v>
      </c>
      <c r="C1457" s="35" t="str">
        <f t="shared" si="16"/>
        <v/>
      </c>
      <c r="D1457" s="36"/>
      <c r="E1457" s="37"/>
      <c r="F1457" s="7"/>
      <c r="G1457" s="65"/>
      <c r="H1457" s="9"/>
    </row>
    <row r="1458" spans="2:8" ht="15.75" hidden="1" customHeight="1" thickBot="1" x14ac:dyDescent="0.3">
      <c r="B1458" s="10" t="s">
        <v>45</v>
      </c>
      <c r="C1458" s="35" t="str">
        <f t="shared" si="16"/>
        <v/>
      </c>
      <c r="D1458" s="36"/>
      <c r="E1458" s="37"/>
      <c r="F1458" s="7"/>
      <c r="G1458" s="65"/>
      <c r="H1458" s="9"/>
    </row>
    <row r="1459" spans="2:8" ht="15.75" hidden="1" customHeight="1" thickBot="1" x14ac:dyDescent="0.3">
      <c r="B1459" s="10" t="s">
        <v>45</v>
      </c>
      <c r="C1459" s="35" t="str">
        <f t="shared" si="16"/>
        <v/>
      </c>
      <c r="D1459" s="36"/>
      <c r="E1459" s="37"/>
      <c r="F1459" s="7"/>
      <c r="G1459" s="65"/>
      <c r="H1459" s="9"/>
    </row>
    <row r="1460" spans="2:8" ht="15.75" hidden="1" customHeight="1" thickBot="1" x14ac:dyDescent="0.3">
      <c r="B1460" s="10" t="s">
        <v>45</v>
      </c>
      <c r="C1460" s="35" t="str">
        <f t="shared" si="16"/>
        <v/>
      </c>
      <c r="D1460" s="36"/>
      <c r="E1460" s="37"/>
      <c r="F1460" s="7"/>
      <c r="G1460" s="65"/>
      <c r="H1460" s="9"/>
    </row>
    <row r="1461" spans="2:8" ht="15.75" hidden="1" customHeight="1" thickBot="1" x14ac:dyDescent="0.3">
      <c r="B1461" s="10" t="s">
        <v>45</v>
      </c>
      <c r="C1461" s="35" t="str">
        <f t="shared" si="16"/>
        <v/>
      </c>
      <c r="D1461" s="36"/>
      <c r="E1461" s="37"/>
      <c r="F1461" s="7"/>
      <c r="G1461" s="65"/>
      <c r="H1461" s="9"/>
    </row>
    <row r="1462" spans="2:8" ht="15.75" hidden="1" customHeight="1" thickBot="1" x14ac:dyDescent="0.3">
      <c r="B1462" s="10" t="s">
        <v>45</v>
      </c>
      <c r="C1462" s="35" t="str">
        <f t="shared" si="16"/>
        <v/>
      </c>
      <c r="D1462" s="36"/>
      <c r="E1462" s="37"/>
      <c r="F1462" s="7"/>
      <c r="G1462" s="65"/>
      <c r="H1462" s="9"/>
    </row>
    <row r="1463" spans="2:8" ht="15.75" hidden="1" customHeight="1" thickBot="1" x14ac:dyDescent="0.3">
      <c r="B1463" s="10" t="s">
        <v>45</v>
      </c>
      <c r="C1463" s="35" t="str">
        <f t="shared" si="16"/>
        <v/>
      </c>
      <c r="D1463" s="36"/>
      <c r="E1463" s="37"/>
      <c r="F1463" s="7"/>
      <c r="G1463" s="65"/>
      <c r="H1463" s="9"/>
    </row>
    <row r="1464" spans="2:8" ht="15.75" hidden="1" customHeight="1" thickBot="1" x14ac:dyDescent="0.3">
      <c r="B1464" s="10" t="s">
        <v>45</v>
      </c>
      <c r="C1464" s="35" t="str">
        <f t="shared" si="16"/>
        <v/>
      </c>
      <c r="D1464" s="36"/>
      <c r="E1464" s="37"/>
      <c r="F1464" s="7"/>
      <c r="G1464" s="65"/>
      <c r="H1464" s="9"/>
    </row>
    <row r="1465" spans="2:8" ht="15.75" hidden="1" customHeight="1" thickBot="1" x14ac:dyDescent="0.3">
      <c r="B1465" s="10" t="s">
        <v>45</v>
      </c>
      <c r="C1465" s="35" t="str">
        <f t="shared" si="16"/>
        <v/>
      </c>
      <c r="D1465" s="36"/>
      <c r="E1465" s="37"/>
      <c r="F1465" s="7"/>
      <c r="G1465" s="65"/>
      <c r="H1465" s="9"/>
    </row>
    <row r="1466" spans="2:8" ht="15.75" hidden="1" customHeight="1" thickBot="1" x14ac:dyDescent="0.3">
      <c r="B1466" s="10" t="s">
        <v>45</v>
      </c>
      <c r="C1466" s="35" t="str">
        <f t="shared" si="16"/>
        <v/>
      </c>
      <c r="D1466" s="36"/>
      <c r="E1466" s="37"/>
      <c r="F1466" s="7"/>
      <c r="G1466" s="65"/>
      <c r="H1466" s="9"/>
    </row>
    <row r="1467" spans="2:8" ht="15.75" hidden="1" customHeight="1" thickBot="1" x14ac:dyDescent="0.3">
      <c r="B1467" s="10" t="s">
        <v>45</v>
      </c>
      <c r="C1467" s="35" t="str">
        <f t="shared" si="16"/>
        <v/>
      </c>
      <c r="D1467" s="36"/>
      <c r="E1467" s="37"/>
      <c r="F1467" s="7"/>
      <c r="G1467" s="65"/>
      <c r="H1467" s="9"/>
    </row>
    <row r="1468" spans="2:8" ht="15.75" hidden="1" customHeight="1" thickBot="1" x14ac:dyDescent="0.3">
      <c r="B1468" s="10" t="s">
        <v>45</v>
      </c>
      <c r="C1468" s="35" t="str">
        <f t="shared" si="16"/>
        <v/>
      </c>
      <c r="D1468" s="36"/>
      <c r="E1468" s="37"/>
      <c r="F1468" s="7"/>
      <c r="G1468" s="65"/>
      <c r="H1468" s="9"/>
    </row>
    <row r="1469" spans="2:8" ht="15.75" hidden="1" customHeight="1" thickBot="1" x14ac:dyDescent="0.3">
      <c r="B1469" s="10" t="s">
        <v>45</v>
      </c>
      <c r="C1469" s="35" t="str">
        <f t="shared" si="16"/>
        <v/>
      </c>
      <c r="D1469" s="36"/>
      <c r="E1469" s="37"/>
      <c r="F1469" s="7"/>
      <c r="G1469" s="65"/>
      <c r="H1469" s="9"/>
    </row>
    <row r="1470" spans="2:8" ht="15.75" hidden="1" customHeight="1" thickBot="1" x14ac:dyDescent="0.3">
      <c r="B1470" s="10" t="s">
        <v>45</v>
      </c>
      <c r="C1470" s="35" t="str">
        <f t="shared" si="16"/>
        <v/>
      </c>
      <c r="D1470" s="36"/>
      <c r="E1470" s="37"/>
      <c r="F1470" s="7"/>
      <c r="G1470" s="65"/>
      <c r="H1470" s="9"/>
    </row>
    <row r="1471" spans="2:8" ht="15.75" hidden="1" customHeight="1" thickBot="1" x14ac:dyDescent="0.3">
      <c r="B1471" s="10" t="s">
        <v>45</v>
      </c>
      <c r="C1471" s="35" t="str">
        <f t="shared" si="16"/>
        <v/>
      </c>
      <c r="D1471" s="36"/>
      <c r="E1471" s="37"/>
      <c r="F1471" s="7"/>
      <c r="G1471" s="65"/>
      <c r="H1471" s="9"/>
    </row>
    <row r="1472" spans="2:8" ht="15.75" hidden="1" customHeight="1" thickBot="1" x14ac:dyDescent="0.3">
      <c r="B1472" s="10" t="s">
        <v>45</v>
      </c>
      <c r="C1472" s="35" t="str">
        <f t="shared" si="16"/>
        <v/>
      </c>
      <c r="D1472" s="36"/>
      <c r="E1472" s="37"/>
      <c r="F1472" s="7"/>
      <c r="G1472" s="65"/>
      <c r="H1472" s="9"/>
    </row>
    <row r="1473" spans="2:8" ht="15.75" hidden="1" customHeight="1" thickBot="1" x14ac:dyDescent="0.3">
      <c r="B1473" s="10" t="s">
        <v>45</v>
      </c>
      <c r="C1473" s="35" t="str">
        <f t="shared" si="16"/>
        <v/>
      </c>
      <c r="D1473" s="36"/>
      <c r="E1473" s="37"/>
      <c r="F1473" s="7"/>
      <c r="G1473" s="65"/>
      <c r="H1473" s="9"/>
    </row>
    <row r="1474" spans="2:8" ht="15.75" hidden="1" customHeight="1" thickBot="1" x14ac:dyDescent="0.3">
      <c r="B1474" s="10" t="s">
        <v>45</v>
      </c>
      <c r="C1474" s="35" t="str">
        <f t="shared" si="16"/>
        <v/>
      </c>
      <c r="D1474" s="36"/>
      <c r="E1474" s="37"/>
      <c r="F1474" s="7"/>
      <c r="G1474" s="65"/>
      <c r="H1474" s="9"/>
    </row>
    <row r="1475" spans="2:8" ht="15.75" hidden="1" customHeight="1" thickBot="1" x14ac:dyDescent="0.3">
      <c r="B1475" s="10" t="s">
        <v>45</v>
      </c>
      <c r="C1475" s="35" t="str">
        <f t="shared" si="16"/>
        <v/>
      </c>
      <c r="D1475" s="36"/>
      <c r="E1475" s="37"/>
      <c r="F1475" s="7"/>
      <c r="G1475" s="65"/>
      <c r="H1475" s="9"/>
    </row>
    <row r="1476" spans="2:8" ht="15.75" hidden="1" customHeight="1" thickBot="1" x14ac:dyDescent="0.3">
      <c r="B1476" s="10" t="s">
        <v>45</v>
      </c>
      <c r="C1476" s="35" t="str">
        <f t="shared" ref="C1476:C1539" si="17">IF(E1476="","",IF(ISERROR(VLOOKUP(E1476,rTimeZoneTable,8,0)),"Update Contacts",VLOOKUP(E1476,rTimeZoneTable,8,0)))</f>
        <v/>
      </c>
      <c r="D1476" s="36"/>
      <c r="E1476" s="37"/>
      <c r="F1476" s="7"/>
      <c r="G1476" s="65"/>
      <c r="H1476" s="9"/>
    </row>
    <row r="1477" spans="2:8" ht="15.75" hidden="1" customHeight="1" thickBot="1" x14ac:dyDescent="0.3">
      <c r="B1477" s="10" t="s">
        <v>45</v>
      </c>
      <c r="C1477" s="35" t="str">
        <f t="shared" si="17"/>
        <v/>
      </c>
      <c r="D1477" s="36"/>
      <c r="E1477" s="37"/>
      <c r="F1477" s="7"/>
      <c r="G1477" s="65"/>
      <c r="H1477" s="9"/>
    </row>
    <row r="1478" spans="2:8" ht="15.75" hidden="1" customHeight="1" thickBot="1" x14ac:dyDescent="0.3">
      <c r="B1478" s="10" t="s">
        <v>45</v>
      </c>
      <c r="C1478" s="35" t="str">
        <f t="shared" si="17"/>
        <v/>
      </c>
      <c r="D1478" s="36"/>
      <c r="E1478" s="37"/>
      <c r="F1478" s="7"/>
      <c r="G1478" s="65"/>
      <c r="H1478" s="9"/>
    </row>
    <row r="1479" spans="2:8" ht="15.75" hidden="1" customHeight="1" thickBot="1" x14ac:dyDescent="0.3">
      <c r="B1479" s="10" t="s">
        <v>45</v>
      </c>
      <c r="C1479" s="35" t="str">
        <f t="shared" si="17"/>
        <v/>
      </c>
      <c r="D1479" s="36"/>
      <c r="E1479" s="37"/>
      <c r="F1479" s="7"/>
      <c r="G1479" s="65"/>
      <c r="H1479" s="9"/>
    </row>
    <row r="1480" spans="2:8" ht="15.75" hidden="1" customHeight="1" thickBot="1" x14ac:dyDescent="0.3">
      <c r="B1480" s="10" t="s">
        <v>45</v>
      </c>
      <c r="C1480" s="35" t="str">
        <f t="shared" si="17"/>
        <v/>
      </c>
      <c r="D1480" s="36"/>
      <c r="E1480" s="37"/>
      <c r="F1480" s="7"/>
      <c r="G1480" s="65"/>
      <c r="H1480" s="9"/>
    </row>
    <row r="1481" spans="2:8" ht="15.75" hidden="1" customHeight="1" thickBot="1" x14ac:dyDescent="0.3">
      <c r="B1481" s="10" t="s">
        <v>45</v>
      </c>
      <c r="C1481" s="35" t="str">
        <f t="shared" si="17"/>
        <v/>
      </c>
      <c r="D1481" s="36"/>
      <c r="E1481" s="37"/>
      <c r="F1481" s="7"/>
      <c r="G1481" s="65"/>
      <c r="H1481" s="9"/>
    </row>
    <row r="1482" spans="2:8" ht="15.75" hidden="1" customHeight="1" thickBot="1" x14ac:dyDescent="0.3">
      <c r="B1482" s="10" t="s">
        <v>45</v>
      </c>
      <c r="C1482" s="35" t="str">
        <f t="shared" si="17"/>
        <v/>
      </c>
      <c r="D1482" s="36"/>
      <c r="E1482" s="37"/>
      <c r="F1482" s="7"/>
      <c r="G1482" s="65"/>
      <c r="H1482" s="9"/>
    </row>
    <row r="1483" spans="2:8" ht="15.75" hidden="1" customHeight="1" thickBot="1" x14ac:dyDescent="0.3">
      <c r="B1483" s="10" t="s">
        <v>45</v>
      </c>
      <c r="C1483" s="35" t="str">
        <f t="shared" si="17"/>
        <v/>
      </c>
      <c r="D1483" s="36"/>
      <c r="E1483" s="37"/>
      <c r="F1483" s="7"/>
      <c r="G1483" s="65"/>
      <c r="H1483" s="9"/>
    </row>
    <row r="1484" spans="2:8" ht="15.75" hidden="1" customHeight="1" thickBot="1" x14ac:dyDescent="0.3">
      <c r="B1484" s="10" t="s">
        <v>45</v>
      </c>
      <c r="C1484" s="35" t="str">
        <f t="shared" si="17"/>
        <v/>
      </c>
      <c r="D1484" s="36"/>
      <c r="E1484" s="37"/>
      <c r="F1484" s="7"/>
      <c r="G1484" s="65"/>
      <c r="H1484" s="9"/>
    </row>
    <row r="1485" spans="2:8" ht="15.75" hidden="1" customHeight="1" thickBot="1" x14ac:dyDescent="0.3">
      <c r="B1485" s="10" t="s">
        <v>45</v>
      </c>
      <c r="C1485" s="35" t="str">
        <f t="shared" si="17"/>
        <v/>
      </c>
      <c r="D1485" s="36"/>
      <c r="E1485" s="37"/>
      <c r="F1485" s="7"/>
      <c r="G1485" s="65"/>
      <c r="H1485" s="9"/>
    </row>
    <row r="1486" spans="2:8" ht="15.75" hidden="1" customHeight="1" thickBot="1" x14ac:dyDescent="0.3">
      <c r="B1486" s="10" t="s">
        <v>45</v>
      </c>
      <c r="C1486" s="35" t="str">
        <f t="shared" si="17"/>
        <v/>
      </c>
      <c r="D1486" s="36"/>
      <c r="E1486" s="37"/>
      <c r="F1486" s="7"/>
      <c r="G1486" s="65"/>
      <c r="H1486" s="9"/>
    </row>
    <row r="1487" spans="2:8" ht="15.75" hidden="1" customHeight="1" thickBot="1" x14ac:dyDescent="0.3">
      <c r="B1487" s="10" t="s">
        <v>45</v>
      </c>
      <c r="C1487" s="35" t="str">
        <f t="shared" si="17"/>
        <v/>
      </c>
      <c r="D1487" s="36"/>
      <c r="E1487" s="37"/>
      <c r="F1487" s="7"/>
      <c r="G1487" s="65"/>
      <c r="H1487" s="9"/>
    </row>
    <row r="1488" spans="2:8" ht="15.75" hidden="1" customHeight="1" thickBot="1" x14ac:dyDescent="0.3">
      <c r="B1488" s="10" t="s">
        <v>45</v>
      </c>
      <c r="C1488" s="35" t="str">
        <f t="shared" si="17"/>
        <v/>
      </c>
      <c r="D1488" s="36"/>
      <c r="E1488" s="37"/>
      <c r="F1488" s="7"/>
      <c r="G1488" s="65"/>
      <c r="H1488" s="9"/>
    </row>
    <row r="1489" spans="2:8" ht="15.75" hidden="1" customHeight="1" thickBot="1" x14ac:dyDescent="0.3">
      <c r="B1489" s="10" t="s">
        <v>45</v>
      </c>
      <c r="C1489" s="35" t="str">
        <f t="shared" si="17"/>
        <v/>
      </c>
      <c r="D1489" s="36"/>
      <c r="E1489" s="37"/>
      <c r="F1489" s="7"/>
      <c r="G1489" s="65"/>
      <c r="H1489" s="9"/>
    </row>
    <row r="1490" spans="2:8" ht="15.75" hidden="1" customHeight="1" thickBot="1" x14ac:dyDescent="0.3">
      <c r="B1490" s="10" t="s">
        <v>45</v>
      </c>
      <c r="C1490" s="35" t="str">
        <f t="shared" si="17"/>
        <v/>
      </c>
      <c r="D1490" s="36"/>
      <c r="E1490" s="37"/>
      <c r="F1490" s="7"/>
      <c r="G1490" s="65"/>
      <c r="H1490" s="9"/>
    </row>
    <row r="1491" spans="2:8" ht="15.75" hidden="1" customHeight="1" thickBot="1" x14ac:dyDescent="0.3">
      <c r="B1491" s="10" t="s">
        <v>45</v>
      </c>
      <c r="C1491" s="35" t="str">
        <f t="shared" si="17"/>
        <v/>
      </c>
      <c r="D1491" s="36"/>
      <c r="E1491" s="37"/>
      <c r="F1491" s="7"/>
      <c r="G1491" s="65"/>
      <c r="H1491" s="9"/>
    </row>
    <row r="1492" spans="2:8" ht="15.75" hidden="1" customHeight="1" thickBot="1" x14ac:dyDescent="0.3">
      <c r="B1492" s="10" t="s">
        <v>45</v>
      </c>
      <c r="C1492" s="35" t="str">
        <f t="shared" si="17"/>
        <v/>
      </c>
      <c r="D1492" s="36"/>
      <c r="E1492" s="37"/>
      <c r="F1492" s="7"/>
      <c r="G1492" s="65"/>
      <c r="H1492" s="9"/>
    </row>
    <row r="1493" spans="2:8" ht="15.75" hidden="1" customHeight="1" thickBot="1" x14ac:dyDescent="0.3">
      <c r="B1493" s="10" t="s">
        <v>45</v>
      </c>
      <c r="C1493" s="35" t="str">
        <f t="shared" si="17"/>
        <v/>
      </c>
      <c r="D1493" s="36"/>
      <c r="E1493" s="37"/>
      <c r="F1493" s="7"/>
      <c r="G1493" s="65"/>
      <c r="H1493" s="9"/>
    </row>
    <row r="1494" spans="2:8" ht="15.75" hidden="1" customHeight="1" thickBot="1" x14ac:dyDescent="0.3">
      <c r="B1494" s="10" t="s">
        <v>45</v>
      </c>
      <c r="C1494" s="35" t="str">
        <f t="shared" si="17"/>
        <v/>
      </c>
      <c r="D1494" s="36"/>
      <c r="E1494" s="37"/>
      <c r="F1494" s="7"/>
      <c r="G1494" s="65"/>
      <c r="H1494" s="9"/>
    </row>
    <row r="1495" spans="2:8" ht="15.75" hidden="1" customHeight="1" thickBot="1" x14ac:dyDescent="0.3">
      <c r="B1495" s="10" t="s">
        <v>45</v>
      </c>
      <c r="C1495" s="35" t="str">
        <f t="shared" si="17"/>
        <v/>
      </c>
      <c r="D1495" s="36"/>
      <c r="E1495" s="37"/>
      <c r="F1495" s="7"/>
      <c r="G1495" s="65"/>
      <c r="H1495" s="9"/>
    </row>
    <row r="1496" spans="2:8" ht="15.75" hidden="1" customHeight="1" thickBot="1" x14ac:dyDescent="0.3">
      <c r="B1496" s="10" t="s">
        <v>45</v>
      </c>
      <c r="C1496" s="35" t="str">
        <f t="shared" si="17"/>
        <v/>
      </c>
      <c r="D1496" s="36"/>
      <c r="E1496" s="37"/>
      <c r="F1496" s="7"/>
      <c r="G1496" s="65"/>
      <c r="H1496" s="9"/>
    </row>
    <row r="1497" spans="2:8" ht="15.75" hidden="1" customHeight="1" thickBot="1" x14ac:dyDescent="0.3">
      <c r="B1497" s="10" t="s">
        <v>45</v>
      </c>
      <c r="C1497" s="35" t="str">
        <f t="shared" si="17"/>
        <v/>
      </c>
      <c r="D1497" s="36"/>
      <c r="E1497" s="37"/>
      <c r="F1497" s="7"/>
      <c r="G1497" s="65"/>
      <c r="H1497" s="9"/>
    </row>
    <row r="1498" spans="2:8" ht="15.75" hidden="1" customHeight="1" thickBot="1" x14ac:dyDescent="0.3">
      <c r="B1498" s="10" t="s">
        <v>45</v>
      </c>
      <c r="C1498" s="35" t="str">
        <f t="shared" si="17"/>
        <v/>
      </c>
      <c r="D1498" s="36"/>
      <c r="E1498" s="37"/>
      <c r="F1498" s="7"/>
      <c r="G1498" s="65"/>
      <c r="H1498" s="9"/>
    </row>
    <row r="1499" spans="2:8" ht="15.75" hidden="1" customHeight="1" thickBot="1" x14ac:dyDescent="0.3">
      <c r="B1499" s="10" t="s">
        <v>45</v>
      </c>
      <c r="C1499" s="35" t="str">
        <f t="shared" si="17"/>
        <v/>
      </c>
      <c r="D1499" s="36"/>
      <c r="E1499" s="37"/>
      <c r="F1499" s="7"/>
      <c r="G1499" s="65"/>
      <c r="H1499" s="9"/>
    </row>
    <row r="1500" spans="2:8" ht="15.75" hidden="1" customHeight="1" thickBot="1" x14ac:dyDescent="0.3">
      <c r="B1500" s="10" t="s">
        <v>45</v>
      </c>
      <c r="C1500" s="35" t="str">
        <f t="shared" si="17"/>
        <v/>
      </c>
      <c r="D1500" s="36"/>
      <c r="E1500" s="37"/>
      <c r="F1500" s="7"/>
      <c r="G1500" s="65"/>
      <c r="H1500" s="9"/>
    </row>
    <row r="1501" spans="2:8" ht="15.75" hidden="1" customHeight="1" thickBot="1" x14ac:dyDescent="0.3">
      <c r="B1501" s="10" t="s">
        <v>45</v>
      </c>
      <c r="C1501" s="35" t="str">
        <f t="shared" si="17"/>
        <v/>
      </c>
      <c r="D1501" s="36"/>
      <c r="E1501" s="37"/>
      <c r="F1501" s="7"/>
      <c r="G1501" s="65"/>
      <c r="H1501" s="9"/>
    </row>
    <row r="1502" spans="2:8" ht="15.75" hidden="1" customHeight="1" thickBot="1" x14ac:dyDescent="0.3">
      <c r="B1502" s="10" t="s">
        <v>45</v>
      </c>
      <c r="C1502" s="35" t="str">
        <f t="shared" si="17"/>
        <v/>
      </c>
      <c r="D1502" s="36"/>
      <c r="E1502" s="37"/>
      <c r="F1502" s="7"/>
      <c r="G1502" s="65"/>
      <c r="H1502" s="9"/>
    </row>
    <row r="1503" spans="2:8" ht="15.75" hidden="1" customHeight="1" thickBot="1" x14ac:dyDescent="0.3">
      <c r="B1503" s="10" t="s">
        <v>45</v>
      </c>
      <c r="C1503" s="35" t="str">
        <f t="shared" si="17"/>
        <v/>
      </c>
      <c r="D1503" s="36"/>
      <c r="E1503" s="37"/>
      <c r="F1503" s="7"/>
      <c r="G1503" s="65"/>
      <c r="H1503" s="9"/>
    </row>
    <row r="1504" spans="2:8" ht="15.75" hidden="1" customHeight="1" thickBot="1" x14ac:dyDescent="0.3">
      <c r="B1504" s="10" t="s">
        <v>45</v>
      </c>
      <c r="C1504" s="35" t="str">
        <f t="shared" si="17"/>
        <v/>
      </c>
      <c r="D1504" s="36"/>
      <c r="E1504" s="37"/>
      <c r="F1504" s="7"/>
      <c r="G1504" s="65"/>
      <c r="H1504" s="9"/>
    </row>
    <row r="1505" spans="2:8" ht="15.75" hidden="1" customHeight="1" thickBot="1" x14ac:dyDescent="0.3">
      <c r="B1505" s="10" t="s">
        <v>45</v>
      </c>
      <c r="C1505" s="35" t="str">
        <f t="shared" si="17"/>
        <v/>
      </c>
      <c r="D1505" s="36"/>
      <c r="E1505" s="37"/>
      <c r="F1505" s="7"/>
      <c r="G1505" s="65"/>
      <c r="H1505" s="9"/>
    </row>
    <row r="1506" spans="2:8" ht="15.75" hidden="1" customHeight="1" thickBot="1" x14ac:dyDescent="0.3">
      <c r="B1506" s="10" t="s">
        <v>45</v>
      </c>
      <c r="C1506" s="35" t="str">
        <f t="shared" si="17"/>
        <v/>
      </c>
      <c r="D1506" s="36"/>
      <c r="E1506" s="37"/>
      <c r="F1506" s="7"/>
      <c r="G1506" s="65"/>
      <c r="H1506" s="9"/>
    </row>
    <row r="1507" spans="2:8" ht="15.75" hidden="1" customHeight="1" thickBot="1" x14ac:dyDescent="0.3">
      <c r="B1507" s="10" t="s">
        <v>45</v>
      </c>
      <c r="C1507" s="35" t="str">
        <f t="shared" si="17"/>
        <v/>
      </c>
      <c r="D1507" s="36"/>
      <c r="E1507" s="37"/>
      <c r="F1507" s="7"/>
      <c r="G1507" s="65"/>
      <c r="H1507" s="9"/>
    </row>
    <row r="1508" spans="2:8" ht="15.75" hidden="1" customHeight="1" thickBot="1" x14ac:dyDescent="0.3">
      <c r="B1508" s="10" t="s">
        <v>45</v>
      </c>
      <c r="C1508" s="35" t="str">
        <f t="shared" si="17"/>
        <v/>
      </c>
      <c r="D1508" s="36"/>
      <c r="E1508" s="37"/>
      <c r="F1508" s="7"/>
      <c r="G1508" s="65"/>
      <c r="H1508" s="9"/>
    </row>
    <row r="1509" spans="2:8" ht="15.75" hidden="1" customHeight="1" thickBot="1" x14ac:dyDescent="0.3">
      <c r="B1509" s="10" t="s">
        <v>45</v>
      </c>
      <c r="C1509" s="35" t="str">
        <f t="shared" si="17"/>
        <v/>
      </c>
      <c r="D1509" s="36"/>
      <c r="E1509" s="37"/>
      <c r="F1509" s="7"/>
      <c r="G1509" s="65"/>
      <c r="H1509" s="9"/>
    </row>
    <row r="1510" spans="2:8" ht="15.75" hidden="1" customHeight="1" thickBot="1" x14ac:dyDescent="0.3">
      <c r="B1510" s="10" t="s">
        <v>45</v>
      </c>
      <c r="C1510" s="35" t="str">
        <f t="shared" si="17"/>
        <v/>
      </c>
      <c r="D1510" s="36"/>
      <c r="E1510" s="37"/>
      <c r="F1510" s="7"/>
      <c r="G1510" s="65"/>
      <c r="H1510" s="9"/>
    </row>
    <row r="1511" spans="2:8" ht="15.75" hidden="1" customHeight="1" thickBot="1" x14ac:dyDescent="0.3">
      <c r="B1511" s="10" t="s">
        <v>45</v>
      </c>
      <c r="C1511" s="35" t="str">
        <f t="shared" si="17"/>
        <v/>
      </c>
      <c r="D1511" s="36"/>
      <c r="E1511" s="37"/>
      <c r="F1511" s="7"/>
      <c r="G1511" s="65"/>
      <c r="H1511" s="9"/>
    </row>
    <row r="1512" spans="2:8" ht="15.75" hidden="1" customHeight="1" thickBot="1" x14ac:dyDescent="0.3">
      <c r="B1512" s="10" t="s">
        <v>45</v>
      </c>
      <c r="C1512" s="35" t="str">
        <f t="shared" si="17"/>
        <v/>
      </c>
      <c r="D1512" s="36"/>
      <c r="E1512" s="37"/>
      <c r="F1512" s="7"/>
      <c r="G1512" s="65"/>
      <c r="H1512" s="9"/>
    </row>
    <row r="1513" spans="2:8" ht="15.75" hidden="1" customHeight="1" thickBot="1" x14ac:dyDescent="0.3">
      <c r="B1513" s="10" t="s">
        <v>45</v>
      </c>
      <c r="C1513" s="35" t="str">
        <f t="shared" si="17"/>
        <v/>
      </c>
      <c r="D1513" s="36"/>
      <c r="E1513" s="37"/>
      <c r="F1513" s="7"/>
      <c r="G1513" s="65"/>
      <c r="H1513" s="9"/>
    </row>
    <row r="1514" spans="2:8" ht="15.75" hidden="1" customHeight="1" thickBot="1" x14ac:dyDescent="0.3">
      <c r="B1514" s="10" t="s">
        <v>45</v>
      </c>
      <c r="C1514" s="35" t="str">
        <f t="shared" si="17"/>
        <v/>
      </c>
      <c r="D1514" s="36"/>
      <c r="E1514" s="37"/>
      <c r="F1514" s="7"/>
      <c r="G1514" s="65"/>
      <c r="H1514" s="9"/>
    </row>
    <row r="1515" spans="2:8" ht="15.75" hidden="1" customHeight="1" thickBot="1" x14ac:dyDescent="0.3">
      <c r="B1515" s="10" t="s">
        <v>45</v>
      </c>
      <c r="C1515" s="35" t="str">
        <f t="shared" si="17"/>
        <v/>
      </c>
      <c r="D1515" s="36"/>
      <c r="E1515" s="37"/>
      <c r="F1515" s="7"/>
      <c r="G1515" s="65"/>
      <c r="H1515" s="9"/>
    </row>
    <row r="1516" spans="2:8" ht="15.75" hidden="1" customHeight="1" thickBot="1" x14ac:dyDescent="0.3">
      <c r="B1516" s="10" t="s">
        <v>45</v>
      </c>
      <c r="C1516" s="35" t="str">
        <f t="shared" si="17"/>
        <v/>
      </c>
      <c r="D1516" s="36"/>
      <c r="E1516" s="37"/>
      <c r="F1516" s="7"/>
      <c r="G1516" s="65"/>
      <c r="H1516" s="9"/>
    </row>
    <row r="1517" spans="2:8" ht="15.75" hidden="1" customHeight="1" thickBot="1" x14ac:dyDescent="0.3">
      <c r="B1517" s="10" t="s">
        <v>45</v>
      </c>
      <c r="C1517" s="35" t="str">
        <f t="shared" si="17"/>
        <v/>
      </c>
      <c r="D1517" s="36"/>
      <c r="E1517" s="37"/>
      <c r="F1517" s="7"/>
      <c r="G1517" s="65"/>
      <c r="H1517" s="9"/>
    </row>
    <row r="1518" spans="2:8" ht="15.75" hidden="1" customHeight="1" thickBot="1" x14ac:dyDescent="0.3">
      <c r="B1518" s="10" t="s">
        <v>45</v>
      </c>
      <c r="C1518" s="35" t="str">
        <f t="shared" si="17"/>
        <v/>
      </c>
      <c r="D1518" s="36"/>
      <c r="E1518" s="37"/>
      <c r="F1518" s="7"/>
      <c r="G1518" s="65"/>
      <c r="H1518" s="9"/>
    </row>
    <row r="1519" spans="2:8" ht="15.75" hidden="1" customHeight="1" thickBot="1" x14ac:dyDescent="0.3">
      <c r="B1519" s="10" t="s">
        <v>45</v>
      </c>
      <c r="C1519" s="35" t="str">
        <f t="shared" si="17"/>
        <v/>
      </c>
      <c r="D1519" s="36"/>
      <c r="E1519" s="37"/>
      <c r="F1519" s="7"/>
      <c r="G1519" s="65"/>
      <c r="H1519" s="9"/>
    </row>
    <row r="1520" spans="2:8" ht="15.75" hidden="1" customHeight="1" thickBot="1" x14ac:dyDescent="0.3">
      <c r="B1520" s="10" t="s">
        <v>45</v>
      </c>
      <c r="C1520" s="35" t="str">
        <f t="shared" si="17"/>
        <v/>
      </c>
      <c r="D1520" s="36"/>
      <c r="E1520" s="37"/>
      <c r="F1520" s="7"/>
      <c r="G1520" s="65"/>
      <c r="H1520" s="9"/>
    </row>
    <row r="1521" spans="2:8" ht="15.75" hidden="1" customHeight="1" thickBot="1" x14ac:dyDescent="0.3">
      <c r="B1521" s="10" t="s">
        <v>45</v>
      </c>
      <c r="C1521" s="35" t="str">
        <f t="shared" si="17"/>
        <v/>
      </c>
      <c r="D1521" s="36"/>
      <c r="E1521" s="37"/>
      <c r="F1521" s="7"/>
      <c r="G1521" s="65"/>
      <c r="H1521" s="9"/>
    </row>
    <row r="1522" spans="2:8" ht="15.75" hidden="1" customHeight="1" thickBot="1" x14ac:dyDescent="0.3">
      <c r="B1522" s="10" t="s">
        <v>45</v>
      </c>
      <c r="C1522" s="35" t="str">
        <f t="shared" si="17"/>
        <v/>
      </c>
      <c r="D1522" s="36"/>
      <c r="E1522" s="37"/>
      <c r="F1522" s="7"/>
      <c r="G1522" s="65"/>
      <c r="H1522" s="9"/>
    </row>
    <row r="1523" spans="2:8" ht="15.75" hidden="1" customHeight="1" thickBot="1" x14ac:dyDescent="0.3">
      <c r="B1523" s="10" t="s">
        <v>45</v>
      </c>
      <c r="C1523" s="35" t="str">
        <f t="shared" si="17"/>
        <v/>
      </c>
      <c r="D1523" s="36"/>
      <c r="E1523" s="37"/>
      <c r="F1523" s="7"/>
      <c r="G1523" s="65"/>
      <c r="H1523" s="9"/>
    </row>
    <row r="1524" spans="2:8" ht="15.75" hidden="1" customHeight="1" thickBot="1" x14ac:dyDescent="0.3">
      <c r="B1524" s="10" t="s">
        <v>45</v>
      </c>
      <c r="C1524" s="35" t="str">
        <f t="shared" si="17"/>
        <v/>
      </c>
      <c r="D1524" s="36"/>
      <c r="E1524" s="37"/>
      <c r="F1524" s="7"/>
      <c r="G1524" s="65"/>
      <c r="H1524" s="9"/>
    </row>
    <row r="1525" spans="2:8" ht="15.75" hidden="1" customHeight="1" thickBot="1" x14ac:dyDescent="0.3">
      <c r="B1525" s="10" t="s">
        <v>45</v>
      </c>
      <c r="C1525" s="35" t="str">
        <f t="shared" si="17"/>
        <v/>
      </c>
      <c r="D1525" s="36"/>
      <c r="E1525" s="37"/>
      <c r="F1525" s="7"/>
      <c r="G1525" s="65"/>
      <c r="H1525" s="9"/>
    </row>
    <row r="1526" spans="2:8" ht="15.75" hidden="1" customHeight="1" thickBot="1" x14ac:dyDescent="0.3">
      <c r="B1526" s="10" t="s">
        <v>45</v>
      </c>
      <c r="C1526" s="35" t="str">
        <f t="shared" si="17"/>
        <v/>
      </c>
      <c r="D1526" s="36"/>
      <c r="E1526" s="37"/>
      <c r="F1526" s="7"/>
      <c r="G1526" s="65"/>
      <c r="H1526" s="9"/>
    </row>
    <row r="1527" spans="2:8" ht="15.75" hidden="1" customHeight="1" thickBot="1" x14ac:dyDescent="0.3">
      <c r="B1527" s="10" t="s">
        <v>45</v>
      </c>
      <c r="C1527" s="35" t="str">
        <f t="shared" si="17"/>
        <v/>
      </c>
      <c r="D1527" s="36"/>
      <c r="E1527" s="37"/>
      <c r="F1527" s="7"/>
      <c r="G1527" s="65"/>
      <c r="H1527" s="9"/>
    </row>
    <row r="1528" spans="2:8" ht="15.75" hidden="1" customHeight="1" thickBot="1" x14ac:dyDescent="0.3">
      <c r="B1528" s="10" t="s">
        <v>45</v>
      </c>
      <c r="C1528" s="35" t="str">
        <f t="shared" si="17"/>
        <v/>
      </c>
      <c r="D1528" s="36"/>
      <c r="E1528" s="37"/>
      <c r="F1528" s="7"/>
      <c r="G1528" s="65"/>
      <c r="H1528" s="9"/>
    </row>
    <row r="1529" spans="2:8" ht="15.75" hidden="1" customHeight="1" thickBot="1" x14ac:dyDescent="0.3">
      <c r="B1529" s="10" t="s">
        <v>45</v>
      </c>
      <c r="C1529" s="35" t="str">
        <f t="shared" si="17"/>
        <v/>
      </c>
      <c r="D1529" s="36"/>
      <c r="E1529" s="37"/>
      <c r="F1529" s="7"/>
      <c r="G1529" s="65"/>
      <c r="H1529" s="9"/>
    </row>
    <row r="1530" spans="2:8" ht="15.75" hidden="1" customHeight="1" thickBot="1" x14ac:dyDescent="0.3">
      <c r="B1530" s="10" t="s">
        <v>45</v>
      </c>
      <c r="C1530" s="35" t="str">
        <f t="shared" si="17"/>
        <v/>
      </c>
      <c r="D1530" s="36"/>
      <c r="E1530" s="37"/>
      <c r="F1530" s="7"/>
      <c r="G1530" s="65"/>
      <c r="H1530" s="9"/>
    </row>
    <row r="1531" spans="2:8" ht="15.75" hidden="1" customHeight="1" thickBot="1" x14ac:dyDescent="0.3">
      <c r="B1531" s="10" t="s">
        <v>45</v>
      </c>
      <c r="C1531" s="35" t="str">
        <f t="shared" si="17"/>
        <v/>
      </c>
      <c r="D1531" s="36"/>
      <c r="E1531" s="37"/>
      <c r="F1531" s="7"/>
      <c r="G1531" s="65"/>
      <c r="H1531" s="9"/>
    </row>
    <row r="1532" spans="2:8" ht="15.75" hidden="1" customHeight="1" thickBot="1" x14ac:dyDescent="0.3">
      <c r="B1532" s="10" t="s">
        <v>45</v>
      </c>
      <c r="C1532" s="35" t="str">
        <f t="shared" si="17"/>
        <v/>
      </c>
      <c r="D1532" s="36"/>
      <c r="E1532" s="37"/>
      <c r="F1532" s="7"/>
      <c r="G1532" s="65"/>
      <c r="H1532" s="9"/>
    </row>
    <row r="1533" spans="2:8" ht="15.75" hidden="1" customHeight="1" thickBot="1" x14ac:dyDescent="0.3">
      <c r="B1533" s="10" t="s">
        <v>45</v>
      </c>
      <c r="C1533" s="35" t="str">
        <f t="shared" si="17"/>
        <v/>
      </c>
      <c r="D1533" s="36"/>
      <c r="E1533" s="37"/>
      <c r="F1533" s="7"/>
      <c r="G1533" s="65"/>
      <c r="H1533" s="9"/>
    </row>
    <row r="1534" spans="2:8" ht="15.75" hidden="1" customHeight="1" thickBot="1" x14ac:dyDescent="0.3">
      <c r="B1534" s="10" t="s">
        <v>45</v>
      </c>
      <c r="C1534" s="35" t="str">
        <f t="shared" si="17"/>
        <v/>
      </c>
      <c r="D1534" s="36"/>
      <c r="E1534" s="37"/>
      <c r="F1534" s="7"/>
      <c r="G1534" s="65"/>
      <c r="H1534" s="9"/>
    </row>
    <row r="1535" spans="2:8" ht="15.75" hidden="1" customHeight="1" thickBot="1" x14ac:dyDescent="0.3">
      <c r="B1535" s="10" t="s">
        <v>45</v>
      </c>
      <c r="C1535" s="35" t="str">
        <f t="shared" si="17"/>
        <v/>
      </c>
      <c r="D1535" s="36"/>
      <c r="E1535" s="37"/>
      <c r="F1535" s="7"/>
      <c r="G1535" s="65"/>
      <c r="H1535" s="9"/>
    </row>
    <row r="1536" spans="2:8" ht="15.75" hidden="1" customHeight="1" thickBot="1" x14ac:dyDescent="0.3">
      <c r="B1536" s="10" t="s">
        <v>45</v>
      </c>
      <c r="C1536" s="35" t="str">
        <f t="shared" si="17"/>
        <v/>
      </c>
      <c r="D1536" s="36"/>
      <c r="E1536" s="37"/>
      <c r="F1536" s="7"/>
      <c r="G1536" s="65"/>
      <c r="H1536" s="9"/>
    </row>
    <row r="1537" spans="2:8" ht="15.75" hidden="1" customHeight="1" thickBot="1" x14ac:dyDescent="0.3">
      <c r="B1537" s="10" t="s">
        <v>45</v>
      </c>
      <c r="C1537" s="35" t="str">
        <f t="shared" si="17"/>
        <v/>
      </c>
      <c r="D1537" s="36"/>
      <c r="E1537" s="37"/>
      <c r="F1537" s="7"/>
      <c r="G1537" s="65"/>
      <c r="H1537" s="9"/>
    </row>
    <row r="1538" spans="2:8" ht="15.75" hidden="1" customHeight="1" thickBot="1" x14ac:dyDescent="0.3">
      <c r="B1538" s="10" t="s">
        <v>45</v>
      </c>
      <c r="C1538" s="35" t="str">
        <f t="shared" si="17"/>
        <v/>
      </c>
      <c r="D1538" s="36"/>
      <c r="E1538" s="37"/>
      <c r="F1538" s="7"/>
      <c r="G1538" s="65"/>
      <c r="H1538" s="9"/>
    </row>
    <row r="1539" spans="2:8" ht="15.75" hidden="1" customHeight="1" thickBot="1" x14ac:dyDescent="0.3">
      <c r="B1539" s="10" t="s">
        <v>45</v>
      </c>
      <c r="C1539" s="35" t="str">
        <f t="shared" si="17"/>
        <v/>
      </c>
      <c r="D1539" s="36"/>
      <c r="E1539" s="37"/>
      <c r="F1539" s="7"/>
      <c r="G1539" s="65"/>
      <c r="H1539" s="9"/>
    </row>
    <row r="1540" spans="2:8" ht="15.75" hidden="1" customHeight="1" thickBot="1" x14ac:dyDescent="0.3">
      <c r="B1540" s="10" t="s">
        <v>45</v>
      </c>
      <c r="C1540" s="35" t="str">
        <f t="shared" ref="C1540:C1603" si="18">IF(E1540="","",IF(ISERROR(VLOOKUP(E1540,rTimeZoneTable,8,0)),"Update Contacts",VLOOKUP(E1540,rTimeZoneTable,8,0)))</f>
        <v/>
      </c>
      <c r="D1540" s="36"/>
      <c r="E1540" s="37"/>
      <c r="F1540" s="7"/>
      <c r="G1540" s="65"/>
      <c r="H1540" s="9"/>
    </row>
    <row r="1541" spans="2:8" ht="15.75" hidden="1" customHeight="1" thickBot="1" x14ac:dyDescent="0.3">
      <c r="B1541" s="10" t="s">
        <v>45</v>
      </c>
      <c r="C1541" s="35" t="str">
        <f t="shared" si="18"/>
        <v/>
      </c>
      <c r="D1541" s="36"/>
      <c r="E1541" s="37"/>
      <c r="F1541" s="7"/>
      <c r="G1541" s="65"/>
      <c r="H1541" s="9"/>
    </row>
    <row r="1542" spans="2:8" ht="15.75" hidden="1" customHeight="1" thickBot="1" x14ac:dyDescent="0.3">
      <c r="B1542" s="10" t="s">
        <v>45</v>
      </c>
      <c r="C1542" s="35" t="str">
        <f t="shared" si="18"/>
        <v/>
      </c>
      <c r="D1542" s="36"/>
      <c r="E1542" s="37"/>
      <c r="F1542" s="7"/>
      <c r="G1542" s="65"/>
      <c r="H1542" s="9"/>
    </row>
    <row r="1543" spans="2:8" ht="15.75" hidden="1" customHeight="1" thickBot="1" x14ac:dyDescent="0.3">
      <c r="B1543" s="10" t="s">
        <v>45</v>
      </c>
      <c r="C1543" s="35" t="str">
        <f t="shared" si="18"/>
        <v/>
      </c>
      <c r="D1543" s="36"/>
      <c r="E1543" s="37"/>
      <c r="F1543" s="7"/>
      <c r="G1543" s="65"/>
      <c r="H1543" s="9"/>
    </row>
    <row r="1544" spans="2:8" ht="15.75" hidden="1" customHeight="1" thickBot="1" x14ac:dyDescent="0.3">
      <c r="B1544" s="10" t="s">
        <v>45</v>
      </c>
      <c r="C1544" s="35" t="str">
        <f t="shared" si="18"/>
        <v/>
      </c>
      <c r="D1544" s="36"/>
      <c r="E1544" s="37"/>
      <c r="F1544" s="7"/>
      <c r="G1544" s="65"/>
      <c r="H1544" s="9"/>
    </row>
    <row r="1545" spans="2:8" ht="15.75" hidden="1" customHeight="1" thickBot="1" x14ac:dyDescent="0.3">
      <c r="B1545" s="10" t="s">
        <v>45</v>
      </c>
      <c r="C1545" s="35" t="str">
        <f t="shared" si="18"/>
        <v/>
      </c>
      <c r="D1545" s="36"/>
      <c r="E1545" s="37"/>
      <c r="F1545" s="7"/>
      <c r="G1545" s="65"/>
      <c r="H1545" s="9"/>
    </row>
    <row r="1546" spans="2:8" ht="15.75" hidden="1" customHeight="1" thickBot="1" x14ac:dyDescent="0.3">
      <c r="B1546" s="10" t="s">
        <v>45</v>
      </c>
      <c r="C1546" s="35" t="str">
        <f t="shared" si="18"/>
        <v/>
      </c>
      <c r="D1546" s="36"/>
      <c r="E1546" s="37"/>
      <c r="F1546" s="7"/>
      <c r="G1546" s="65"/>
      <c r="H1546" s="9"/>
    </row>
    <row r="1547" spans="2:8" ht="15.75" hidden="1" customHeight="1" thickBot="1" x14ac:dyDescent="0.3">
      <c r="B1547" s="10" t="s">
        <v>45</v>
      </c>
      <c r="C1547" s="35" t="str">
        <f t="shared" si="18"/>
        <v/>
      </c>
      <c r="D1547" s="36"/>
      <c r="E1547" s="37"/>
      <c r="F1547" s="7"/>
      <c r="G1547" s="65"/>
      <c r="H1547" s="9"/>
    </row>
    <row r="1548" spans="2:8" ht="15.75" hidden="1" customHeight="1" thickBot="1" x14ac:dyDescent="0.3">
      <c r="B1548" s="10" t="s">
        <v>45</v>
      </c>
      <c r="C1548" s="35" t="str">
        <f t="shared" si="18"/>
        <v/>
      </c>
      <c r="D1548" s="36"/>
      <c r="E1548" s="37"/>
      <c r="F1548" s="7"/>
      <c r="G1548" s="65"/>
      <c r="H1548" s="9"/>
    </row>
    <row r="1549" spans="2:8" ht="15.75" hidden="1" customHeight="1" thickBot="1" x14ac:dyDescent="0.3">
      <c r="B1549" s="10" t="s">
        <v>45</v>
      </c>
      <c r="C1549" s="35" t="str">
        <f t="shared" si="18"/>
        <v/>
      </c>
      <c r="D1549" s="36"/>
      <c r="E1549" s="37"/>
      <c r="F1549" s="7"/>
      <c r="G1549" s="65"/>
      <c r="H1549" s="9"/>
    </row>
    <row r="1550" spans="2:8" ht="15.75" hidden="1" customHeight="1" thickBot="1" x14ac:dyDescent="0.3">
      <c r="B1550" s="10" t="s">
        <v>45</v>
      </c>
      <c r="C1550" s="35" t="str">
        <f t="shared" si="18"/>
        <v/>
      </c>
      <c r="D1550" s="36"/>
      <c r="E1550" s="37"/>
      <c r="F1550" s="7"/>
      <c r="G1550" s="65"/>
      <c r="H1550" s="9"/>
    </row>
    <row r="1551" spans="2:8" ht="15.75" hidden="1" customHeight="1" thickBot="1" x14ac:dyDescent="0.3">
      <c r="B1551" s="10" t="s">
        <v>45</v>
      </c>
      <c r="C1551" s="35" t="str">
        <f t="shared" si="18"/>
        <v/>
      </c>
      <c r="D1551" s="36"/>
      <c r="E1551" s="37"/>
      <c r="F1551" s="7"/>
      <c r="G1551" s="65"/>
      <c r="H1551" s="9"/>
    </row>
    <row r="1552" spans="2:8" ht="15.75" hidden="1" customHeight="1" thickBot="1" x14ac:dyDescent="0.3">
      <c r="B1552" s="10" t="s">
        <v>45</v>
      </c>
      <c r="C1552" s="35" t="str">
        <f t="shared" si="18"/>
        <v/>
      </c>
      <c r="D1552" s="36"/>
      <c r="E1552" s="37"/>
      <c r="F1552" s="7"/>
      <c r="G1552" s="65"/>
      <c r="H1552" s="9"/>
    </row>
    <row r="1553" spans="2:8" ht="15.75" hidden="1" customHeight="1" thickBot="1" x14ac:dyDescent="0.3">
      <c r="B1553" s="10" t="s">
        <v>45</v>
      </c>
      <c r="C1553" s="35" t="str">
        <f t="shared" si="18"/>
        <v/>
      </c>
      <c r="D1553" s="36"/>
      <c r="E1553" s="37"/>
      <c r="F1553" s="7"/>
      <c r="G1553" s="65"/>
      <c r="H1553" s="9"/>
    </row>
    <row r="1554" spans="2:8" ht="15.75" hidden="1" customHeight="1" thickBot="1" x14ac:dyDescent="0.3">
      <c r="B1554" s="10" t="s">
        <v>45</v>
      </c>
      <c r="C1554" s="35" t="str">
        <f t="shared" si="18"/>
        <v/>
      </c>
      <c r="D1554" s="36"/>
      <c r="E1554" s="37"/>
      <c r="F1554" s="7"/>
      <c r="G1554" s="65"/>
      <c r="H1554" s="9"/>
    </row>
    <row r="1555" spans="2:8" ht="15.75" hidden="1" customHeight="1" thickBot="1" x14ac:dyDescent="0.3">
      <c r="B1555" s="10" t="s">
        <v>45</v>
      </c>
      <c r="C1555" s="35" t="str">
        <f t="shared" si="18"/>
        <v/>
      </c>
      <c r="D1555" s="36"/>
      <c r="E1555" s="37"/>
      <c r="F1555" s="7"/>
      <c r="G1555" s="65"/>
      <c r="H1555" s="9"/>
    </row>
    <row r="1556" spans="2:8" ht="15.75" hidden="1" customHeight="1" thickBot="1" x14ac:dyDescent="0.3">
      <c r="B1556" s="10" t="s">
        <v>45</v>
      </c>
      <c r="C1556" s="35" t="str">
        <f t="shared" si="18"/>
        <v/>
      </c>
      <c r="D1556" s="36"/>
      <c r="E1556" s="37"/>
      <c r="F1556" s="7"/>
      <c r="G1556" s="65"/>
      <c r="H1556" s="9"/>
    </row>
    <row r="1557" spans="2:8" ht="15.75" hidden="1" customHeight="1" thickBot="1" x14ac:dyDescent="0.3">
      <c r="B1557" s="10" t="s">
        <v>45</v>
      </c>
      <c r="C1557" s="35" t="str">
        <f t="shared" si="18"/>
        <v/>
      </c>
      <c r="D1557" s="36"/>
      <c r="E1557" s="37"/>
      <c r="F1557" s="7"/>
      <c r="G1557" s="65"/>
      <c r="H1557" s="9"/>
    </row>
    <row r="1558" spans="2:8" ht="15.75" hidden="1" customHeight="1" thickBot="1" x14ac:dyDescent="0.3">
      <c r="B1558" s="10" t="s">
        <v>45</v>
      </c>
      <c r="C1558" s="35" t="str">
        <f t="shared" si="18"/>
        <v/>
      </c>
      <c r="D1558" s="36"/>
      <c r="E1558" s="37"/>
      <c r="F1558" s="7"/>
      <c r="G1558" s="65"/>
      <c r="H1558" s="9"/>
    </row>
    <row r="1559" spans="2:8" ht="15.75" hidden="1" customHeight="1" thickBot="1" x14ac:dyDescent="0.3">
      <c r="B1559" s="10" t="s">
        <v>45</v>
      </c>
      <c r="C1559" s="35" t="str">
        <f t="shared" si="18"/>
        <v/>
      </c>
      <c r="D1559" s="36"/>
      <c r="E1559" s="37"/>
      <c r="F1559" s="7"/>
      <c r="G1559" s="65"/>
      <c r="H1559" s="9"/>
    </row>
    <row r="1560" spans="2:8" ht="15.75" hidden="1" customHeight="1" thickBot="1" x14ac:dyDescent="0.3">
      <c r="B1560" s="10" t="s">
        <v>45</v>
      </c>
      <c r="C1560" s="35" t="str">
        <f t="shared" si="18"/>
        <v/>
      </c>
      <c r="D1560" s="36"/>
      <c r="E1560" s="37"/>
      <c r="F1560" s="7"/>
      <c r="G1560" s="65"/>
      <c r="H1560" s="9"/>
    </row>
    <row r="1561" spans="2:8" ht="15.75" hidden="1" customHeight="1" thickBot="1" x14ac:dyDescent="0.3">
      <c r="B1561" s="10" t="s">
        <v>45</v>
      </c>
      <c r="C1561" s="35" t="str">
        <f t="shared" si="18"/>
        <v/>
      </c>
      <c r="D1561" s="36"/>
      <c r="E1561" s="37"/>
      <c r="F1561" s="7"/>
      <c r="G1561" s="65"/>
      <c r="H1561" s="9"/>
    </row>
    <row r="1562" spans="2:8" ht="15.75" hidden="1" customHeight="1" thickBot="1" x14ac:dyDescent="0.3">
      <c r="B1562" s="10" t="s">
        <v>45</v>
      </c>
      <c r="C1562" s="35" t="str">
        <f t="shared" si="18"/>
        <v/>
      </c>
      <c r="D1562" s="36"/>
      <c r="E1562" s="37"/>
      <c r="F1562" s="7"/>
      <c r="G1562" s="65"/>
      <c r="H1562" s="9"/>
    </row>
    <row r="1563" spans="2:8" ht="15.75" hidden="1" customHeight="1" thickBot="1" x14ac:dyDescent="0.3">
      <c r="B1563" s="10" t="s">
        <v>45</v>
      </c>
      <c r="C1563" s="35" t="str">
        <f t="shared" si="18"/>
        <v/>
      </c>
      <c r="D1563" s="36"/>
      <c r="E1563" s="37"/>
      <c r="F1563" s="7"/>
      <c r="G1563" s="65"/>
      <c r="H1563" s="9"/>
    </row>
    <row r="1564" spans="2:8" ht="15.75" hidden="1" customHeight="1" thickBot="1" x14ac:dyDescent="0.3">
      <c r="B1564" s="10" t="s">
        <v>45</v>
      </c>
      <c r="C1564" s="35" t="str">
        <f t="shared" si="18"/>
        <v/>
      </c>
      <c r="D1564" s="36"/>
      <c r="E1564" s="37"/>
      <c r="F1564" s="7"/>
      <c r="G1564" s="65"/>
      <c r="H1564" s="9"/>
    </row>
    <row r="1565" spans="2:8" ht="15.75" hidden="1" customHeight="1" thickBot="1" x14ac:dyDescent="0.3">
      <c r="B1565" s="10" t="s">
        <v>45</v>
      </c>
      <c r="C1565" s="35" t="str">
        <f t="shared" si="18"/>
        <v/>
      </c>
      <c r="D1565" s="36"/>
      <c r="E1565" s="37"/>
      <c r="F1565" s="7"/>
      <c r="G1565" s="65"/>
      <c r="H1565" s="9"/>
    </row>
    <row r="1566" spans="2:8" ht="15.75" hidden="1" customHeight="1" thickBot="1" x14ac:dyDescent="0.3">
      <c r="B1566" s="10" t="s">
        <v>45</v>
      </c>
      <c r="C1566" s="35" t="str">
        <f t="shared" si="18"/>
        <v/>
      </c>
      <c r="D1566" s="36"/>
      <c r="E1566" s="37"/>
      <c r="F1566" s="7"/>
      <c r="G1566" s="65"/>
      <c r="H1566" s="9"/>
    </row>
    <row r="1567" spans="2:8" ht="15.75" hidden="1" customHeight="1" thickBot="1" x14ac:dyDescent="0.3">
      <c r="B1567" s="10" t="s">
        <v>45</v>
      </c>
      <c r="C1567" s="35" t="str">
        <f t="shared" si="18"/>
        <v/>
      </c>
      <c r="D1567" s="36"/>
      <c r="E1567" s="37"/>
      <c r="F1567" s="7"/>
      <c r="G1567" s="65"/>
      <c r="H1567" s="9"/>
    </row>
    <row r="1568" spans="2:8" ht="15.75" hidden="1" customHeight="1" thickBot="1" x14ac:dyDescent="0.3">
      <c r="B1568" s="10" t="s">
        <v>45</v>
      </c>
      <c r="C1568" s="35" t="str">
        <f t="shared" si="18"/>
        <v/>
      </c>
      <c r="D1568" s="36"/>
      <c r="E1568" s="37"/>
      <c r="F1568" s="7"/>
      <c r="G1568" s="65"/>
      <c r="H1568" s="9"/>
    </row>
    <row r="1569" spans="2:8" ht="15.75" hidden="1" customHeight="1" thickBot="1" x14ac:dyDescent="0.3">
      <c r="B1569" s="10" t="s">
        <v>45</v>
      </c>
      <c r="C1569" s="35" t="str">
        <f t="shared" si="18"/>
        <v/>
      </c>
      <c r="D1569" s="36"/>
      <c r="E1569" s="37"/>
      <c r="F1569" s="7"/>
      <c r="G1569" s="65"/>
      <c r="H1569" s="9"/>
    </row>
    <row r="1570" spans="2:8" ht="15.75" hidden="1" customHeight="1" thickBot="1" x14ac:dyDescent="0.3">
      <c r="B1570" s="10" t="s">
        <v>45</v>
      </c>
      <c r="C1570" s="35" t="str">
        <f t="shared" si="18"/>
        <v/>
      </c>
      <c r="D1570" s="36"/>
      <c r="E1570" s="37"/>
      <c r="F1570" s="7"/>
      <c r="G1570" s="65"/>
      <c r="H1570" s="9"/>
    </row>
    <row r="1571" spans="2:8" ht="15.75" hidden="1" customHeight="1" thickBot="1" x14ac:dyDescent="0.3">
      <c r="B1571" s="10" t="s">
        <v>45</v>
      </c>
      <c r="C1571" s="35" t="str">
        <f t="shared" si="18"/>
        <v/>
      </c>
      <c r="D1571" s="36"/>
      <c r="E1571" s="37"/>
      <c r="F1571" s="7"/>
      <c r="G1571" s="65"/>
      <c r="H1571" s="9"/>
    </row>
    <row r="1572" spans="2:8" ht="15.75" hidden="1" customHeight="1" thickBot="1" x14ac:dyDescent="0.3">
      <c r="B1572" s="10" t="s">
        <v>45</v>
      </c>
      <c r="C1572" s="35" t="str">
        <f t="shared" si="18"/>
        <v/>
      </c>
      <c r="D1572" s="36"/>
      <c r="E1572" s="37"/>
      <c r="F1572" s="7"/>
      <c r="G1572" s="65"/>
      <c r="H1572" s="9"/>
    </row>
    <row r="1573" spans="2:8" ht="15.75" hidden="1" customHeight="1" thickBot="1" x14ac:dyDescent="0.3">
      <c r="B1573" s="10" t="s">
        <v>45</v>
      </c>
      <c r="C1573" s="35" t="str">
        <f t="shared" si="18"/>
        <v/>
      </c>
      <c r="D1573" s="36"/>
      <c r="E1573" s="37"/>
      <c r="F1573" s="7"/>
      <c r="G1573" s="65"/>
      <c r="H1573" s="9"/>
    </row>
    <row r="1574" spans="2:8" ht="15.75" hidden="1" customHeight="1" thickBot="1" x14ac:dyDescent="0.3">
      <c r="B1574" s="10" t="s">
        <v>45</v>
      </c>
      <c r="C1574" s="35" t="str">
        <f t="shared" si="18"/>
        <v/>
      </c>
      <c r="D1574" s="36"/>
      <c r="E1574" s="37"/>
      <c r="F1574" s="7"/>
      <c r="G1574" s="65"/>
      <c r="H1574" s="9"/>
    </row>
    <row r="1575" spans="2:8" ht="15.75" hidden="1" customHeight="1" thickBot="1" x14ac:dyDescent="0.3">
      <c r="B1575" s="10" t="s">
        <v>45</v>
      </c>
      <c r="C1575" s="35" t="str">
        <f t="shared" si="18"/>
        <v/>
      </c>
      <c r="D1575" s="36"/>
      <c r="E1575" s="37"/>
      <c r="F1575" s="7"/>
      <c r="G1575" s="65"/>
      <c r="H1575" s="9"/>
    </row>
    <row r="1576" spans="2:8" ht="15.75" hidden="1" customHeight="1" thickBot="1" x14ac:dyDescent="0.3">
      <c r="B1576" s="10" t="s">
        <v>45</v>
      </c>
      <c r="C1576" s="35" t="str">
        <f t="shared" si="18"/>
        <v/>
      </c>
      <c r="D1576" s="36"/>
      <c r="E1576" s="37"/>
      <c r="F1576" s="7"/>
      <c r="G1576" s="65"/>
      <c r="H1576" s="9"/>
    </row>
    <row r="1577" spans="2:8" ht="15.75" hidden="1" customHeight="1" thickBot="1" x14ac:dyDescent="0.3">
      <c r="B1577" s="10" t="s">
        <v>45</v>
      </c>
      <c r="C1577" s="35" t="str">
        <f t="shared" si="18"/>
        <v/>
      </c>
      <c r="D1577" s="36"/>
      <c r="E1577" s="37"/>
      <c r="F1577" s="7"/>
      <c r="G1577" s="65"/>
      <c r="H1577" s="9"/>
    </row>
    <row r="1578" spans="2:8" ht="15.75" hidden="1" customHeight="1" thickBot="1" x14ac:dyDescent="0.3">
      <c r="B1578" s="10" t="s">
        <v>45</v>
      </c>
      <c r="C1578" s="35" t="str">
        <f t="shared" si="18"/>
        <v/>
      </c>
      <c r="D1578" s="36"/>
      <c r="E1578" s="37"/>
      <c r="F1578" s="7"/>
      <c r="G1578" s="65"/>
      <c r="H1578" s="9"/>
    </row>
    <row r="1579" spans="2:8" ht="15.75" hidden="1" customHeight="1" thickBot="1" x14ac:dyDescent="0.3">
      <c r="B1579" s="10" t="s">
        <v>45</v>
      </c>
      <c r="C1579" s="35" t="str">
        <f t="shared" si="18"/>
        <v/>
      </c>
      <c r="D1579" s="36"/>
      <c r="E1579" s="37"/>
      <c r="F1579" s="7"/>
      <c r="G1579" s="65"/>
      <c r="H1579" s="9"/>
    </row>
    <row r="1580" spans="2:8" ht="15.75" hidden="1" customHeight="1" thickBot="1" x14ac:dyDescent="0.3">
      <c r="B1580" s="10" t="s">
        <v>45</v>
      </c>
      <c r="C1580" s="35" t="str">
        <f t="shared" si="18"/>
        <v/>
      </c>
      <c r="D1580" s="36"/>
      <c r="E1580" s="37"/>
      <c r="F1580" s="7"/>
      <c r="G1580" s="65"/>
      <c r="H1580" s="9"/>
    </row>
    <row r="1581" spans="2:8" ht="15.75" hidden="1" customHeight="1" thickBot="1" x14ac:dyDescent="0.3">
      <c r="B1581" s="10" t="s">
        <v>45</v>
      </c>
      <c r="C1581" s="35" t="str">
        <f t="shared" si="18"/>
        <v/>
      </c>
      <c r="D1581" s="36"/>
      <c r="E1581" s="37"/>
      <c r="F1581" s="7"/>
      <c r="G1581" s="65"/>
      <c r="H1581" s="9"/>
    </row>
    <row r="1582" spans="2:8" ht="15.75" hidden="1" customHeight="1" thickBot="1" x14ac:dyDescent="0.3">
      <c r="B1582" s="10" t="s">
        <v>45</v>
      </c>
      <c r="C1582" s="35" t="str">
        <f t="shared" si="18"/>
        <v/>
      </c>
      <c r="D1582" s="36"/>
      <c r="E1582" s="37"/>
      <c r="F1582" s="7"/>
      <c r="G1582" s="65"/>
      <c r="H1582" s="9"/>
    </row>
    <row r="1583" spans="2:8" ht="15.75" hidden="1" customHeight="1" thickBot="1" x14ac:dyDescent="0.3">
      <c r="B1583" s="10" t="s">
        <v>45</v>
      </c>
      <c r="C1583" s="35" t="str">
        <f t="shared" si="18"/>
        <v/>
      </c>
      <c r="D1583" s="36"/>
      <c r="E1583" s="37"/>
      <c r="F1583" s="7"/>
      <c r="G1583" s="65"/>
      <c r="H1583" s="9"/>
    </row>
    <row r="1584" spans="2:8" ht="15.75" hidden="1" customHeight="1" thickBot="1" x14ac:dyDescent="0.3">
      <c r="B1584" s="10" t="s">
        <v>45</v>
      </c>
      <c r="C1584" s="35" t="str">
        <f t="shared" si="18"/>
        <v/>
      </c>
      <c r="D1584" s="36"/>
      <c r="E1584" s="37"/>
      <c r="F1584" s="7"/>
      <c r="G1584" s="65"/>
      <c r="H1584" s="9"/>
    </row>
    <row r="1585" spans="2:8" ht="15.75" hidden="1" customHeight="1" thickBot="1" x14ac:dyDescent="0.3">
      <c r="B1585" s="10" t="s">
        <v>45</v>
      </c>
      <c r="C1585" s="35" t="str">
        <f t="shared" si="18"/>
        <v/>
      </c>
      <c r="D1585" s="36"/>
      <c r="E1585" s="37"/>
      <c r="F1585" s="7"/>
      <c r="G1585" s="65"/>
      <c r="H1585" s="9"/>
    </row>
    <row r="1586" spans="2:8" ht="15.75" hidden="1" customHeight="1" thickBot="1" x14ac:dyDescent="0.3">
      <c r="B1586" s="10" t="s">
        <v>45</v>
      </c>
      <c r="C1586" s="35" t="str">
        <f t="shared" si="18"/>
        <v/>
      </c>
      <c r="D1586" s="36"/>
      <c r="E1586" s="37"/>
      <c r="F1586" s="7"/>
      <c r="G1586" s="65"/>
      <c r="H1586" s="9"/>
    </row>
    <row r="1587" spans="2:8" ht="15.75" hidden="1" customHeight="1" thickBot="1" x14ac:dyDescent="0.3">
      <c r="B1587" s="10" t="s">
        <v>45</v>
      </c>
      <c r="C1587" s="35" t="str">
        <f t="shared" si="18"/>
        <v/>
      </c>
      <c r="D1587" s="36"/>
      <c r="E1587" s="37"/>
      <c r="F1587" s="7"/>
      <c r="G1587" s="65"/>
      <c r="H1587" s="9"/>
    </row>
    <row r="1588" spans="2:8" ht="15.75" hidden="1" customHeight="1" thickBot="1" x14ac:dyDescent="0.3">
      <c r="B1588" s="10" t="s">
        <v>45</v>
      </c>
      <c r="C1588" s="35" t="str">
        <f t="shared" si="18"/>
        <v/>
      </c>
      <c r="D1588" s="36"/>
      <c r="E1588" s="37"/>
      <c r="F1588" s="7"/>
      <c r="G1588" s="65"/>
      <c r="H1588" s="9"/>
    </row>
    <row r="1589" spans="2:8" ht="15.75" hidden="1" customHeight="1" thickBot="1" x14ac:dyDescent="0.3">
      <c r="B1589" s="10" t="s">
        <v>45</v>
      </c>
      <c r="C1589" s="35" t="str">
        <f t="shared" si="18"/>
        <v/>
      </c>
      <c r="D1589" s="36"/>
      <c r="E1589" s="37"/>
      <c r="F1589" s="7"/>
      <c r="G1589" s="65"/>
      <c r="H1589" s="9"/>
    </row>
    <row r="1590" spans="2:8" ht="15.75" hidden="1" customHeight="1" thickBot="1" x14ac:dyDescent="0.3">
      <c r="B1590" s="10" t="s">
        <v>45</v>
      </c>
      <c r="C1590" s="35" t="str">
        <f t="shared" si="18"/>
        <v/>
      </c>
      <c r="D1590" s="36"/>
      <c r="E1590" s="37"/>
      <c r="F1590" s="7"/>
      <c r="G1590" s="65"/>
      <c r="H1590" s="9"/>
    </row>
    <row r="1591" spans="2:8" ht="15.75" hidden="1" customHeight="1" thickBot="1" x14ac:dyDescent="0.3">
      <c r="B1591" s="10" t="s">
        <v>45</v>
      </c>
      <c r="C1591" s="35" t="str">
        <f t="shared" si="18"/>
        <v/>
      </c>
      <c r="D1591" s="36"/>
      <c r="E1591" s="37"/>
      <c r="F1591" s="7"/>
      <c r="G1591" s="65"/>
      <c r="H1591" s="9"/>
    </row>
    <row r="1592" spans="2:8" ht="15.75" hidden="1" customHeight="1" thickBot="1" x14ac:dyDescent="0.3">
      <c r="B1592" s="10" t="s">
        <v>45</v>
      </c>
      <c r="C1592" s="35" t="str">
        <f t="shared" si="18"/>
        <v/>
      </c>
      <c r="D1592" s="36"/>
      <c r="E1592" s="37"/>
      <c r="F1592" s="7"/>
      <c r="G1592" s="65"/>
      <c r="H1592" s="9"/>
    </row>
    <row r="1593" spans="2:8" ht="15.75" hidden="1" customHeight="1" thickBot="1" x14ac:dyDescent="0.3">
      <c r="B1593" s="10" t="s">
        <v>45</v>
      </c>
      <c r="C1593" s="35" t="str">
        <f t="shared" si="18"/>
        <v/>
      </c>
      <c r="D1593" s="36"/>
      <c r="E1593" s="37"/>
      <c r="F1593" s="7"/>
      <c r="G1593" s="65"/>
      <c r="H1593" s="9"/>
    </row>
    <row r="1594" spans="2:8" ht="15.75" hidden="1" customHeight="1" thickBot="1" x14ac:dyDescent="0.3">
      <c r="B1594" s="10" t="s">
        <v>45</v>
      </c>
      <c r="C1594" s="35" t="str">
        <f t="shared" si="18"/>
        <v/>
      </c>
      <c r="D1594" s="36"/>
      <c r="E1594" s="37"/>
      <c r="F1594" s="7"/>
      <c r="G1594" s="65"/>
      <c r="H1594" s="9"/>
    </row>
    <row r="1595" spans="2:8" ht="15.75" hidden="1" customHeight="1" thickBot="1" x14ac:dyDescent="0.3">
      <c r="B1595" s="10" t="s">
        <v>45</v>
      </c>
      <c r="C1595" s="35" t="str">
        <f t="shared" si="18"/>
        <v/>
      </c>
      <c r="D1595" s="36"/>
      <c r="E1595" s="37"/>
      <c r="F1595" s="7"/>
      <c r="G1595" s="65"/>
      <c r="H1595" s="9"/>
    </row>
    <row r="1596" spans="2:8" ht="15.75" hidden="1" customHeight="1" thickBot="1" x14ac:dyDescent="0.3">
      <c r="B1596" s="10" t="s">
        <v>45</v>
      </c>
      <c r="C1596" s="35" t="str">
        <f t="shared" si="18"/>
        <v/>
      </c>
      <c r="D1596" s="36"/>
      <c r="E1596" s="37"/>
      <c r="F1596" s="7"/>
      <c r="G1596" s="65"/>
      <c r="H1596" s="9"/>
    </row>
    <row r="1597" spans="2:8" ht="15.75" hidden="1" customHeight="1" thickBot="1" x14ac:dyDescent="0.3">
      <c r="B1597" s="10" t="s">
        <v>45</v>
      </c>
      <c r="C1597" s="35" t="str">
        <f t="shared" si="18"/>
        <v/>
      </c>
      <c r="D1597" s="36"/>
      <c r="E1597" s="37"/>
      <c r="F1597" s="7"/>
      <c r="G1597" s="65"/>
      <c r="H1597" s="9"/>
    </row>
    <row r="1598" spans="2:8" ht="15.75" hidden="1" customHeight="1" thickBot="1" x14ac:dyDescent="0.3">
      <c r="B1598" s="10" t="s">
        <v>45</v>
      </c>
      <c r="C1598" s="35" t="str">
        <f t="shared" si="18"/>
        <v/>
      </c>
      <c r="D1598" s="36"/>
      <c r="E1598" s="37"/>
      <c r="F1598" s="7"/>
      <c r="G1598" s="65"/>
      <c r="H1598" s="9"/>
    </row>
    <row r="1599" spans="2:8" ht="15.75" hidden="1" customHeight="1" thickBot="1" x14ac:dyDescent="0.3">
      <c r="B1599" s="10" t="s">
        <v>45</v>
      </c>
      <c r="C1599" s="35" t="str">
        <f t="shared" si="18"/>
        <v/>
      </c>
      <c r="D1599" s="36"/>
      <c r="E1599" s="37"/>
      <c r="F1599" s="7"/>
      <c r="G1599" s="65"/>
      <c r="H1599" s="9"/>
    </row>
    <row r="1600" spans="2:8" ht="15.75" hidden="1" customHeight="1" thickBot="1" x14ac:dyDescent="0.3">
      <c r="B1600" s="10" t="s">
        <v>45</v>
      </c>
      <c r="C1600" s="35" t="str">
        <f t="shared" si="18"/>
        <v/>
      </c>
      <c r="D1600" s="36"/>
      <c r="E1600" s="37"/>
      <c r="F1600" s="7"/>
      <c r="G1600" s="65"/>
      <c r="H1600" s="9"/>
    </row>
    <row r="1601" spans="2:8" ht="15.75" hidden="1" customHeight="1" thickBot="1" x14ac:dyDescent="0.3">
      <c r="B1601" s="10" t="s">
        <v>45</v>
      </c>
      <c r="C1601" s="35" t="str">
        <f t="shared" si="18"/>
        <v/>
      </c>
      <c r="D1601" s="36"/>
      <c r="E1601" s="37"/>
      <c r="F1601" s="7"/>
      <c r="G1601" s="65"/>
      <c r="H1601" s="9"/>
    </row>
    <row r="1602" spans="2:8" ht="15.75" hidden="1" customHeight="1" thickBot="1" x14ac:dyDescent="0.3">
      <c r="B1602" s="10" t="s">
        <v>45</v>
      </c>
      <c r="C1602" s="35" t="str">
        <f t="shared" si="18"/>
        <v/>
      </c>
      <c r="D1602" s="36"/>
      <c r="E1602" s="37"/>
      <c r="F1602" s="7"/>
      <c r="G1602" s="65"/>
      <c r="H1602" s="9"/>
    </row>
    <row r="1603" spans="2:8" ht="15.75" hidden="1" customHeight="1" thickBot="1" x14ac:dyDescent="0.3">
      <c r="B1603" s="10" t="s">
        <v>45</v>
      </c>
      <c r="C1603" s="35" t="str">
        <f t="shared" si="18"/>
        <v/>
      </c>
      <c r="D1603" s="36"/>
      <c r="E1603" s="37"/>
      <c r="F1603" s="7"/>
      <c r="G1603" s="65"/>
      <c r="H1603" s="9"/>
    </row>
    <row r="1604" spans="2:8" ht="15.75" hidden="1" customHeight="1" thickBot="1" x14ac:dyDescent="0.3">
      <c r="B1604" s="10" t="s">
        <v>45</v>
      </c>
      <c r="C1604" s="35" t="str">
        <f t="shared" ref="C1604:C1667" si="19">IF(E1604="","",IF(ISERROR(VLOOKUP(E1604,rTimeZoneTable,8,0)),"Update Contacts",VLOOKUP(E1604,rTimeZoneTable,8,0)))</f>
        <v/>
      </c>
      <c r="D1604" s="36"/>
      <c r="E1604" s="37"/>
      <c r="F1604" s="7"/>
      <c r="G1604" s="65"/>
      <c r="H1604" s="9"/>
    </row>
    <row r="1605" spans="2:8" ht="15.75" hidden="1" customHeight="1" thickBot="1" x14ac:dyDescent="0.3">
      <c r="B1605" s="10" t="s">
        <v>45</v>
      </c>
      <c r="C1605" s="35" t="str">
        <f t="shared" si="19"/>
        <v/>
      </c>
      <c r="D1605" s="36"/>
      <c r="E1605" s="37"/>
      <c r="F1605" s="7"/>
      <c r="G1605" s="65"/>
      <c r="H1605" s="9"/>
    </row>
    <row r="1606" spans="2:8" ht="15.75" hidden="1" customHeight="1" thickBot="1" x14ac:dyDescent="0.3">
      <c r="B1606" s="10" t="s">
        <v>45</v>
      </c>
      <c r="C1606" s="35" t="str">
        <f t="shared" si="19"/>
        <v/>
      </c>
      <c r="D1606" s="36"/>
      <c r="E1606" s="37"/>
      <c r="F1606" s="7"/>
      <c r="G1606" s="65"/>
      <c r="H1606" s="9"/>
    </row>
    <row r="1607" spans="2:8" ht="15.75" hidden="1" customHeight="1" thickBot="1" x14ac:dyDescent="0.3">
      <c r="B1607" s="10" t="s">
        <v>45</v>
      </c>
      <c r="C1607" s="35" t="str">
        <f t="shared" si="19"/>
        <v/>
      </c>
      <c r="D1607" s="36"/>
      <c r="E1607" s="37"/>
      <c r="F1607" s="7"/>
      <c r="G1607" s="65"/>
      <c r="H1607" s="9"/>
    </row>
    <row r="1608" spans="2:8" ht="15.75" hidden="1" customHeight="1" thickBot="1" x14ac:dyDescent="0.3">
      <c r="B1608" s="10" t="s">
        <v>45</v>
      </c>
      <c r="C1608" s="35" t="str">
        <f t="shared" si="19"/>
        <v/>
      </c>
      <c r="D1608" s="36"/>
      <c r="E1608" s="37"/>
      <c r="F1608" s="7"/>
      <c r="G1608" s="65"/>
      <c r="H1608" s="9"/>
    </row>
    <row r="1609" spans="2:8" ht="15.75" hidden="1" customHeight="1" thickBot="1" x14ac:dyDescent="0.3">
      <c r="B1609" s="10" t="s">
        <v>45</v>
      </c>
      <c r="C1609" s="35" t="str">
        <f t="shared" si="19"/>
        <v/>
      </c>
      <c r="D1609" s="36"/>
      <c r="E1609" s="37"/>
      <c r="F1609" s="7"/>
      <c r="G1609" s="65"/>
      <c r="H1609" s="9"/>
    </row>
    <row r="1610" spans="2:8" ht="15.75" hidden="1" customHeight="1" thickBot="1" x14ac:dyDescent="0.3">
      <c r="B1610" s="10" t="s">
        <v>45</v>
      </c>
      <c r="C1610" s="35" t="str">
        <f t="shared" si="19"/>
        <v/>
      </c>
      <c r="D1610" s="36"/>
      <c r="E1610" s="37"/>
      <c r="F1610" s="7"/>
      <c r="G1610" s="65"/>
      <c r="H1610" s="9"/>
    </row>
    <row r="1611" spans="2:8" ht="15.75" hidden="1" customHeight="1" thickBot="1" x14ac:dyDescent="0.3">
      <c r="B1611" s="10" t="s">
        <v>45</v>
      </c>
      <c r="C1611" s="35" t="str">
        <f t="shared" si="19"/>
        <v/>
      </c>
      <c r="D1611" s="36"/>
      <c r="E1611" s="37"/>
      <c r="F1611" s="7"/>
      <c r="G1611" s="65"/>
      <c r="H1611" s="9"/>
    </row>
    <row r="1612" spans="2:8" ht="15.75" hidden="1" customHeight="1" thickBot="1" x14ac:dyDescent="0.3">
      <c r="B1612" s="10" t="s">
        <v>45</v>
      </c>
      <c r="C1612" s="35" t="str">
        <f t="shared" si="19"/>
        <v/>
      </c>
      <c r="D1612" s="36"/>
      <c r="E1612" s="37"/>
      <c r="F1612" s="7"/>
      <c r="G1612" s="65"/>
      <c r="H1612" s="9"/>
    </row>
    <row r="1613" spans="2:8" ht="15.75" hidden="1" customHeight="1" thickBot="1" x14ac:dyDescent="0.3">
      <c r="B1613" s="10" t="s">
        <v>45</v>
      </c>
      <c r="C1613" s="35" t="str">
        <f t="shared" si="19"/>
        <v/>
      </c>
      <c r="D1613" s="36"/>
      <c r="E1613" s="37"/>
      <c r="F1613" s="7"/>
      <c r="G1613" s="65"/>
      <c r="H1613" s="9"/>
    </row>
    <row r="1614" spans="2:8" ht="15.75" hidden="1" customHeight="1" thickBot="1" x14ac:dyDescent="0.3">
      <c r="B1614" s="10" t="s">
        <v>45</v>
      </c>
      <c r="C1614" s="35" t="str">
        <f t="shared" si="19"/>
        <v/>
      </c>
      <c r="D1614" s="36"/>
      <c r="E1614" s="37"/>
      <c r="F1614" s="7"/>
      <c r="G1614" s="65"/>
      <c r="H1614" s="9"/>
    </row>
    <row r="1615" spans="2:8" ht="15.75" hidden="1" customHeight="1" thickBot="1" x14ac:dyDescent="0.3">
      <c r="B1615" s="10" t="s">
        <v>45</v>
      </c>
      <c r="C1615" s="35" t="str">
        <f t="shared" si="19"/>
        <v/>
      </c>
      <c r="D1615" s="36"/>
      <c r="E1615" s="37"/>
      <c r="F1615" s="7"/>
      <c r="G1615" s="65"/>
      <c r="H1615" s="9"/>
    </row>
    <row r="1616" spans="2:8" ht="15.75" hidden="1" customHeight="1" thickBot="1" x14ac:dyDescent="0.3">
      <c r="B1616" s="10" t="s">
        <v>45</v>
      </c>
      <c r="C1616" s="35" t="str">
        <f t="shared" si="19"/>
        <v/>
      </c>
      <c r="D1616" s="36"/>
      <c r="E1616" s="37"/>
      <c r="F1616" s="7"/>
      <c r="G1616" s="65"/>
      <c r="H1616" s="9"/>
    </row>
    <row r="1617" spans="2:8" ht="15.75" hidden="1" customHeight="1" thickBot="1" x14ac:dyDescent="0.3">
      <c r="B1617" s="10" t="s">
        <v>45</v>
      </c>
      <c r="C1617" s="35" t="str">
        <f t="shared" si="19"/>
        <v/>
      </c>
      <c r="D1617" s="36"/>
      <c r="E1617" s="37"/>
      <c r="F1617" s="7"/>
      <c r="G1617" s="65"/>
      <c r="H1617" s="9"/>
    </row>
    <row r="1618" spans="2:8" ht="15.75" hidden="1" customHeight="1" thickBot="1" x14ac:dyDescent="0.3">
      <c r="B1618" s="10" t="s">
        <v>45</v>
      </c>
      <c r="C1618" s="35" t="str">
        <f t="shared" si="19"/>
        <v/>
      </c>
      <c r="D1618" s="36"/>
      <c r="E1618" s="37"/>
      <c r="F1618" s="7"/>
      <c r="G1618" s="65"/>
      <c r="H1618" s="9"/>
    </row>
    <row r="1619" spans="2:8" ht="15.75" hidden="1" customHeight="1" thickBot="1" x14ac:dyDescent="0.3">
      <c r="B1619" s="10" t="s">
        <v>45</v>
      </c>
      <c r="C1619" s="35" t="str">
        <f t="shared" si="19"/>
        <v/>
      </c>
      <c r="D1619" s="36"/>
      <c r="E1619" s="37"/>
      <c r="F1619" s="7"/>
      <c r="G1619" s="65"/>
      <c r="H1619" s="9"/>
    </row>
    <row r="1620" spans="2:8" ht="15.75" hidden="1" customHeight="1" thickBot="1" x14ac:dyDescent="0.3">
      <c r="B1620" s="10" t="s">
        <v>45</v>
      </c>
      <c r="C1620" s="35" t="str">
        <f t="shared" si="19"/>
        <v/>
      </c>
      <c r="D1620" s="36"/>
      <c r="E1620" s="37"/>
      <c r="F1620" s="7"/>
      <c r="G1620" s="65"/>
      <c r="H1620" s="9"/>
    </row>
    <row r="1621" spans="2:8" ht="15.75" hidden="1" customHeight="1" thickBot="1" x14ac:dyDescent="0.3">
      <c r="B1621" s="10" t="s">
        <v>45</v>
      </c>
      <c r="C1621" s="35" t="str">
        <f t="shared" si="19"/>
        <v/>
      </c>
      <c r="D1621" s="36"/>
      <c r="E1621" s="37"/>
      <c r="F1621" s="7"/>
      <c r="G1621" s="65"/>
      <c r="H1621" s="9"/>
    </row>
    <row r="1622" spans="2:8" ht="15.75" hidden="1" customHeight="1" thickBot="1" x14ac:dyDescent="0.3">
      <c r="B1622" s="10" t="s">
        <v>45</v>
      </c>
      <c r="C1622" s="35" t="str">
        <f t="shared" si="19"/>
        <v/>
      </c>
      <c r="D1622" s="36"/>
      <c r="E1622" s="37"/>
      <c r="F1622" s="7"/>
      <c r="G1622" s="65"/>
      <c r="H1622" s="9"/>
    </row>
    <row r="1623" spans="2:8" ht="15.75" hidden="1" customHeight="1" thickBot="1" x14ac:dyDescent="0.3">
      <c r="B1623" s="10" t="s">
        <v>45</v>
      </c>
      <c r="C1623" s="35" t="str">
        <f t="shared" si="19"/>
        <v/>
      </c>
      <c r="D1623" s="36"/>
      <c r="E1623" s="37"/>
      <c r="F1623" s="7"/>
      <c r="G1623" s="65"/>
      <c r="H1623" s="9"/>
    </row>
    <row r="1624" spans="2:8" ht="15.75" hidden="1" customHeight="1" thickBot="1" x14ac:dyDescent="0.3">
      <c r="B1624" s="10" t="s">
        <v>45</v>
      </c>
      <c r="C1624" s="35" t="str">
        <f t="shared" si="19"/>
        <v/>
      </c>
      <c r="D1624" s="36"/>
      <c r="E1624" s="37"/>
      <c r="F1624" s="7"/>
      <c r="G1624" s="65"/>
      <c r="H1624" s="9"/>
    </row>
    <row r="1625" spans="2:8" ht="15.75" hidden="1" customHeight="1" thickBot="1" x14ac:dyDescent="0.3">
      <c r="B1625" s="10" t="s">
        <v>45</v>
      </c>
      <c r="C1625" s="35" t="str">
        <f t="shared" si="19"/>
        <v/>
      </c>
      <c r="D1625" s="36"/>
      <c r="E1625" s="37"/>
      <c r="F1625" s="7"/>
      <c r="G1625" s="65"/>
      <c r="H1625" s="9"/>
    </row>
    <row r="1626" spans="2:8" ht="15.75" hidden="1" customHeight="1" thickBot="1" x14ac:dyDescent="0.3">
      <c r="B1626" s="10" t="s">
        <v>45</v>
      </c>
      <c r="C1626" s="35" t="str">
        <f t="shared" si="19"/>
        <v/>
      </c>
      <c r="D1626" s="36"/>
      <c r="E1626" s="37"/>
      <c r="F1626" s="7"/>
      <c r="G1626" s="65"/>
      <c r="H1626" s="9"/>
    </row>
    <row r="1627" spans="2:8" ht="15.75" hidden="1" customHeight="1" thickBot="1" x14ac:dyDescent="0.3">
      <c r="B1627" s="10" t="s">
        <v>45</v>
      </c>
      <c r="C1627" s="35" t="str">
        <f t="shared" si="19"/>
        <v/>
      </c>
      <c r="D1627" s="36"/>
      <c r="E1627" s="37"/>
      <c r="F1627" s="7"/>
      <c r="G1627" s="65"/>
      <c r="H1627" s="9"/>
    </row>
    <row r="1628" spans="2:8" ht="15.75" hidden="1" customHeight="1" thickBot="1" x14ac:dyDescent="0.3">
      <c r="B1628" s="10" t="s">
        <v>45</v>
      </c>
      <c r="C1628" s="35" t="str">
        <f t="shared" si="19"/>
        <v/>
      </c>
      <c r="D1628" s="36"/>
      <c r="E1628" s="37"/>
      <c r="F1628" s="7"/>
      <c r="G1628" s="65"/>
      <c r="H1628" s="9"/>
    </row>
    <row r="1629" spans="2:8" ht="15.75" hidden="1" customHeight="1" thickBot="1" x14ac:dyDescent="0.3">
      <c r="B1629" s="10" t="s">
        <v>45</v>
      </c>
      <c r="C1629" s="35" t="str">
        <f t="shared" si="19"/>
        <v/>
      </c>
      <c r="D1629" s="36"/>
      <c r="E1629" s="37"/>
      <c r="F1629" s="7"/>
      <c r="G1629" s="65"/>
      <c r="H1629" s="9"/>
    </row>
    <row r="1630" spans="2:8" ht="15.75" hidden="1" customHeight="1" thickBot="1" x14ac:dyDescent="0.3">
      <c r="B1630" s="10" t="s">
        <v>45</v>
      </c>
      <c r="C1630" s="35" t="str">
        <f t="shared" si="19"/>
        <v/>
      </c>
      <c r="D1630" s="36"/>
      <c r="E1630" s="37"/>
      <c r="F1630" s="7"/>
      <c r="G1630" s="65"/>
      <c r="H1630" s="9"/>
    </row>
    <row r="1631" spans="2:8" ht="15.75" hidden="1" customHeight="1" thickBot="1" x14ac:dyDescent="0.3">
      <c r="B1631" s="10" t="s">
        <v>45</v>
      </c>
      <c r="C1631" s="35" t="str">
        <f t="shared" si="19"/>
        <v/>
      </c>
      <c r="D1631" s="36"/>
      <c r="E1631" s="37"/>
      <c r="F1631" s="7"/>
      <c r="G1631" s="65"/>
      <c r="H1631" s="9"/>
    </row>
    <row r="1632" spans="2:8" ht="15.75" hidden="1" customHeight="1" thickBot="1" x14ac:dyDescent="0.3">
      <c r="B1632" s="10" t="s">
        <v>45</v>
      </c>
      <c r="C1632" s="35" t="str">
        <f t="shared" si="19"/>
        <v/>
      </c>
      <c r="D1632" s="36"/>
      <c r="E1632" s="37"/>
      <c r="F1632" s="7"/>
      <c r="G1632" s="65"/>
      <c r="H1632" s="9"/>
    </row>
    <row r="1633" spans="2:8" ht="15.75" hidden="1" customHeight="1" thickBot="1" x14ac:dyDescent="0.3">
      <c r="B1633" s="10" t="s">
        <v>45</v>
      </c>
      <c r="C1633" s="35" t="str">
        <f t="shared" si="19"/>
        <v/>
      </c>
      <c r="D1633" s="36"/>
      <c r="E1633" s="37"/>
      <c r="F1633" s="7"/>
      <c r="G1633" s="65"/>
      <c r="H1633" s="9"/>
    </row>
    <row r="1634" spans="2:8" ht="15.75" hidden="1" customHeight="1" thickBot="1" x14ac:dyDescent="0.3">
      <c r="B1634" s="10" t="s">
        <v>45</v>
      </c>
      <c r="C1634" s="35" t="str">
        <f t="shared" si="19"/>
        <v/>
      </c>
      <c r="D1634" s="36"/>
      <c r="E1634" s="37"/>
      <c r="F1634" s="7"/>
      <c r="G1634" s="65"/>
      <c r="H1634" s="9"/>
    </row>
    <row r="1635" spans="2:8" ht="15.75" hidden="1" customHeight="1" thickBot="1" x14ac:dyDescent="0.3">
      <c r="B1635" s="10" t="s">
        <v>45</v>
      </c>
      <c r="C1635" s="35" t="str">
        <f t="shared" si="19"/>
        <v/>
      </c>
      <c r="D1635" s="36"/>
      <c r="E1635" s="37"/>
      <c r="F1635" s="7"/>
      <c r="G1635" s="65"/>
      <c r="H1635" s="9"/>
    </row>
    <row r="1636" spans="2:8" ht="15.75" hidden="1" customHeight="1" thickBot="1" x14ac:dyDescent="0.3">
      <c r="B1636" s="10" t="s">
        <v>45</v>
      </c>
      <c r="C1636" s="35" t="str">
        <f t="shared" si="19"/>
        <v/>
      </c>
      <c r="D1636" s="36"/>
      <c r="E1636" s="37"/>
      <c r="F1636" s="7"/>
      <c r="G1636" s="65"/>
      <c r="H1636" s="9"/>
    </row>
    <row r="1637" spans="2:8" ht="15.75" hidden="1" customHeight="1" thickBot="1" x14ac:dyDescent="0.3">
      <c r="B1637" s="10" t="s">
        <v>45</v>
      </c>
      <c r="C1637" s="35" t="str">
        <f t="shared" si="19"/>
        <v/>
      </c>
      <c r="D1637" s="36"/>
      <c r="E1637" s="37"/>
      <c r="F1637" s="7"/>
      <c r="G1637" s="65"/>
      <c r="H1637" s="9"/>
    </row>
    <row r="1638" spans="2:8" ht="15.75" hidden="1" customHeight="1" thickBot="1" x14ac:dyDescent="0.3">
      <c r="B1638" s="10" t="s">
        <v>45</v>
      </c>
      <c r="C1638" s="35" t="str">
        <f t="shared" si="19"/>
        <v/>
      </c>
      <c r="D1638" s="36"/>
      <c r="E1638" s="37"/>
      <c r="F1638" s="7"/>
      <c r="G1638" s="65"/>
      <c r="H1638" s="9"/>
    </row>
    <row r="1639" spans="2:8" ht="15.75" hidden="1" customHeight="1" thickBot="1" x14ac:dyDescent="0.3">
      <c r="B1639" s="10" t="s">
        <v>45</v>
      </c>
      <c r="C1639" s="35" t="str">
        <f t="shared" si="19"/>
        <v/>
      </c>
      <c r="D1639" s="36"/>
      <c r="E1639" s="37"/>
      <c r="F1639" s="7"/>
      <c r="G1639" s="65"/>
      <c r="H1639" s="9"/>
    </row>
    <row r="1640" spans="2:8" ht="15.75" hidden="1" customHeight="1" thickBot="1" x14ac:dyDescent="0.3">
      <c r="B1640" s="10" t="s">
        <v>45</v>
      </c>
      <c r="C1640" s="35" t="str">
        <f t="shared" si="19"/>
        <v/>
      </c>
      <c r="D1640" s="36"/>
      <c r="E1640" s="37"/>
      <c r="F1640" s="7"/>
      <c r="G1640" s="65"/>
      <c r="H1640" s="9"/>
    </row>
    <row r="1641" spans="2:8" ht="15.75" hidden="1" customHeight="1" thickBot="1" x14ac:dyDescent="0.3">
      <c r="B1641" s="10" t="s">
        <v>45</v>
      </c>
      <c r="C1641" s="35" t="str">
        <f t="shared" si="19"/>
        <v/>
      </c>
      <c r="D1641" s="36"/>
      <c r="E1641" s="37"/>
      <c r="F1641" s="7"/>
      <c r="G1641" s="65"/>
      <c r="H1641" s="9"/>
    </row>
    <row r="1642" spans="2:8" ht="15.75" hidden="1" customHeight="1" thickBot="1" x14ac:dyDescent="0.3">
      <c r="B1642" s="10" t="s">
        <v>45</v>
      </c>
      <c r="C1642" s="35" t="str">
        <f t="shared" si="19"/>
        <v/>
      </c>
      <c r="D1642" s="36"/>
      <c r="E1642" s="37"/>
      <c r="F1642" s="7"/>
      <c r="G1642" s="65"/>
      <c r="H1642" s="9"/>
    </row>
    <row r="1643" spans="2:8" ht="15.75" hidden="1" customHeight="1" thickBot="1" x14ac:dyDescent="0.3">
      <c r="B1643" s="10" t="s">
        <v>45</v>
      </c>
      <c r="C1643" s="35" t="str">
        <f t="shared" si="19"/>
        <v/>
      </c>
      <c r="D1643" s="36"/>
      <c r="E1643" s="37"/>
      <c r="F1643" s="7"/>
      <c r="G1643" s="65"/>
      <c r="H1643" s="9"/>
    </row>
    <row r="1644" spans="2:8" ht="15.75" hidden="1" customHeight="1" thickBot="1" x14ac:dyDescent="0.3">
      <c r="B1644" s="10" t="s">
        <v>45</v>
      </c>
      <c r="C1644" s="35" t="str">
        <f t="shared" si="19"/>
        <v/>
      </c>
      <c r="D1644" s="36"/>
      <c r="E1644" s="37"/>
      <c r="F1644" s="7"/>
      <c r="G1644" s="65"/>
      <c r="H1644" s="9"/>
    </row>
    <row r="1645" spans="2:8" ht="15.75" hidden="1" customHeight="1" thickBot="1" x14ac:dyDescent="0.3">
      <c r="B1645" s="10" t="s">
        <v>45</v>
      </c>
      <c r="C1645" s="35" t="str">
        <f t="shared" si="19"/>
        <v/>
      </c>
      <c r="D1645" s="36"/>
      <c r="E1645" s="37"/>
      <c r="F1645" s="7"/>
      <c r="G1645" s="65"/>
      <c r="H1645" s="9"/>
    </row>
    <row r="1646" spans="2:8" ht="15.75" hidden="1" customHeight="1" thickBot="1" x14ac:dyDescent="0.3">
      <c r="B1646" s="10" t="s">
        <v>45</v>
      </c>
      <c r="C1646" s="35" t="str">
        <f t="shared" si="19"/>
        <v/>
      </c>
      <c r="D1646" s="36"/>
      <c r="E1646" s="37"/>
      <c r="F1646" s="7"/>
      <c r="G1646" s="65"/>
      <c r="H1646" s="9"/>
    </row>
    <row r="1647" spans="2:8" ht="15.75" hidden="1" customHeight="1" thickBot="1" x14ac:dyDescent="0.3">
      <c r="B1647" s="10" t="s">
        <v>45</v>
      </c>
      <c r="C1647" s="35" t="str">
        <f t="shared" si="19"/>
        <v/>
      </c>
      <c r="D1647" s="36"/>
      <c r="E1647" s="37"/>
      <c r="F1647" s="7"/>
      <c r="G1647" s="65"/>
      <c r="H1647" s="9"/>
    </row>
    <row r="1648" spans="2:8" ht="15.75" hidden="1" customHeight="1" thickBot="1" x14ac:dyDescent="0.3">
      <c r="B1648" s="10" t="s">
        <v>45</v>
      </c>
      <c r="C1648" s="35" t="str">
        <f t="shared" si="19"/>
        <v/>
      </c>
      <c r="D1648" s="36"/>
      <c r="E1648" s="37"/>
      <c r="F1648" s="7"/>
      <c r="G1648" s="65"/>
      <c r="H1648" s="9"/>
    </row>
    <row r="1649" spans="2:8" ht="15.75" hidden="1" customHeight="1" thickBot="1" x14ac:dyDescent="0.3">
      <c r="B1649" s="10" t="s">
        <v>45</v>
      </c>
      <c r="C1649" s="35" t="str">
        <f t="shared" si="19"/>
        <v/>
      </c>
      <c r="D1649" s="36"/>
      <c r="E1649" s="37"/>
      <c r="F1649" s="7"/>
      <c r="G1649" s="65"/>
      <c r="H1649" s="9"/>
    </row>
    <row r="1650" spans="2:8" ht="15.75" hidden="1" customHeight="1" thickBot="1" x14ac:dyDescent="0.3">
      <c r="B1650" s="10" t="s">
        <v>45</v>
      </c>
      <c r="C1650" s="35" t="str">
        <f t="shared" si="19"/>
        <v/>
      </c>
      <c r="D1650" s="36"/>
      <c r="E1650" s="37"/>
      <c r="F1650" s="7"/>
      <c r="G1650" s="65"/>
      <c r="H1650" s="9"/>
    </row>
    <row r="1651" spans="2:8" ht="15.75" hidden="1" customHeight="1" thickBot="1" x14ac:dyDescent="0.3">
      <c r="B1651" s="10" t="s">
        <v>45</v>
      </c>
      <c r="C1651" s="35" t="str">
        <f t="shared" si="19"/>
        <v/>
      </c>
      <c r="D1651" s="36"/>
      <c r="E1651" s="37"/>
      <c r="F1651" s="7"/>
      <c r="G1651" s="65"/>
      <c r="H1651" s="9"/>
    </row>
    <row r="1652" spans="2:8" ht="15.75" hidden="1" customHeight="1" thickBot="1" x14ac:dyDescent="0.3">
      <c r="B1652" s="10" t="s">
        <v>45</v>
      </c>
      <c r="C1652" s="35" t="str">
        <f t="shared" si="19"/>
        <v/>
      </c>
      <c r="D1652" s="36"/>
      <c r="E1652" s="37"/>
      <c r="F1652" s="7"/>
      <c r="G1652" s="65"/>
      <c r="H1652" s="9"/>
    </row>
    <row r="1653" spans="2:8" ht="15.75" hidden="1" customHeight="1" thickBot="1" x14ac:dyDescent="0.3">
      <c r="B1653" s="10" t="s">
        <v>45</v>
      </c>
      <c r="C1653" s="35" t="str">
        <f t="shared" si="19"/>
        <v/>
      </c>
      <c r="D1653" s="36"/>
      <c r="E1653" s="37"/>
      <c r="F1653" s="7"/>
      <c r="G1653" s="65"/>
      <c r="H1653" s="9"/>
    </row>
    <row r="1654" spans="2:8" ht="15.75" hidden="1" customHeight="1" thickBot="1" x14ac:dyDescent="0.3">
      <c r="B1654" s="10" t="s">
        <v>45</v>
      </c>
      <c r="C1654" s="35" t="str">
        <f t="shared" si="19"/>
        <v/>
      </c>
      <c r="D1654" s="36"/>
      <c r="E1654" s="37"/>
      <c r="F1654" s="7"/>
      <c r="G1654" s="65"/>
      <c r="H1654" s="9"/>
    </row>
    <row r="1655" spans="2:8" ht="15.75" hidden="1" customHeight="1" thickBot="1" x14ac:dyDescent="0.3">
      <c r="B1655" s="10" t="s">
        <v>45</v>
      </c>
      <c r="C1655" s="35" t="str">
        <f t="shared" si="19"/>
        <v/>
      </c>
      <c r="D1655" s="36"/>
      <c r="E1655" s="37"/>
      <c r="F1655" s="7"/>
      <c r="G1655" s="65"/>
      <c r="H1655" s="9"/>
    </row>
    <row r="1656" spans="2:8" ht="15.75" hidden="1" customHeight="1" thickBot="1" x14ac:dyDescent="0.3">
      <c r="B1656" s="10" t="s">
        <v>45</v>
      </c>
      <c r="C1656" s="35" t="str">
        <f t="shared" si="19"/>
        <v/>
      </c>
      <c r="D1656" s="36"/>
      <c r="E1656" s="37"/>
      <c r="F1656" s="7"/>
      <c r="G1656" s="65"/>
      <c r="H1656" s="9"/>
    </row>
    <row r="1657" spans="2:8" ht="15.75" hidden="1" customHeight="1" thickBot="1" x14ac:dyDescent="0.3">
      <c r="B1657" s="10" t="s">
        <v>45</v>
      </c>
      <c r="C1657" s="35" t="str">
        <f t="shared" si="19"/>
        <v/>
      </c>
      <c r="D1657" s="36"/>
      <c r="E1657" s="37"/>
      <c r="F1657" s="7"/>
      <c r="G1657" s="65"/>
      <c r="H1657" s="9"/>
    </row>
    <row r="1658" spans="2:8" ht="15.75" hidden="1" customHeight="1" thickBot="1" x14ac:dyDescent="0.3">
      <c r="B1658" s="10" t="s">
        <v>45</v>
      </c>
      <c r="C1658" s="35" t="str">
        <f t="shared" si="19"/>
        <v/>
      </c>
      <c r="D1658" s="36"/>
      <c r="E1658" s="37"/>
      <c r="F1658" s="7"/>
      <c r="G1658" s="65"/>
      <c r="H1658" s="9"/>
    </row>
    <row r="1659" spans="2:8" ht="15.75" hidden="1" customHeight="1" thickBot="1" x14ac:dyDescent="0.3">
      <c r="B1659" s="10" t="s">
        <v>45</v>
      </c>
      <c r="C1659" s="35" t="str">
        <f t="shared" si="19"/>
        <v/>
      </c>
      <c r="D1659" s="36"/>
      <c r="E1659" s="37"/>
      <c r="F1659" s="7"/>
      <c r="G1659" s="65"/>
      <c r="H1659" s="9"/>
    </row>
    <row r="1660" spans="2:8" ht="15.75" hidden="1" customHeight="1" thickBot="1" x14ac:dyDescent="0.3">
      <c r="B1660" s="10" t="s">
        <v>45</v>
      </c>
      <c r="C1660" s="35" t="str">
        <f t="shared" si="19"/>
        <v/>
      </c>
      <c r="D1660" s="36"/>
      <c r="E1660" s="37"/>
      <c r="F1660" s="7"/>
      <c r="G1660" s="65"/>
      <c r="H1660" s="9"/>
    </row>
    <row r="1661" spans="2:8" ht="15.75" hidden="1" customHeight="1" thickBot="1" x14ac:dyDescent="0.3">
      <c r="B1661" s="10" t="s">
        <v>45</v>
      </c>
      <c r="C1661" s="35" t="str">
        <f t="shared" si="19"/>
        <v/>
      </c>
      <c r="D1661" s="36"/>
      <c r="E1661" s="37"/>
      <c r="F1661" s="7"/>
      <c r="G1661" s="65"/>
      <c r="H1661" s="9"/>
    </row>
    <row r="1662" spans="2:8" ht="15.75" hidden="1" customHeight="1" thickBot="1" x14ac:dyDescent="0.3">
      <c r="B1662" s="10" t="s">
        <v>45</v>
      </c>
      <c r="C1662" s="35" t="str">
        <f t="shared" si="19"/>
        <v/>
      </c>
      <c r="D1662" s="36"/>
      <c r="E1662" s="37"/>
      <c r="F1662" s="7"/>
      <c r="G1662" s="65"/>
      <c r="H1662" s="9"/>
    </row>
    <row r="1663" spans="2:8" ht="15.75" hidden="1" customHeight="1" thickBot="1" x14ac:dyDescent="0.3">
      <c r="B1663" s="10" t="s">
        <v>45</v>
      </c>
      <c r="C1663" s="35" t="str">
        <f t="shared" si="19"/>
        <v/>
      </c>
      <c r="D1663" s="36"/>
      <c r="E1663" s="37"/>
      <c r="F1663" s="7"/>
      <c r="G1663" s="65"/>
      <c r="H1663" s="9"/>
    </row>
    <row r="1664" spans="2:8" ht="15.75" hidden="1" customHeight="1" thickBot="1" x14ac:dyDescent="0.3">
      <c r="B1664" s="10" t="s">
        <v>45</v>
      </c>
      <c r="C1664" s="35" t="str">
        <f t="shared" si="19"/>
        <v/>
      </c>
      <c r="D1664" s="36"/>
      <c r="E1664" s="37"/>
      <c r="F1664" s="7"/>
      <c r="G1664" s="65"/>
      <c r="H1664" s="9"/>
    </row>
    <row r="1665" spans="2:8" ht="15.75" hidden="1" customHeight="1" thickBot="1" x14ac:dyDescent="0.3">
      <c r="B1665" s="10" t="s">
        <v>45</v>
      </c>
      <c r="C1665" s="35" t="str">
        <f t="shared" si="19"/>
        <v/>
      </c>
      <c r="D1665" s="36"/>
      <c r="E1665" s="37"/>
      <c r="F1665" s="7"/>
      <c r="G1665" s="65"/>
      <c r="H1665" s="9"/>
    </row>
    <row r="1666" spans="2:8" ht="15.75" hidden="1" customHeight="1" thickBot="1" x14ac:dyDescent="0.3">
      <c r="B1666" s="10" t="s">
        <v>45</v>
      </c>
      <c r="C1666" s="35" t="str">
        <f t="shared" si="19"/>
        <v/>
      </c>
      <c r="D1666" s="36"/>
      <c r="E1666" s="37"/>
      <c r="F1666" s="7"/>
      <c r="G1666" s="65"/>
      <c r="H1666" s="9"/>
    </row>
    <row r="1667" spans="2:8" ht="15.75" hidden="1" customHeight="1" thickBot="1" x14ac:dyDescent="0.3">
      <c r="B1667" s="10" t="s">
        <v>45</v>
      </c>
      <c r="C1667" s="35" t="str">
        <f t="shared" si="19"/>
        <v/>
      </c>
      <c r="D1667" s="36"/>
      <c r="E1667" s="37"/>
      <c r="F1667" s="7"/>
      <c r="G1667" s="65"/>
      <c r="H1667" s="9"/>
    </row>
    <row r="1668" spans="2:8" ht="15.75" hidden="1" customHeight="1" thickBot="1" x14ac:dyDescent="0.3">
      <c r="B1668" s="10" t="s">
        <v>45</v>
      </c>
      <c r="C1668" s="35" t="str">
        <f t="shared" ref="C1668:C1731" si="20">IF(E1668="","",IF(ISERROR(VLOOKUP(E1668,rTimeZoneTable,8,0)),"Update Contacts",VLOOKUP(E1668,rTimeZoneTable,8,0)))</f>
        <v/>
      </c>
      <c r="D1668" s="36"/>
      <c r="E1668" s="37"/>
      <c r="F1668" s="7"/>
      <c r="G1668" s="65"/>
      <c r="H1668" s="9"/>
    </row>
    <row r="1669" spans="2:8" ht="15.75" hidden="1" customHeight="1" thickBot="1" x14ac:dyDescent="0.3">
      <c r="B1669" s="10" t="s">
        <v>45</v>
      </c>
      <c r="C1669" s="35" t="str">
        <f t="shared" si="20"/>
        <v/>
      </c>
      <c r="D1669" s="36"/>
      <c r="E1669" s="37"/>
      <c r="F1669" s="7"/>
      <c r="G1669" s="65"/>
      <c r="H1669" s="9"/>
    </row>
    <row r="1670" spans="2:8" ht="15.75" hidden="1" customHeight="1" thickBot="1" x14ac:dyDescent="0.3">
      <c r="B1670" s="10" t="s">
        <v>45</v>
      </c>
      <c r="C1670" s="35" t="str">
        <f t="shared" si="20"/>
        <v/>
      </c>
      <c r="D1670" s="36"/>
      <c r="E1670" s="37"/>
      <c r="F1670" s="7"/>
      <c r="G1670" s="65"/>
      <c r="H1670" s="9"/>
    </row>
    <row r="1671" spans="2:8" ht="15.75" hidden="1" customHeight="1" thickBot="1" x14ac:dyDescent="0.3">
      <c r="B1671" s="10" t="s">
        <v>45</v>
      </c>
      <c r="C1671" s="35" t="str">
        <f t="shared" si="20"/>
        <v/>
      </c>
      <c r="D1671" s="36"/>
      <c r="E1671" s="37"/>
      <c r="F1671" s="7"/>
      <c r="G1671" s="65"/>
      <c r="H1671" s="9"/>
    </row>
    <row r="1672" spans="2:8" ht="15.75" hidden="1" customHeight="1" thickBot="1" x14ac:dyDescent="0.3">
      <c r="B1672" s="10" t="s">
        <v>45</v>
      </c>
      <c r="C1672" s="35" t="str">
        <f t="shared" si="20"/>
        <v/>
      </c>
      <c r="D1672" s="36"/>
      <c r="E1672" s="37"/>
      <c r="F1672" s="7"/>
      <c r="G1672" s="65"/>
      <c r="H1672" s="9"/>
    </row>
    <row r="1673" spans="2:8" ht="15.75" hidden="1" customHeight="1" thickBot="1" x14ac:dyDescent="0.3">
      <c r="B1673" s="10" t="s">
        <v>45</v>
      </c>
      <c r="C1673" s="35" t="str">
        <f t="shared" si="20"/>
        <v/>
      </c>
      <c r="D1673" s="36"/>
      <c r="E1673" s="37"/>
      <c r="F1673" s="7"/>
      <c r="G1673" s="65"/>
      <c r="H1673" s="9"/>
    </row>
    <row r="1674" spans="2:8" ht="15.75" hidden="1" customHeight="1" thickBot="1" x14ac:dyDescent="0.3">
      <c r="B1674" s="10" t="s">
        <v>45</v>
      </c>
      <c r="C1674" s="35" t="str">
        <f t="shared" si="20"/>
        <v/>
      </c>
      <c r="D1674" s="36"/>
      <c r="E1674" s="37"/>
      <c r="F1674" s="7"/>
      <c r="G1674" s="65"/>
      <c r="H1674" s="9"/>
    </row>
    <row r="1675" spans="2:8" ht="15.75" hidden="1" customHeight="1" thickBot="1" x14ac:dyDescent="0.3">
      <c r="B1675" s="10" t="s">
        <v>45</v>
      </c>
      <c r="C1675" s="35" t="str">
        <f t="shared" si="20"/>
        <v/>
      </c>
      <c r="D1675" s="36"/>
      <c r="E1675" s="37"/>
      <c r="F1675" s="7"/>
      <c r="G1675" s="65"/>
      <c r="H1675" s="9"/>
    </row>
    <row r="1676" spans="2:8" ht="15.75" hidden="1" customHeight="1" thickBot="1" x14ac:dyDescent="0.3">
      <c r="B1676" s="10" t="s">
        <v>45</v>
      </c>
      <c r="C1676" s="35" t="str">
        <f t="shared" si="20"/>
        <v/>
      </c>
      <c r="D1676" s="36"/>
      <c r="E1676" s="37"/>
      <c r="F1676" s="7"/>
      <c r="G1676" s="65"/>
      <c r="H1676" s="9"/>
    </row>
    <row r="1677" spans="2:8" ht="15.75" hidden="1" customHeight="1" thickBot="1" x14ac:dyDescent="0.3">
      <c r="B1677" s="10" t="s">
        <v>45</v>
      </c>
      <c r="C1677" s="35" t="str">
        <f t="shared" si="20"/>
        <v/>
      </c>
      <c r="D1677" s="36"/>
      <c r="E1677" s="37"/>
      <c r="F1677" s="7"/>
      <c r="G1677" s="65"/>
      <c r="H1677" s="9"/>
    </row>
    <row r="1678" spans="2:8" ht="15.75" hidden="1" customHeight="1" thickBot="1" x14ac:dyDescent="0.3">
      <c r="B1678" s="10" t="s">
        <v>45</v>
      </c>
      <c r="C1678" s="35" t="str">
        <f t="shared" si="20"/>
        <v/>
      </c>
      <c r="D1678" s="36"/>
      <c r="E1678" s="37"/>
      <c r="F1678" s="7"/>
      <c r="G1678" s="65"/>
      <c r="H1678" s="9"/>
    </row>
    <row r="1679" spans="2:8" ht="15.75" hidden="1" customHeight="1" thickBot="1" x14ac:dyDescent="0.3">
      <c r="B1679" s="10" t="s">
        <v>45</v>
      </c>
      <c r="C1679" s="35" t="str">
        <f t="shared" si="20"/>
        <v/>
      </c>
      <c r="D1679" s="36"/>
      <c r="E1679" s="37"/>
      <c r="F1679" s="7"/>
      <c r="G1679" s="65"/>
      <c r="H1679" s="9"/>
    </row>
    <row r="1680" spans="2:8" ht="15.75" hidden="1" customHeight="1" thickBot="1" x14ac:dyDescent="0.3">
      <c r="B1680" s="10" t="s">
        <v>45</v>
      </c>
      <c r="C1680" s="35" t="str">
        <f t="shared" si="20"/>
        <v/>
      </c>
      <c r="D1680" s="36"/>
      <c r="E1680" s="37"/>
      <c r="F1680" s="7"/>
      <c r="G1680" s="65"/>
      <c r="H1680" s="9"/>
    </row>
    <row r="1681" spans="2:8" ht="15.75" hidden="1" customHeight="1" thickBot="1" x14ac:dyDescent="0.3">
      <c r="B1681" s="10" t="s">
        <v>45</v>
      </c>
      <c r="C1681" s="35" t="str">
        <f t="shared" si="20"/>
        <v/>
      </c>
      <c r="D1681" s="36"/>
      <c r="E1681" s="37"/>
      <c r="F1681" s="7"/>
      <c r="G1681" s="65"/>
      <c r="H1681" s="9"/>
    </row>
    <row r="1682" spans="2:8" ht="15.75" hidden="1" customHeight="1" thickBot="1" x14ac:dyDescent="0.3">
      <c r="B1682" s="10" t="s">
        <v>45</v>
      </c>
      <c r="C1682" s="35" t="str">
        <f t="shared" si="20"/>
        <v/>
      </c>
      <c r="D1682" s="36"/>
      <c r="E1682" s="37"/>
      <c r="F1682" s="7"/>
      <c r="G1682" s="65"/>
      <c r="H1682" s="9"/>
    </row>
    <row r="1683" spans="2:8" ht="15.75" hidden="1" customHeight="1" thickBot="1" x14ac:dyDescent="0.3">
      <c r="B1683" s="10" t="s">
        <v>45</v>
      </c>
      <c r="C1683" s="35" t="str">
        <f t="shared" si="20"/>
        <v/>
      </c>
      <c r="D1683" s="36"/>
      <c r="E1683" s="37"/>
      <c r="F1683" s="7"/>
      <c r="G1683" s="65"/>
      <c r="H1683" s="9"/>
    </row>
    <row r="1684" spans="2:8" ht="15.75" hidden="1" customHeight="1" thickBot="1" x14ac:dyDescent="0.3">
      <c r="B1684" s="10" t="s">
        <v>45</v>
      </c>
      <c r="C1684" s="35" t="str">
        <f t="shared" si="20"/>
        <v/>
      </c>
      <c r="D1684" s="36"/>
      <c r="E1684" s="37"/>
      <c r="F1684" s="7"/>
      <c r="G1684" s="65"/>
      <c r="H1684" s="9"/>
    </row>
    <row r="1685" spans="2:8" ht="15.75" hidden="1" customHeight="1" thickBot="1" x14ac:dyDescent="0.3">
      <c r="B1685" s="10" t="s">
        <v>45</v>
      </c>
      <c r="C1685" s="35" t="str">
        <f t="shared" si="20"/>
        <v/>
      </c>
      <c r="D1685" s="36"/>
      <c r="E1685" s="37"/>
      <c r="F1685" s="7"/>
      <c r="G1685" s="65"/>
      <c r="H1685" s="9"/>
    </row>
    <row r="1686" spans="2:8" ht="15.75" hidden="1" customHeight="1" thickBot="1" x14ac:dyDescent="0.3">
      <c r="B1686" s="10" t="s">
        <v>45</v>
      </c>
      <c r="C1686" s="35" t="str">
        <f t="shared" si="20"/>
        <v/>
      </c>
      <c r="D1686" s="36"/>
      <c r="E1686" s="37"/>
      <c r="F1686" s="7"/>
      <c r="G1686" s="65"/>
      <c r="H1686" s="9"/>
    </row>
    <row r="1687" spans="2:8" ht="15.75" hidden="1" customHeight="1" thickBot="1" x14ac:dyDescent="0.3">
      <c r="B1687" s="10" t="s">
        <v>45</v>
      </c>
      <c r="C1687" s="35" t="str">
        <f t="shared" si="20"/>
        <v/>
      </c>
      <c r="D1687" s="36"/>
      <c r="E1687" s="37"/>
      <c r="F1687" s="7"/>
      <c r="G1687" s="65"/>
      <c r="H1687" s="9"/>
    </row>
    <row r="1688" spans="2:8" ht="15.75" hidden="1" customHeight="1" thickBot="1" x14ac:dyDescent="0.3">
      <c r="B1688" s="10" t="s">
        <v>45</v>
      </c>
      <c r="C1688" s="35" t="str">
        <f t="shared" si="20"/>
        <v/>
      </c>
      <c r="D1688" s="36"/>
      <c r="E1688" s="37"/>
      <c r="F1688" s="7"/>
      <c r="G1688" s="65"/>
      <c r="H1688" s="9"/>
    </row>
    <row r="1689" spans="2:8" ht="15.75" hidden="1" customHeight="1" thickBot="1" x14ac:dyDescent="0.3">
      <c r="B1689" s="10" t="s">
        <v>45</v>
      </c>
      <c r="C1689" s="35" t="str">
        <f t="shared" si="20"/>
        <v/>
      </c>
      <c r="D1689" s="36"/>
      <c r="E1689" s="37"/>
      <c r="F1689" s="7"/>
      <c r="G1689" s="65"/>
      <c r="H1689" s="9"/>
    </row>
    <row r="1690" spans="2:8" ht="15.75" hidden="1" customHeight="1" thickBot="1" x14ac:dyDescent="0.3">
      <c r="B1690" s="10" t="s">
        <v>45</v>
      </c>
      <c r="C1690" s="35" t="str">
        <f t="shared" si="20"/>
        <v/>
      </c>
      <c r="D1690" s="36"/>
      <c r="E1690" s="37"/>
      <c r="F1690" s="7"/>
      <c r="G1690" s="65"/>
      <c r="H1690" s="9"/>
    </row>
    <row r="1691" spans="2:8" ht="15.75" hidden="1" customHeight="1" thickBot="1" x14ac:dyDescent="0.3">
      <c r="B1691" s="10" t="s">
        <v>45</v>
      </c>
      <c r="C1691" s="35" t="str">
        <f t="shared" si="20"/>
        <v/>
      </c>
      <c r="D1691" s="36"/>
      <c r="E1691" s="37"/>
      <c r="F1691" s="7"/>
      <c r="G1691" s="65"/>
      <c r="H1691" s="9"/>
    </row>
    <row r="1692" spans="2:8" ht="15.75" hidden="1" customHeight="1" thickBot="1" x14ac:dyDescent="0.3">
      <c r="B1692" s="10" t="s">
        <v>45</v>
      </c>
      <c r="C1692" s="35" t="str">
        <f t="shared" si="20"/>
        <v/>
      </c>
      <c r="D1692" s="36"/>
      <c r="E1692" s="37"/>
      <c r="F1692" s="7"/>
      <c r="G1692" s="65"/>
      <c r="H1692" s="9"/>
    </row>
    <row r="1693" spans="2:8" ht="15.75" hidden="1" customHeight="1" thickBot="1" x14ac:dyDescent="0.3">
      <c r="B1693" s="10" t="s">
        <v>45</v>
      </c>
      <c r="C1693" s="35" t="str">
        <f t="shared" si="20"/>
        <v/>
      </c>
      <c r="D1693" s="36"/>
      <c r="E1693" s="37"/>
      <c r="F1693" s="7"/>
      <c r="G1693" s="65"/>
      <c r="H1693" s="9"/>
    </row>
    <row r="1694" spans="2:8" ht="15.75" hidden="1" customHeight="1" thickBot="1" x14ac:dyDescent="0.3">
      <c r="B1694" s="10" t="s">
        <v>45</v>
      </c>
      <c r="C1694" s="35" t="str">
        <f t="shared" si="20"/>
        <v/>
      </c>
      <c r="D1694" s="36"/>
      <c r="E1694" s="37"/>
      <c r="F1694" s="7"/>
      <c r="G1694" s="65"/>
      <c r="H1694" s="9"/>
    </row>
    <row r="1695" spans="2:8" ht="15.75" hidden="1" customHeight="1" thickBot="1" x14ac:dyDescent="0.3">
      <c r="B1695" s="10" t="s">
        <v>45</v>
      </c>
      <c r="C1695" s="35" t="str">
        <f t="shared" si="20"/>
        <v/>
      </c>
      <c r="D1695" s="36"/>
      <c r="E1695" s="37"/>
      <c r="F1695" s="7"/>
      <c r="G1695" s="65"/>
      <c r="H1695" s="9"/>
    </row>
    <row r="1696" spans="2:8" ht="15.75" hidden="1" customHeight="1" thickBot="1" x14ac:dyDescent="0.3">
      <c r="B1696" s="10" t="s">
        <v>45</v>
      </c>
      <c r="C1696" s="35" t="str">
        <f t="shared" si="20"/>
        <v/>
      </c>
      <c r="D1696" s="36"/>
      <c r="E1696" s="37"/>
      <c r="F1696" s="7"/>
      <c r="G1696" s="65"/>
      <c r="H1696" s="9"/>
    </row>
    <row r="1697" spans="2:8" ht="15.75" hidden="1" customHeight="1" thickBot="1" x14ac:dyDescent="0.3">
      <c r="B1697" s="10" t="s">
        <v>45</v>
      </c>
      <c r="C1697" s="35" t="str">
        <f t="shared" si="20"/>
        <v/>
      </c>
      <c r="D1697" s="36"/>
      <c r="E1697" s="37"/>
      <c r="F1697" s="7"/>
      <c r="G1697" s="65"/>
      <c r="H1697" s="9"/>
    </row>
    <row r="1698" spans="2:8" ht="15.75" hidden="1" customHeight="1" thickBot="1" x14ac:dyDescent="0.3">
      <c r="B1698" s="10" t="s">
        <v>45</v>
      </c>
      <c r="C1698" s="35" t="str">
        <f t="shared" si="20"/>
        <v/>
      </c>
      <c r="D1698" s="36"/>
      <c r="E1698" s="37"/>
      <c r="F1698" s="7"/>
      <c r="G1698" s="65"/>
      <c r="H1698" s="9"/>
    </row>
    <row r="1699" spans="2:8" ht="15.75" hidden="1" customHeight="1" thickBot="1" x14ac:dyDescent="0.3">
      <c r="B1699" s="10" t="s">
        <v>45</v>
      </c>
      <c r="C1699" s="35" t="str">
        <f t="shared" si="20"/>
        <v/>
      </c>
      <c r="D1699" s="36"/>
      <c r="E1699" s="37"/>
      <c r="F1699" s="7"/>
      <c r="G1699" s="65"/>
      <c r="H1699" s="9"/>
    </row>
    <row r="1700" spans="2:8" ht="15.75" hidden="1" customHeight="1" thickBot="1" x14ac:dyDescent="0.3">
      <c r="B1700" s="10" t="s">
        <v>45</v>
      </c>
      <c r="C1700" s="35" t="str">
        <f t="shared" si="20"/>
        <v/>
      </c>
      <c r="D1700" s="36"/>
      <c r="E1700" s="37"/>
      <c r="F1700" s="7"/>
      <c r="G1700" s="65"/>
      <c r="H1700" s="9"/>
    </row>
    <row r="1701" spans="2:8" ht="15.75" hidden="1" customHeight="1" thickBot="1" x14ac:dyDescent="0.3">
      <c r="B1701" s="10" t="s">
        <v>45</v>
      </c>
      <c r="C1701" s="35" t="str">
        <f t="shared" si="20"/>
        <v/>
      </c>
      <c r="D1701" s="36"/>
      <c r="E1701" s="37"/>
      <c r="F1701" s="7"/>
      <c r="G1701" s="65"/>
      <c r="H1701" s="9"/>
    </row>
    <row r="1702" spans="2:8" ht="15.75" hidden="1" customHeight="1" thickBot="1" x14ac:dyDescent="0.3">
      <c r="B1702" s="10" t="s">
        <v>45</v>
      </c>
      <c r="C1702" s="35" t="str">
        <f t="shared" si="20"/>
        <v/>
      </c>
      <c r="D1702" s="36"/>
      <c r="E1702" s="37"/>
      <c r="F1702" s="7"/>
      <c r="G1702" s="65"/>
      <c r="H1702" s="9"/>
    </row>
    <row r="1703" spans="2:8" ht="15.75" hidden="1" customHeight="1" thickBot="1" x14ac:dyDescent="0.3">
      <c r="B1703" s="10" t="s">
        <v>45</v>
      </c>
      <c r="C1703" s="35" t="str">
        <f t="shared" si="20"/>
        <v/>
      </c>
      <c r="D1703" s="36"/>
      <c r="E1703" s="37"/>
      <c r="F1703" s="7"/>
      <c r="G1703" s="65"/>
      <c r="H1703" s="9"/>
    </row>
    <row r="1704" spans="2:8" ht="15.75" hidden="1" customHeight="1" thickBot="1" x14ac:dyDescent="0.3">
      <c r="B1704" s="10" t="s">
        <v>45</v>
      </c>
      <c r="C1704" s="35" t="str">
        <f t="shared" si="20"/>
        <v/>
      </c>
      <c r="D1704" s="36"/>
      <c r="E1704" s="37"/>
      <c r="F1704" s="7"/>
      <c r="G1704" s="65"/>
      <c r="H1704" s="9"/>
    </row>
    <row r="1705" spans="2:8" ht="15.75" hidden="1" customHeight="1" thickBot="1" x14ac:dyDescent="0.3">
      <c r="B1705" s="10" t="s">
        <v>45</v>
      </c>
      <c r="C1705" s="35" t="str">
        <f t="shared" si="20"/>
        <v/>
      </c>
      <c r="D1705" s="36"/>
      <c r="E1705" s="37"/>
      <c r="F1705" s="7"/>
      <c r="G1705" s="65"/>
      <c r="H1705" s="9"/>
    </row>
    <row r="1706" spans="2:8" ht="15.75" hidden="1" customHeight="1" thickBot="1" x14ac:dyDescent="0.3">
      <c r="B1706" s="10" t="s">
        <v>45</v>
      </c>
      <c r="C1706" s="35" t="str">
        <f t="shared" si="20"/>
        <v/>
      </c>
      <c r="D1706" s="36"/>
      <c r="E1706" s="37"/>
      <c r="F1706" s="7"/>
      <c r="G1706" s="65"/>
      <c r="H1706" s="9"/>
    </row>
    <row r="1707" spans="2:8" ht="15.75" hidden="1" customHeight="1" thickBot="1" x14ac:dyDescent="0.3">
      <c r="B1707" s="10" t="s">
        <v>45</v>
      </c>
      <c r="C1707" s="35" t="str">
        <f t="shared" si="20"/>
        <v/>
      </c>
      <c r="D1707" s="36"/>
      <c r="E1707" s="37"/>
      <c r="F1707" s="7"/>
      <c r="G1707" s="65"/>
      <c r="H1707" s="9"/>
    </row>
    <row r="1708" spans="2:8" ht="15.75" hidden="1" customHeight="1" thickBot="1" x14ac:dyDescent="0.3">
      <c r="B1708" s="10" t="s">
        <v>45</v>
      </c>
      <c r="C1708" s="35" t="str">
        <f t="shared" si="20"/>
        <v/>
      </c>
      <c r="D1708" s="36"/>
      <c r="E1708" s="37"/>
      <c r="F1708" s="7"/>
      <c r="G1708" s="65"/>
      <c r="H1708" s="9"/>
    </row>
    <row r="1709" spans="2:8" ht="15.75" hidden="1" customHeight="1" thickBot="1" x14ac:dyDescent="0.3">
      <c r="B1709" s="10" t="s">
        <v>45</v>
      </c>
      <c r="C1709" s="35" t="str">
        <f t="shared" si="20"/>
        <v/>
      </c>
      <c r="D1709" s="36"/>
      <c r="E1709" s="37"/>
      <c r="F1709" s="7"/>
      <c r="G1709" s="65"/>
      <c r="H1709" s="9"/>
    </row>
    <row r="1710" spans="2:8" ht="15.75" hidden="1" customHeight="1" thickBot="1" x14ac:dyDescent="0.3">
      <c r="B1710" s="10" t="s">
        <v>45</v>
      </c>
      <c r="C1710" s="35" t="str">
        <f t="shared" si="20"/>
        <v/>
      </c>
      <c r="D1710" s="36"/>
      <c r="E1710" s="37"/>
      <c r="F1710" s="7"/>
      <c r="G1710" s="65"/>
      <c r="H1710" s="9"/>
    </row>
    <row r="1711" spans="2:8" ht="15.75" hidden="1" customHeight="1" thickBot="1" x14ac:dyDescent="0.3">
      <c r="B1711" s="10" t="s">
        <v>45</v>
      </c>
      <c r="C1711" s="35" t="str">
        <f t="shared" si="20"/>
        <v/>
      </c>
      <c r="D1711" s="36"/>
      <c r="E1711" s="37"/>
      <c r="F1711" s="7"/>
      <c r="G1711" s="65"/>
      <c r="H1711" s="9"/>
    </row>
    <row r="1712" spans="2:8" ht="15.75" hidden="1" customHeight="1" thickBot="1" x14ac:dyDescent="0.3">
      <c r="B1712" s="10" t="s">
        <v>45</v>
      </c>
      <c r="C1712" s="35" t="str">
        <f t="shared" si="20"/>
        <v/>
      </c>
      <c r="D1712" s="36"/>
      <c r="E1712" s="37"/>
      <c r="F1712" s="7"/>
      <c r="G1712" s="65"/>
      <c r="H1712" s="9"/>
    </row>
    <row r="1713" spans="2:8" ht="15.75" hidden="1" customHeight="1" thickBot="1" x14ac:dyDescent="0.3">
      <c r="B1713" s="10" t="s">
        <v>45</v>
      </c>
      <c r="C1713" s="35" t="str">
        <f t="shared" si="20"/>
        <v/>
      </c>
      <c r="D1713" s="36"/>
      <c r="E1713" s="37"/>
      <c r="F1713" s="7"/>
      <c r="G1713" s="65"/>
      <c r="H1713" s="9"/>
    </row>
    <row r="1714" spans="2:8" ht="15.75" hidden="1" customHeight="1" thickBot="1" x14ac:dyDescent="0.3">
      <c r="B1714" s="10" t="s">
        <v>45</v>
      </c>
      <c r="C1714" s="35" t="str">
        <f t="shared" si="20"/>
        <v/>
      </c>
      <c r="D1714" s="36"/>
      <c r="E1714" s="37"/>
      <c r="F1714" s="7"/>
      <c r="G1714" s="65"/>
      <c r="H1714" s="9"/>
    </row>
    <row r="1715" spans="2:8" ht="15.75" hidden="1" customHeight="1" thickBot="1" x14ac:dyDescent="0.3">
      <c r="B1715" s="10" t="s">
        <v>45</v>
      </c>
      <c r="C1715" s="35" t="str">
        <f t="shared" si="20"/>
        <v/>
      </c>
      <c r="D1715" s="36"/>
      <c r="E1715" s="37"/>
      <c r="F1715" s="7"/>
      <c r="G1715" s="65"/>
      <c r="H1715" s="9"/>
    </row>
    <row r="1716" spans="2:8" ht="15.75" hidden="1" customHeight="1" thickBot="1" x14ac:dyDescent="0.3">
      <c r="B1716" s="10" t="s">
        <v>45</v>
      </c>
      <c r="C1716" s="35" t="str">
        <f t="shared" si="20"/>
        <v/>
      </c>
      <c r="D1716" s="36"/>
      <c r="E1716" s="37"/>
      <c r="F1716" s="7"/>
      <c r="G1716" s="65"/>
      <c r="H1716" s="9"/>
    </row>
    <row r="1717" spans="2:8" ht="15.75" hidden="1" customHeight="1" thickBot="1" x14ac:dyDescent="0.3">
      <c r="B1717" s="10" t="s">
        <v>45</v>
      </c>
      <c r="C1717" s="35" t="str">
        <f t="shared" si="20"/>
        <v/>
      </c>
      <c r="D1717" s="36"/>
      <c r="E1717" s="37"/>
      <c r="F1717" s="7"/>
      <c r="G1717" s="65"/>
      <c r="H1717" s="9"/>
    </row>
    <row r="1718" spans="2:8" ht="15.75" hidden="1" customHeight="1" thickBot="1" x14ac:dyDescent="0.3">
      <c r="B1718" s="10" t="s">
        <v>45</v>
      </c>
      <c r="C1718" s="35" t="str">
        <f t="shared" si="20"/>
        <v/>
      </c>
      <c r="D1718" s="36"/>
      <c r="E1718" s="37"/>
      <c r="F1718" s="7"/>
      <c r="G1718" s="65"/>
      <c r="H1718" s="9"/>
    </row>
    <row r="1719" spans="2:8" ht="15.75" hidden="1" customHeight="1" thickBot="1" x14ac:dyDescent="0.3">
      <c r="B1719" s="10" t="s">
        <v>45</v>
      </c>
      <c r="C1719" s="35" t="str">
        <f t="shared" si="20"/>
        <v/>
      </c>
      <c r="D1719" s="36"/>
      <c r="E1719" s="37"/>
      <c r="F1719" s="7"/>
      <c r="G1719" s="65"/>
      <c r="H1719" s="9"/>
    </row>
    <row r="1720" spans="2:8" ht="15.75" hidden="1" customHeight="1" thickBot="1" x14ac:dyDescent="0.3">
      <c r="B1720" s="10" t="s">
        <v>45</v>
      </c>
      <c r="C1720" s="35" t="str">
        <f t="shared" si="20"/>
        <v/>
      </c>
      <c r="D1720" s="36"/>
      <c r="E1720" s="37"/>
      <c r="F1720" s="7"/>
      <c r="G1720" s="65"/>
      <c r="H1720" s="9"/>
    </row>
    <row r="1721" spans="2:8" ht="15.75" hidden="1" customHeight="1" thickBot="1" x14ac:dyDescent="0.3">
      <c r="B1721" s="10" t="s">
        <v>45</v>
      </c>
      <c r="C1721" s="35" t="str">
        <f t="shared" si="20"/>
        <v/>
      </c>
      <c r="D1721" s="36"/>
      <c r="E1721" s="37"/>
      <c r="F1721" s="7"/>
      <c r="G1721" s="65"/>
      <c r="H1721" s="9"/>
    </row>
    <row r="1722" spans="2:8" ht="15.75" hidden="1" customHeight="1" thickBot="1" x14ac:dyDescent="0.3">
      <c r="B1722" s="10" t="s">
        <v>45</v>
      </c>
      <c r="C1722" s="35" t="str">
        <f t="shared" si="20"/>
        <v/>
      </c>
      <c r="D1722" s="36"/>
      <c r="E1722" s="37"/>
      <c r="F1722" s="7"/>
      <c r="G1722" s="65"/>
      <c r="H1722" s="9"/>
    </row>
    <row r="1723" spans="2:8" ht="15.75" hidden="1" customHeight="1" thickBot="1" x14ac:dyDescent="0.3">
      <c r="B1723" s="10" t="s">
        <v>45</v>
      </c>
      <c r="C1723" s="35" t="str">
        <f t="shared" si="20"/>
        <v/>
      </c>
      <c r="D1723" s="36"/>
      <c r="E1723" s="37"/>
      <c r="F1723" s="7"/>
      <c r="G1723" s="65"/>
      <c r="H1723" s="9"/>
    </row>
    <row r="1724" spans="2:8" ht="15.75" hidden="1" customHeight="1" thickBot="1" x14ac:dyDescent="0.3">
      <c r="B1724" s="10" t="s">
        <v>45</v>
      </c>
      <c r="C1724" s="35" t="str">
        <f t="shared" si="20"/>
        <v/>
      </c>
      <c r="D1724" s="36"/>
      <c r="E1724" s="37"/>
      <c r="F1724" s="7"/>
      <c r="G1724" s="65"/>
      <c r="H1724" s="9"/>
    </row>
    <row r="1725" spans="2:8" ht="15.75" hidden="1" customHeight="1" thickBot="1" x14ac:dyDescent="0.3">
      <c r="B1725" s="10" t="s">
        <v>45</v>
      </c>
      <c r="C1725" s="35" t="str">
        <f t="shared" si="20"/>
        <v/>
      </c>
      <c r="D1725" s="36"/>
      <c r="E1725" s="37"/>
      <c r="F1725" s="7"/>
      <c r="G1725" s="65"/>
      <c r="H1725" s="9"/>
    </row>
    <row r="1726" spans="2:8" ht="15.75" hidden="1" customHeight="1" thickBot="1" x14ac:dyDescent="0.3">
      <c r="B1726" s="10" t="s">
        <v>45</v>
      </c>
      <c r="C1726" s="35" t="str">
        <f t="shared" si="20"/>
        <v/>
      </c>
      <c r="D1726" s="36"/>
      <c r="E1726" s="37"/>
      <c r="F1726" s="7"/>
      <c r="G1726" s="65"/>
      <c r="H1726" s="9"/>
    </row>
    <row r="1727" spans="2:8" ht="15.75" hidden="1" customHeight="1" thickBot="1" x14ac:dyDescent="0.3">
      <c r="B1727" s="10" t="s">
        <v>45</v>
      </c>
      <c r="C1727" s="35" t="str">
        <f t="shared" si="20"/>
        <v/>
      </c>
      <c r="D1727" s="36"/>
      <c r="E1727" s="37"/>
      <c r="F1727" s="7"/>
      <c r="G1727" s="65"/>
      <c r="H1727" s="9"/>
    </row>
    <row r="1728" spans="2:8" ht="15.75" hidden="1" customHeight="1" thickBot="1" x14ac:dyDescent="0.3">
      <c r="B1728" s="10" t="s">
        <v>45</v>
      </c>
      <c r="C1728" s="35" t="str">
        <f t="shared" si="20"/>
        <v/>
      </c>
      <c r="D1728" s="36"/>
      <c r="E1728" s="37"/>
      <c r="F1728" s="7"/>
      <c r="G1728" s="65"/>
      <c r="H1728" s="9"/>
    </row>
    <row r="1729" spans="2:8" ht="15.75" hidden="1" customHeight="1" thickBot="1" x14ac:dyDescent="0.3">
      <c r="B1729" s="10" t="s">
        <v>45</v>
      </c>
      <c r="C1729" s="35" t="str">
        <f t="shared" si="20"/>
        <v/>
      </c>
      <c r="D1729" s="36"/>
      <c r="E1729" s="37"/>
      <c r="F1729" s="7"/>
      <c r="G1729" s="65"/>
      <c r="H1729" s="9"/>
    </row>
    <row r="1730" spans="2:8" ht="15.75" hidden="1" customHeight="1" thickBot="1" x14ac:dyDescent="0.3">
      <c r="B1730" s="10" t="s">
        <v>45</v>
      </c>
      <c r="C1730" s="35" t="str">
        <f t="shared" si="20"/>
        <v/>
      </c>
      <c r="D1730" s="36"/>
      <c r="E1730" s="37"/>
      <c r="F1730" s="7"/>
      <c r="G1730" s="65"/>
      <c r="H1730" s="9"/>
    </row>
    <row r="1731" spans="2:8" ht="15.75" hidden="1" customHeight="1" thickBot="1" x14ac:dyDescent="0.3">
      <c r="B1731" s="10" t="s">
        <v>45</v>
      </c>
      <c r="C1731" s="35" t="str">
        <f t="shared" si="20"/>
        <v/>
      </c>
      <c r="D1731" s="36"/>
      <c r="E1731" s="37"/>
      <c r="F1731" s="7"/>
      <c r="G1731" s="65"/>
      <c r="H1731" s="9"/>
    </row>
    <row r="1732" spans="2:8" ht="15.75" hidden="1" customHeight="1" thickBot="1" x14ac:dyDescent="0.3">
      <c r="B1732" s="10" t="s">
        <v>45</v>
      </c>
      <c r="C1732" s="35" t="str">
        <f t="shared" ref="C1732:C1795" si="21">IF(E1732="","",IF(ISERROR(VLOOKUP(E1732,rTimeZoneTable,8,0)),"Update Contacts",VLOOKUP(E1732,rTimeZoneTable,8,0)))</f>
        <v/>
      </c>
      <c r="D1732" s="36"/>
      <c r="E1732" s="37"/>
      <c r="F1732" s="7"/>
      <c r="G1732" s="65"/>
      <c r="H1732" s="9"/>
    </row>
    <row r="1733" spans="2:8" ht="15.75" hidden="1" customHeight="1" thickBot="1" x14ac:dyDescent="0.3">
      <c r="B1733" s="10" t="s">
        <v>45</v>
      </c>
      <c r="C1733" s="35" t="str">
        <f t="shared" si="21"/>
        <v/>
      </c>
      <c r="D1733" s="36"/>
      <c r="E1733" s="37"/>
      <c r="F1733" s="7"/>
      <c r="G1733" s="65"/>
      <c r="H1733" s="9"/>
    </row>
    <row r="1734" spans="2:8" ht="15.75" hidden="1" customHeight="1" thickBot="1" x14ac:dyDescent="0.3">
      <c r="B1734" s="10" t="s">
        <v>45</v>
      </c>
      <c r="C1734" s="35" t="str">
        <f t="shared" si="21"/>
        <v/>
      </c>
      <c r="D1734" s="36"/>
      <c r="E1734" s="37"/>
      <c r="F1734" s="7"/>
      <c r="G1734" s="65"/>
      <c r="H1734" s="9"/>
    </row>
    <row r="1735" spans="2:8" ht="15.75" hidden="1" customHeight="1" thickBot="1" x14ac:dyDescent="0.3">
      <c r="B1735" s="10" t="s">
        <v>45</v>
      </c>
      <c r="C1735" s="35" t="str">
        <f t="shared" si="21"/>
        <v/>
      </c>
      <c r="D1735" s="36"/>
      <c r="E1735" s="37"/>
      <c r="F1735" s="7"/>
      <c r="G1735" s="65"/>
      <c r="H1735" s="9"/>
    </row>
    <row r="1736" spans="2:8" ht="15.75" hidden="1" customHeight="1" thickBot="1" x14ac:dyDescent="0.3">
      <c r="B1736" s="10" t="s">
        <v>45</v>
      </c>
      <c r="C1736" s="35" t="str">
        <f t="shared" si="21"/>
        <v/>
      </c>
      <c r="D1736" s="36"/>
      <c r="E1736" s="37"/>
      <c r="F1736" s="7"/>
      <c r="G1736" s="65"/>
      <c r="H1736" s="9"/>
    </row>
    <row r="1737" spans="2:8" ht="15.75" hidden="1" customHeight="1" thickBot="1" x14ac:dyDescent="0.3">
      <c r="B1737" s="10" t="s">
        <v>45</v>
      </c>
      <c r="C1737" s="35" t="str">
        <f t="shared" si="21"/>
        <v/>
      </c>
      <c r="D1737" s="36"/>
      <c r="E1737" s="37"/>
      <c r="F1737" s="7"/>
      <c r="G1737" s="65"/>
      <c r="H1737" s="9"/>
    </row>
    <row r="1738" spans="2:8" ht="15.75" hidden="1" customHeight="1" thickBot="1" x14ac:dyDescent="0.3">
      <c r="B1738" s="10" t="s">
        <v>45</v>
      </c>
      <c r="C1738" s="35" t="str">
        <f t="shared" si="21"/>
        <v/>
      </c>
      <c r="D1738" s="36"/>
      <c r="E1738" s="37"/>
      <c r="F1738" s="7"/>
      <c r="G1738" s="65"/>
      <c r="H1738" s="9"/>
    </row>
    <row r="1739" spans="2:8" ht="15.75" hidden="1" customHeight="1" thickBot="1" x14ac:dyDescent="0.3">
      <c r="B1739" s="10" t="s">
        <v>45</v>
      </c>
      <c r="C1739" s="35" t="str">
        <f t="shared" si="21"/>
        <v/>
      </c>
      <c r="D1739" s="36"/>
      <c r="E1739" s="37"/>
      <c r="F1739" s="7"/>
      <c r="G1739" s="65"/>
      <c r="H1739" s="9"/>
    </row>
    <row r="1740" spans="2:8" ht="15.75" hidden="1" customHeight="1" thickBot="1" x14ac:dyDescent="0.3">
      <c r="B1740" s="10" t="s">
        <v>45</v>
      </c>
      <c r="C1740" s="35" t="str">
        <f t="shared" si="21"/>
        <v/>
      </c>
      <c r="D1740" s="36"/>
      <c r="E1740" s="37"/>
      <c r="F1740" s="7"/>
      <c r="G1740" s="65"/>
      <c r="H1740" s="9"/>
    </row>
    <row r="1741" spans="2:8" ht="15.75" hidden="1" customHeight="1" thickBot="1" x14ac:dyDescent="0.3">
      <c r="B1741" s="10" t="s">
        <v>45</v>
      </c>
      <c r="C1741" s="35" t="str">
        <f t="shared" si="21"/>
        <v/>
      </c>
      <c r="D1741" s="36"/>
      <c r="E1741" s="37"/>
      <c r="F1741" s="7"/>
      <c r="G1741" s="65"/>
      <c r="H1741" s="9"/>
    </row>
    <row r="1742" spans="2:8" ht="15.75" hidden="1" customHeight="1" thickBot="1" x14ac:dyDescent="0.3">
      <c r="B1742" s="10" t="s">
        <v>45</v>
      </c>
      <c r="C1742" s="35" t="str">
        <f t="shared" si="21"/>
        <v/>
      </c>
      <c r="D1742" s="36"/>
      <c r="E1742" s="37"/>
      <c r="F1742" s="7"/>
      <c r="G1742" s="65"/>
      <c r="H1742" s="9"/>
    </row>
    <row r="1743" spans="2:8" ht="15.75" hidden="1" customHeight="1" thickBot="1" x14ac:dyDescent="0.3">
      <c r="B1743" s="10" t="s">
        <v>45</v>
      </c>
      <c r="C1743" s="35" t="str">
        <f t="shared" si="21"/>
        <v/>
      </c>
      <c r="D1743" s="36"/>
      <c r="E1743" s="37"/>
      <c r="F1743" s="7"/>
      <c r="G1743" s="65"/>
      <c r="H1743" s="9"/>
    </row>
    <row r="1744" spans="2:8" ht="15.75" hidden="1" customHeight="1" thickBot="1" x14ac:dyDescent="0.3">
      <c r="B1744" s="10" t="s">
        <v>45</v>
      </c>
      <c r="C1744" s="35" t="str">
        <f t="shared" si="21"/>
        <v/>
      </c>
      <c r="D1744" s="36"/>
      <c r="E1744" s="37"/>
      <c r="F1744" s="7"/>
      <c r="G1744" s="65"/>
      <c r="H1744" s="9"/>
    </row>
    <row r="1745" spans="2:8" ht="15.75" hidden="1" customHeight="1" thickBot="1" x14ac:dyDescent="0.3">
      <c r="B1745" s="10" t="s">
        <v>45</v>
      </c>
      <c r="C1745" s="35" t="str">
        <f t="shared" si="21"/>
        <v/>
      </c>
      <c r="D1745" s="36"/>
      <c r="E1745" s="37"/>
      <c r="F1745" s="7"/>
      <c r="G1745" s="65"/>
      <c r="H1745" s="9"/>
    </row>
    <row r="1746" spans="2:8" ht="15.75" hidden="1" customHeight="1" thickBot="1" x14ac:dyDescent="0.3">
      <c r="B1746" s="10" t="s">
        <v>45</v>
      </c>
      <c r="C1746" s="35" t="str">
        <f t="shared" si="21"/>
        <v/>
      </c>
      <c r="D1746" s="36"/>
      <c r="E1746" s="37"/>
      <c r="F1746" s="7"/>
      <c r="G1746" s="65"/>
      <c r="H1746" s="9"/>
    </row>
    <row r="1747" spans="2:8" ht="15.75" hidden="1" customHeight="1" thickBot="1" x14ac:dyDescent="0.3">
      <c r="B1747" s="10" t="s">
        <v>45</v>
      </c>
      <c r="C1747" s="35" t="str">
        <f t="shared" si="21"/>
        <v/>
      </c>
      <c r="D1747" s="36"/>
      <c r="E1747" s="37"/>
      <c r="F1747" s="7"/>
      <c r="G1747" s="65"/>
      <c r="H1747" s="9"/>
    </row>
    <row r="1748" spans="2:8" ht="15.75" hidden="1" customHeight="1" thickBot="1" x14ac:dyDescent="0.3">
      <c r="B1748" s="10" t="s">
        <v>45</v>
      </c>
      <c r="C1748" s="35" t="str">
        <f t="shared" si="21"/>
        <v/>
      </c>
      <c r="D1748" s="36"/>
      <c r="E1748" s="37"/>
      <c r="F1748" s="7"/>
      <c r="G1748" s="65"/>
      <c r="H1748" s="9"/>
    </row>
    <row r="1749" spans="2:8" ht="15.75" hidden="1" customHeight="1" thickBot="1" x14ac:dyDescent="0.3">
      <c r="B1749" s="10" t="s">
        <v>45</v>
      </c>
      <c r="C1749" s="35" t="str">
        <f t="shared" si="21"/>
        <v/>
      </c>
      <c r="D1749" s="36"/>
      <c r="E1749" s="37"/>
      <c r="F1749" s="7"/>
      <c r="G1749" s="65"/>
      <c r="H1749" s="9"/>
    </row>
    <row r="1750" spans="2:8" ht="15.75" hidden="1" customHeight="1" thickBot="1" x14ac:dyDescent="0.3">
      <c r="B1750" s="10" t="s">
        <v>45</v>
      </c>
      <c r="C1750" s="35" t="str">
        <f t="shared" si="21"/>
        <v/>
      </c>
      <c r="D1750" s="36"/>
      <c r="E1750" s="37"/>
      <c r="F1750" s="7"/>
      <c r="G1750" s="65"/>
      <c r="H1750" s="9"/>
    </row>
    <row r="1751" spans="2:8" ht="15.75" hidden="1" customHeight="1" thickBot="1" x14ac:dyDescent="0.3">
      <c r="B1751" s="10" t="s">
        <v>45</v>
      </c>
      <c r="C1751" s="35" t="str">
        <f t="shared" si="21"/>
        <v/>
      </c>
      <c r="D1751" s="36"/>
      <c r="E1751" s="37"/>
      <c r="F1751" s="7"/>
      <c r="G1751" s="65"/>
      <c r="H1751" s="9"/>
    </row>
    <row r="1752" spans="2:8" ht="15.75" hidden="1" customHeight="1" thickBot="1" x14ac:dyDescent="0.3">
      <c r="B1752" s="10" t="s">
        <v>45</v>
      </c>
      <c r="C1752" s="35" t="str">
        <f t="shared" si="21"/>
        <v/>
      </c>
      <c r="D1752" s="36"/>
      <c r="E1752" s="37"/>
      <c r="F1752" s="7"/>
      <c r="G1752" s="65"/>
      <c r="H1752" s="9"/>
    </row>
    <row r="1753" spans="2:8" ht="15.75" hidden="1" customHeight="1" thickBot="1" x14ac:dyDescent="0.3">
      <c r="B1753" s="10" t="s">
        <v>45</v>
      </c>
      <c r="C1753" s="35" t="str">
        <f t="shared" si="21"/>
        <v/>
      </c>
      <c r="D1753" s="36"/>
      <c r="E1753" s="37"/>
      <c r="F1753" s="7"/>
      <c r="G1753" s="65"/>
      <c r="H1753" s="9"/>
    </row>
    <row r="1754" spans="2:8" ht="15.75" hidden="1" customHeight="1" thickBot="1" x14ac:dyDescent="0.3">
      <c r="B1754" s="10" t="s">
        <v>45</v>
      </c>
      <c r="C1754" s="35" t="str">
        <f t="shared" si="21"/>
        <v/>
      </c>
      <c r="D1754" s="36"/>
      <c r="E1754" s="37"/>
      <c r="F1754" s="7"/>
      <c r="G1754" s="65"/>
      <c r="H1754" s="9"/>
    </row>
    <row r="1755" spans="2:8" ht="15.75" hidden="1" customHeight="1" thickBot="1" x14ac:dyDescent="0.3">
      <c r="B1755" s="10" t="s">
        <v>45</v>
      </c>
      <c r="C1755" s="35" t="str">
        <f t="shared" si="21"/>
        <v/>
      </c>
      <c r="D1755" s="36"/>
      <c r="E1755" s="37"/>
      <c r="F1755" s="7"/>
      <c r="G1755" s="65"/>
      <c r="H1755" s="9"/>
    </row>
    <row r="1756" spans="2:8" ht="15.75" hidden="1" customHeight="1" thickBot="1" x14ac:dyDescent="0.3">
      <c r="B1756" s="10" t="s">
        <v>45</v>
      </c>
      <c r="C1756" s="35" t="str">
        <f t="shared" si="21"/>
        <v/>
      </c>
      <c r="D1756" s="36"/>
      <c r="E1756" s="37"/>
      <c r="F1756" s="7"/>
      <c r="G1756" s="65"/>
      <c r="H1756" s="9"/>
    </row>
    <row r="1757" spans="2:8" ht="15.75" hidden="1" customHeight="1" thickBot="1" x14ac:dyDescent="0.3">
      <c r="B1757" s="10" t="s">
        <v>45</v>
      </c>
      <c r="C1757" s="35" t="str">
        <f t="shared" si="21"/>
        <v/>
      </c>
      <c r="D1757" s="36"/>
      <c r="E1757" s="37"/>
      <c r="F1757" s="7"/>
      <c r="G1757" s="65"/>
      <c r="H1757" s="9"/>
    </row>
    <row r="1758" spans="2:8" ht="15.75" hidden="1" customHeight="1" thickBot="1" x14ac:dyDescent="0.3">
      <c r="B1758" s="10" t="s">
        <v>45</v>
      </c>
      <c r="C1758" s="35" t="str">
        <f t="shared" si="21"/>
        <v/>
      </c>
      <c r="D1758" s="36"/>
      <c r="E1758" s="37"/>
      <c r="F1758" s="7"/>
      <c r="G1758" s="65"/>
      <c r="H1758" s="9"/>
    </row>
    <row r="1759" spans="2:8" ht="15.75" hidden="1" customHeight="1" thickBot="1" x14ac:dyDescent="0.3">
      <c r="B1759" s="10" t="s">
        <v>45</v>
      </c>
      <c r="C1759" s="35" t="str">
        <f t="shared" si="21"/>
        <v/>
      </c>
      <c r="D1759" s="36"/>
      <c r="E1759" s="37"/>
      <c r="F1759" s="7"/>
      <c r="G1759" s="65"/>
      <c r="H1759" s="9"/>
    </row>
    <row r="1760" spans="2:8" ht="15.75" hidden="1" customHeight="1" thickBot="1" x14ac:dyDescent="0.3">
      <c r="B1760" s="10" t="s">
        <v>45</v>
      </c>
      <c r="C1760" s="35" t="str">
        <f t="shared" si="21"/>
        <v/>
      </c>
      <c r="D1760" s="36"/>
      <c r="E1760" s="37"/>
      <c r="F1760" s="7"/>
      <c r="G1760" s="65"/>
      <c r="H1760" s="9"/>
    </row>
    <row r="1761" spans="2:8" ht="15.75" hidden="1" customHeight="1" thickBot="1" x14ac:dyDescent="0.3">
      <c r="B1761" s="10" t="s">
        <v>45</v>
      </c>
      <c r="C1761" s="35" t="str">
        <f t="shared" si="21"/>
        <v/>
      </c>
      <c r="D1761" s="36"/>
      <c r="E1761" s="37"/>
      <c r="F1761" s="7"/>
      <c r="G1761" s="65"/>
      <c r="H1761" s="9"/>
    </row>
    <row r="1762" spans="2:8" ht="15.75" hidden="1" customHeight="1" thickBot="1" x14ac:dyDescent="0.3">
      <c r="B1762" s="10" t="s">
        <v>45</v>
      </c>
      <c r="C1762" s="35" t="str">
        <f t="shared" si="21"/>
        <v/>
      </c>
      <c r="D1762" s="36"/>
      <c r="E1762" s="37"/>
      <c r="F1762" s="7"/>
      <c r="G1762" s="65"/>
      <c r="H1762" s="9"/>
    </row>
    <row r="1763" spans="2:8" ht="15.75" hidden="1" customHeight="1" thickBot="1" x14ac:dyDescent="0.3">
      <c r="B1763" s="10" t="s">
        <v>45</v>
      </c>
      <c r="C1763" s="35" t="str">
        <f t="shared" si="21"/>
        <v/>
      </c>
      <c r="D1763" s="36"/>
      <c r="E1763" s="37"/>
      <c r="F1763" s="7"/>
      <c r="G1763" s="65"/>
      <c r="H1763" s="9"/>
    </row>
    <row r="1764" spans="2:8" ht="15.75" hidden="1" customHeight="1" thickBot="1" x14ac:dyDescent="0.3">
      <c r="B1764" s="10" t="s">
        <v>45</v>
      </c>
      <c r="C1764" s="35" t="str">
        <f t="shared" si="21"/>
        <v/>
      </c>
      <c r="D1764" s="36"/>
      <c r="E1764" s="37"/>
      <c r="F1764" s="7"/>
      <c r="G1764" s="65"/>
      <c r="H1764" s="9"/>
    </row>
    <row r="1765" spans="2:8" ht="15.75" hidden="1" customHeight="1" thickBot="1" x14ac:dyDescent="0.3">
      <c r="B1765" s="10" t="s">
        <v>45</v>
      </c>
      <c r="C1765" s="35" t="str">
        <f t="shared" si="21"/>
        <v/>
      </c>
      <c r="D1765" s="36"/>
      <c r="E1765" s="37"/>
      <c r="F1765" s="7"/>
      <c r="G1765" s="65"/>
      <c r="H1765" s="9"/>
    </row>
    <row r="1766" spans="2:8" ht="15.75" hidden="1" customHeight="1" thickBot="1" x14ac:dyDescent="0.3">
      <c r="B1766" s="10" t="s">
        <v>45</v>
      </c>
      <c r="C1766" s="35" t="str">
        <f t="shared" si="21"/>
        <v/>
      </c>
      <c r="D1766" s="36"/>
      <c r="E1766" s="37"/>
      <c r="F1766" s="7"/>
      <c r="G1766" s="65"/>
      <c r="H1766" s="9"/>
    </row>
    <row r="1767" spans="2:8" ht="15.75" hidden="1" customHeight="1" thickBot="1" x14ac:dyDescent="0.3">
      <c r="B1767" s="10" t="s">
        <v>45</v>
      </c>
      <c r="C1767" s="35" t="str">
        <f t="shared" si="21"/>
        <v/>
      </c>
      <c r="D1767" s="36"/>
      <c r="E1767" s="37"/>
      <c r="F1767" s="7"/>
      <c r="G1767" s="65"/>
      <c r="H1767" s="9"/>
    </row>
    <row r="1768" spans="2:8" ht="15.75" hidden="1" customHeight="1" thickBot="1" x14ac:dyDescent="0.3">
      <c r="B1768" s="10" t="s">
        <v>45</v>
      </c>
      <c r="C1768" s="35" t="str">
        <f t="shared" si="21"/>
        <v/>
      </c>
      <c r="D1768" s="36"/>
      <c r="E1768" s="37"/>
      <c r="F1768" s="7"/>
      <c r="G1768" s="65"/>
      <c r="H1768" s="9"/>
    </row>
    <row r="1769" spans="2:8" ht="15.75" hidden="1" customHeight="1" thickBot="1" x14ac:dyDescent="0.3">
      <c r="B1769" s="10" t="s">
        <v>45</v>
      </c>
      <c r="C1769" s="35" t="str">
        <f t="shared" si="21"/>
        <v/>
      </c>
      <c r="D1769" s="36"/>
      <c r="E1769" s="37"/>
      <c r="F1769" s="7"/>
      <c r="G1769" s="65"/>
      <c r="H1769" s="9"/>
    </row>
    <row r="1770" spans="2:8" ht="15.75" hidden="1" customHeight="1" thickBot="1" x14ac:dyDescent="0.3">
      <c r="B1770" s="10" t="s">
        <v>45</v>
      </c>
      <c r="C1770" s="35" t="str">
        <f t="shared" si="21"/>
        <v/>
      </c>
      <c r="D1770" s="36"/>
      <c r="E1770" s="37"/>
      <c r="F1770" s="7"/>
      <c r="G1770" s="65"/>
      <c r="H1770" s="9"/>
    </row>
    <row r="1771" spans="2:8" ht="15.75" hidden="1" customHeight="1" thickBot="1" x14ac:dyDescent="0.3">
      <c r="B1771" s="10" t="s">
        <v>45</v>
      </c>
      <c r="C1771" s="35" t="str">
        <f t="shared" si="21"/>
        <v/>
      </c>
      <c r="D1771" s="36"/>
      <c r="E1771" s="37"/>
      <c r="F1771" s="7"/>
      <c r="G1771" s="65"/>
      <c r="H1771" s="9"/>
    </row>
    <row r="1772" spans="2:8" ht="15.75" hidden="1" customHeight="1" thickBot="1" x14ac:dyDescent="0.3">
      <c r="B1772" s="10" t="s">
        <v>45</v>
      </c>
      <c r="C1772" s="35" t="str">
        <f t="shared" si="21"/>
        <v/>
      </c>
      <c r="D1772" s="36"/>
      <c r="E1772" s="37"/>
      <c r="F1772" s="7"/>
      <c r="G1772" s="65"/>
      <c r="H1772" s="9"/>
    </row>
    <row r="1773" spans="2:8" ht="15.75" hidden="1" customHeight="1" thickBot="1" x14ac:dyDescent="0.3">
      <c r="B1773" s="10" t="s">
        <v>45</v>
      </c>
      <c r="C1773" s="35" t="str">
        <f t="shared" si="21"/>
        <v/>
      </c>
      <c r="D1773" s="36"/>
      <c r="E1773" s="37"/>
      <c r="F1773" s="7"/>
      <c r="G1773" s="65"/>
      <c r="H1773" s="9"/>
    </row>
    <row r="1774" spans="2:8" ht="15.75" hidden="1" customHeight="1" thickBot="1" x14ac:dyDescent="0.3">
      <c r="B1774" s="10" t="s">
        <v>45</v>
      </c>
      <c r="C1774" s="35" t="str">
        <f t="shared" si="21"/>
        <v/>
      </c>
      <c r="D1774" s="36"/>
      <c r="E1774" s="37"/>
      <c r="F1774" s="7"/>
      <c r="G1774" s="65"/>
      <c r="H1774" s="9"/>
    </row>
    <row r="1775" spans="2:8" ht="15.75" hidden="1" customHeight="1" thickBot="1" x14ac:dyDescent="0.3">
      <c r="B1775" s="10" t="s">
        <v>45</v>
      </c>
      <c r="C1775" s="35" t="str">
        <f t="shared" si="21"/>
        <v/>
      </c>
      <c r="D1775" s="36"/>
      <c r="E1775" s="37"/>
      <c r="F1775" s="7"/>
      <c r="G1775" s="65"/>
      <c r="H1775" s="9"/>
    </row>
    <row r="1776" spans="2:8" ht="15.75" hidden="1" customHeight="1" thickBot="1" x14ac:dyDescent="0.3">
      <c r="B1776" s="10" t="s">
        <v>45</v>
      </c>
      <c r="C1776" s="35" t="str">
        <f t="shared" si="21"/>
        <v/>
      </c>
      <c r="D1776" s="36"/>
      <c r="E1776" s="37"/>
      <c r="F1776" s="7"/>
      <c r="G1776" s="65"/>
      <c r="H1776" s="9"/>
    </row>
    <row r="1777" spans="2:8" ht="15.75" hidden="1" customHeight="1" thickBot="1" x14ac:dyDescent="0.3">
      <c r="B1777" s="10" t="s">
        <v>45</v>
      </c>
      <c r="C1777" s="35" t="str">
        <f t="shared" si="21"/>
        <v/>
      </c>
      <c r="D1777" s="36"/>
      <c r="E1777" s="37"/>
      <c r="F1777" s="7"/>
      <c r="G1777" s="65"/>
      <c r="H1777" s="9"/>
    </row>
    <row r="1778" spans="2:8" ht="15.75" hidden="1" customHeight="1" thickBot="1" x14ac:dyDescent="0.3">
      <c r="B1778" s="10" t="s">
        <v>45</v>
      </c>
      <c r="C1778" s="35" t="str">
        <f t="shared" si="21"/>
        <v/>
      </c>
      <c r="D1778" s="36"/>
      <c r="E1778" s="37"/>
      <c r="F1778" s="7"/>
      <c r="G1778" s="65"/>
      <c r="H1778" s="9"/>
    </row>
    <row r="1779" spans="2:8" ht="15.75" hidden="1" customHeight="1" thickBot="1" x14ac:dyDescent="0.3">
      <c r="B1779" s="10" t="s">
        <v>45</v>
      </c>
      <c r="C1779" s="35" t="str">
        <f t="shared" si="21"/>
        <v/>
      </c>
      <c r="D1779" s="36"/>
      <c r="E1779" s="37"/>
      <c r="F1779" s="7"/>
      <c r="G1779" s="65"/>
      <c r="H1779" s="9"/>
    </row>
    <row r="1780" spans="2:8" ht="15.75" hidden="1" customHeight="1" thickBot="1" x14ac:dyDescent="0.3">
      <c r="B1780" s="10" t="s">
        <v>45</v>
      </c>
      <c r="C1780" s="35" t="str">
        <f t="shared" si="21"/>
        <v/>
      </c>
      <c r="D1780" s="36"/>
      <c r="E1780" s="37"/>
      <c r="F1780" s="7"/>
      <c r="G1780" s="65"/>
      <c r="H1780" s="9"/>
    </row>
    <row r="1781" spans="2:8" ht="15.75" hidden="1" customHeight="1" thickBot="1" x14ac:dyDescent="0.3">
      <c r="B1781" s="10" t="s">
        <v>45</v>
      </c>
      <c r="C1781" s="35" t="str">
        <f t="shared" si="21"/>
        <v/>
      </c>
      <c r="D1781" s="36"/>
      <c r="E1781" s="37"/>
      <c r="F1781" s="7"/>
      <c r="G1781" s="65"/>
      <c r="H1781" s="9"/>
    </row>
    <row r="1782" spans="2:8" ht="15.75" hidden="1" customHeight="1" thickBot="1" x14ac:dyDescent="0.3">
      <c r="B1782" s="10" t="s">
        <v>45</v>
      </c>
      <c r="C1782" s="35" t="str">
        <f t="shared" si="21"/>
        <v/>
      </c>
      <c r="D1782" s="36"/>
      <c r="E1782" s="37"/>
      <c r="F1782" s="7"/>
      <c r="G1782" s="65"/>
      <c r="H1782" s="9"/>
    </row>
    <row r="1783" spans="2:8" ht="15.75" hidden="1" customHeight="1" thickBot="1" x14ac:dyDescent="0.3">
      <c r="B1783" s="10" t="s">
        <v>45</v>
      </c>
      <c r="C1783" s="35" t="str">
        <f t="shared" si="21"/>
        <v/>
      </c>
      <c r="D1783" s="36"/>
      <c r="E1783" s="37"/>
      <c r="F1783" s="7"/>
      <c r="G1783" s="65"/>
      <c r="H1783" s="9"/>
    </row>
    <row r="1784" spans="2:8" ht="15.75" hidden="1" customHeight="1" thickBot="1" x14ac:dyDescent="0.3">
      <c r="B1784" s="10" t="s">
        <v>45</v>
      </c>
      <c r="C1784" s="35" t="str">
        <f t="shared" si="21"/>
        <v/>
      </c>
      <c r="D1784" s="36"/>
      <c r="E1784" s="37"/>
      <c r="F1784" s="7"/>
      <c r="G1784" s="65"/>
      <c r="H1784" s="9"/>
    </row>
    <row r="1785" spans="2:8" ht="15.75" hidden="1" customHeight="1" thickBot="1" x14ac:dyDescent="0.3">
      <c r="B1785" s="10" t="s">
        <v>45</v>
      </c>
      <c r="C1785" s="35" t="str">
        <f t="shared" si="21"/>
        <v/>
      </c>
      <c r="D1785" s="36"/>
      <c r="E1785" s="37"/>
      <c r="F1785" s="7"/>
      <c r="G1785" s="65"/>
      <c r="H1785" s="9"/>
    </row>
    <row r="1786" spans="2:8" ht="15.75" hidden="1" customHeight="1" thickBot="1" x14ac:dyDescent="0.3">
      <c r="B1786" s="10" t="s">
        <v>45</v>
      </c>
      <c r="C1786" s="35" t="str">
        <f t="shared" si="21"/>
        <v/>
      </c>
      <c r="D1786" s="36"/>
      <c r="E1786" s="37"/>
      <c r="F1786" s="7"/>
      <c r="G1786" s="65"/>
      <c r="H1786" s="9"/>
    </row>
    <row r="1787" spans="2:8" ht="15.75" hidden="1" customHeight="1" thickBot="1" x14ac:dyDescent="0.3">
      <c r="B1787" s="10" t="s">
        <v>45</v>
      </c>
      <c r="C1787" s="35" t="str">
        <f t="shared" si="21"/>
        <v/>
      </c>
      <c r="D1787" s="36"/>
      <c r="E1787" s="37"/>
      <c r="F1787" s="7"/>
      <c r="G1787" s="65"/>
      <c r="H1787" s="9"/>
    </row>
    <row r="1788" spans="2:8" ht="15.75" hidden="1" customHeight="1" thickBot="1" x14ac:dyDescent="0.3">
      <c r="B1788" s="10" t="s">
        <v>45</v>
      </c>
      <c r="C1788" s="35" t="str">
        <f t="shared" si="21"/>
        <v/>
      </c>
      <c r="D1788" s="36"/>
      <c r="E1788" s="37"/>
      <c r="F1788" s="7"/>
      <c r="G1788" s="65"/>
      <c r="H1788" s="9"/>
    </row>
    <row r="1789" spans="2:8" ht="15.75" hidden="1" customHeight="1" thickBot="1" x14ac:dyDescent="0.3">
      <c r="B1789" s="10" t="s">
        <v>45</v>
      </c>
      <c r="C1789" s="35" t="str">
        <f t="shared" si="21"/>
        <v/>
      </c>
      <c r="D1789" s="36"/>
      <c r="E1789" s="37"/>
      <c r="F1789" s="7"/>
      <c r="G1789" s="65"/>
      <c r="H1789" s="9"/>
    </row>
    <row r="1790" spans="2:8" ht="15.75" hidden="1" customHeight="1" thickBot="1" x14ac:dyDescent="0.3">
      <c r="B1790" s="10" t="s">
        <v>45</v>
      </c>
      <c r="C1790" s="35" t="str">
        <f t="shared" si="21"/>
        <v/>
      </c>
      <c r="D1790" s="36"/>
      <c r="E1790" s="37"/>
      <c r="F1790" s="7"/>
      <c r="G1790" s="65"/>
      <c r="H1790" s="9"/>
    </row>
    <row r="1791" spans="2:8" ht="15.75" hidden="1" customHeight="1" thickBot="1" x14ac:dyDescent="0.3">
      <c r="B1791" s="10" t="s">
        <v>45</v>
      </c>
      <c r="C1791" s="35" t="str">
        <f t="shared" si="21"/>
        <v/>
      </c>
      <c r="D1791" s="36"/>
      <c r="E1791" s="37"/>
      <c r="F1791" s="7"/>
      <c r="G1791" s="65"/>
      <c r="H1791" s="9"/>
    </row>
    <row r="1792" spans="2:8" ht="15.75" hidden="1" customHeight="1" thickBot="1" x14ac:dyDescent="0.3">
      <c r="B1792" s="10" t="s">
        <v>45</v>
      </c>
      <c r="C1792" s="35" t="str">
        <f t="shared" si="21"/>
        <v/>
      </c>
      <c r="D1792" s="36"/>
      <c r="E1792" s="37"/>
      <c r="F1792" s="7"/>
      <c r="G1792" s="65"/>
      <c r="H1792" s="9"/>
    </row>
    <row r="1793" spans="2:8" ht="15.75" hidden="1" customHeight="1" thickBot="1" x14ac:dyDescent="0.3">
      <c r="B1793" s="10" t="s">
        <v>45</v>
      </c>
      <c r="C1793" s="35" t="str">
        <f t="shared" si="21"/>
        <v/>
      </c>
      <c r="D1793" s="36"/>
      <c r="E1793" s="37"/>
      <c r="F1793" s="7"/>
      <c r="G1793" s="65"/>
      <c r="H1793" s="9"/>
    </row>
    <row r="1794" spans="2:8" ht="15.75" hidden="1" customHeight="1" thickBot="1" x14ac:dyDescent="0.3">
      <c r="B1794" s="10" t="s">
        <v>45</v>
      </c>
      <c r="C1794" s="35" t="str">
        <f t="shared" si="21"/>
        <v/>
      </c>
      <c r="D1794" s="36"/>
      <c r="E1794" s="37"/>
      <c r="F1794" s="7"/>
      <c r="G1794" s="65"/>
      <c r="H1794" s="9"/>
    </row>
    <row r="1795" spans="2:8" ht="15.75" hidden="1" customHeight="1" thickBot="1" x14ac:dyDescent="0.3">
      <c r="B1795" s="10" t="s">
        <v>45</v>
      </c>
      <c r="C1795" s="35" t="str">
        <f t="shared" si="21"/>
        <v/>
      </c>
      <c r="D1795" s="36"/>
      <c r="E1795" s="37"/>
      <c r="F1795" s="7"/>
      <c r="G1795" s="65"/>
      <c r="H1795" s="9"/>
    </row>
    <row r="1796" spans="2:8" ht="15.75" hidden="1" customHeight="1" thickBot="1" x14ac:dyDescent="0.3">
      <c r="B1796" s="10" t="s">
        <v>45</v>
      </c>
      <c r="C1796" s="35" t="str">
        <f t="shared" ref="C1796:C1859" si="22">IF(E1796="","",IF(ISERROR(VLOOKUP(E1796,rTimeZoneTable,8,0)),"Update Contacts",VLOOKUP(E1796,rTimeZoneTable,8,0)))</f>
        <v/>
      </c>
      <c r="D1796" s="36"/>
      <c r="E1796" s="37"/>
      <c r="F1796" s="7"/>
      <c r="G1796" s="65"/>
      <c r="H1796" s="9"/>
    </row>
    <row r="1797" spans="2:8" ht="15.75" hidden="1" customHeight="1" thickBot="1" x14ac:dyDescent="0.3">
      <c r="B1797" s="10" t="s">
        <v>45</v>
      </c>
      <c r="C1797" s="35" t="str">
        <f t="shared" si="22"/>
        <v/>
      </c>
      <c r="D1797" s="36"/>
      <c r="E1797" s="37"/>
      <c r="F1797" s="7"/>
      <c r="G1797" s="65"/>
      <c r="H1797" s="9"/>
    </row>
    <row r="1798" spans="2:8" ht="15.75" hidden="1" customHeight="1" thickBot="1" x14ac:dyDescent="0.3">
      <c r="B1798" s="10" t="s">
        <v>45</v>
      </c>
      <c r="C1798" s="35" t="str">
        <f t="shared" si="22"/>
        <v/>
      </c>
      <c r="D1798" s="36"/>
      <c r="E1798" s="37"/>
      <c r="F1798" s="7"/>
      <c r="G1798" s="65"/>
      <c r="H1798" s="9"/>
    </row>
    <row r="1799" spans="2:8" ht="15.75" hidden="1" customHeight="1" thickBot="1" x14ac:dyDescent="0.3">
      <c r="B1799" s="10" t="s">
        <v>45</v>
      </c>
      <c r="C1799" s="35" t="str">
        <f t="shared" si="22"/>
        <v/>
      </c>
      <c r="D1799" s="36"/>
      <c r="E1799" s="37"/>
      <c r="F1799" s="7"/>
      <c r="G1799" s="65"/>
      <c r="H1799" s="9"/>
    </row>
    <row r="1800" spans="2:8" ht="15.75" hidden="1" customHeight="1" thickBot="1" x14ac:dyDescent="0.3">
      <c r="B1800" s="10" t="s">
        <v>45</v>
      </c>
      <c r="C1800" s="35" t="str">
        <f t="shared" si="22"/>
        <v/>
      </c>
      <c r="D1800" s="36"/>
      <c r="E1800" s="37"/>
      <c r="F1800" s="7"/>
      <c r="G1800" s="65"/>
      <c r="H1800" s="9"/>
    </row>
    <row r="1801" spans="2:8" ht="15.75" hidden="1" customHeight="1" thickBot="1" x14ac:dyDescent="0.3">
      <c r="B1801" s="10" t="s">
        <v>45</v>
      </c>
      <c r="C1801" s="35" t="str">
        <f t="shared" si="22"/>
        <v/>
      </c>
      <c r="D1801" s="36"/>
      <c r="E1801" s="37"/>
      <c r="F1801" s="7"/>
      <c r="G1801" s="65"/>
      <c r="H1801" s="9"/>
    </row>
    <row r="1802" spans="2:8" ht="15.75" hidden="1" customHeight="1" thickBot="1" x14ac:dyDescent="0.3">
      <c r="B1802" s="10" t="s">
        <v>45</v>
      </c>
      <c r="C1802" s="35" t="str">
        <f t="shared" si="22"/>
        <v/>
      </c>
      <c r="D1802" s="36"/>
      <c r="E1802" s="37"/>
      <c r="F1802" s="7"/>
      <c r="G1802" s="65"/>
      <c r="H1802" s="9"/>
    </row>
    <row r="1803" spans="2:8" ht="15.75" hidden="1" customHeight="1" thickBot="1" x14ac:dyDescent="0.3">
      <c r="B1803" s="10" t="s">
        <v>45</v>
      </c>
      <c r="C1803" s="35" t="str">
        <f t="shared" si="22"/>
        <v/>
      </c>
      <c r="D1803" s="36"/>
      <c r="E1803" s="37"/>
      <c r="F1803" s="7"/>
      <c r="G1803" s="65"/>
      <c r="H1803" s="9"/>
    </row>
    <row r="1804" spans="2:8" ht="15.75" hidden="1" customHeight="1" thickBot="1" x14ac:dyDescent="0.3">
      <c r="B1804" s="10" t="s">
        <v>45</v>
      </c>
      <c r="C1804" s="35" t="str">
        <f t="shared" si="22"/>
        <v/>
      </c>
      <c r="D1804" s="36"/>
      <c r="E1804" s="37"/>
      <c r="F1804" s="7"/>
      <c r="G1804" s="65"/>
      <c r="H1804" s="9"/>
    </row>
    <row r="1805" spans="2:8" ht="15.75" hidden="1" customHeight="1" thickBot="1" x14ac:dyDescent="0.3">
      <c r="B1805" s="10" t="s">
        <v>45</v>
      </c>
      <c r="C1805" s="35" t="str">
        <f t="shared" si="22"/>
        <v/>
      </c>
      <c r="D1805" s="36"/>
      <c r="E1805" s="37"/>
      <c r="F1805" s="7"/>
      <c r="G1805" s="65"/>
      <c r="H1805" s="9"/>
    </row>
    <row r="1806" spans="2:8" ht="15.75" hidden="1" customHeight="1" thickBot="1" x14ac:dyDescent="0.3">
      <c r="B1806" s="10" t="s">
        <v>45</v>
      </c>
      <c r="C1806" s="35" t="str">
        <f t="shared" si="22"/>
        <v/>
      </c>
      <c r="D1806" s="36"/>
      <c r="E1806" s="37"/>
      <c r="F1806" s="7"/>
      <c r="G1806" s="65"/>
      <c r="H1806" s="9"/>
    </row>
    <row r="1807" spans="2:8" ht="15.75" hidden="1" customHeight="1" thickBot="1" x14ac:dyDescent="0.3">
      <c r="B1807" s="10" t="s">
        <v>45</v>
      </c>
      <c r="C1807" s="35" t="str">
        <f t="shared" si="22"/>
        <v/>
      </c>
      <c r="D1807" s="36"/>
      <c r="E1807" s="37"/>
      <c r="F1807" s="7"/>
      <c r="G1807" s="65"/>
      <c r="H1807" s="9"/>
    </row>
    <row r="1808" spans="2:8" ht="15.75" hidden="1" customHeight="1" thickBot="1" x14ac:dyDescent="0.3">
      <c r="B1808" s="10" t="s">
        <v>45</v>
      </c>
      <c r="C1808" s="35" t="str">
        <f t="shared" si="22"/>
        <v/>
      </c>
      <c r="D1808" s="36"/>
      <c r="E1808" s="37"/>
      <c r="F1808" s="7"/>
      <c r="G1808" s="65"/>
      <c r="H1808" s="9"/>
    </row>
    <row r="1809" spans="2:8" ht="15.75" hidden="1" customHeight="1" thickBot="1" x14ac:dyDescent="0.3">
      <c r="B1809" s="10" t="s">
        <v>45</v>
      </c>
      <c r="C1809" s="35" t="str">
        <f t="shared" si="22"/>
        <v/>
      </c>
      <c r="D1809" s="36"/>
      <c r="E1809" s="37"/>
      <c r="F1809" s="7"/>
      <c r="G1809" s="65"/>
      <c r="H1809" s="9"/>
    </row>
    <row r="1810" spans="2:8" ht="15.75" hidden="1" customHeight="1" thickBot="1" x14ac:dyDescent="0.3">
      <c r="B1810" s="10" t="s">
        <v>45</v>
      </c>
      <c r="C1810" s="35" t="str">
        <f t="shared" si="22"/>
        <v/>
      </c>
      <c r="D1810" s="36"/>
      <c r="E1810" s="37"/>
      <c r="F1810" s="7"/>
      <c r="G1810" s="65"/>
      <c r="H1810" s="9"/>
    </row>
    <row r="1811" spans="2:8" ht="15.75" hidden="1" customHeight="1" thickBot="1" x14ac:dyDescent="0.3">
      <c r="B1811" s="10" t="s">
        <v>45</v>
      </c>
      <c r="C1811" s="35" t="str">
        <f t="shared" si="22"/>
        <v/>
      </c>
      <c r="D1811" s="36"/>
      <c r="E1811" s="37"/>
      <c r="F1811" s="7"/>
      <c r="G1811" s="65"/>
      <c r="H1811" s="9"/>
    </row>
    <row r="1812" spans="2:8" ht="15.75" hidden="1" customHeight="1" thickBot="1" x14ac:dyDescent="0.3">
      <c r="B1812" s="10" t="s">
        <v>45</v>
      </c>
      <c r="C1812" s="35" t="str">
        <f t="shared" si="22"/>
        <v/>
      </c>
      <c r="D1812" s="36"/>
      <c r="E1812" s="37"/>
      <c r="F1812" s="7"/>
      <c r="G1812" s="65"/>
      <c r="H1812" s="9"/>
    </row>
    <row r="1813" spans="2:8" ht="15.75" hidden="1" customHeight="1" thickBot="1" x14ac:dyDescent="0.3">
      <c r="B1813" s="10" t="s">
        <v>45</v>
      </c>
      <c r="C1813" s="35" t="str">
        <f t="shared" si="22"/>
        <v/>
      </c>
      <c r="D1813" s="36"/>
      <c r="E1813" s="37"/>
      <c r="F1813" s="7"/>
      <c r="G1813" s="65"/>
      <c r="H1813" s="9"/>
    </row>
    <row r="1814" spans="2:8" ht="15.75" hidden="1" customHeight="1" thickBot="1" x14ac:dyDescent="0.3">
      <c r="B1814" s="10" t="s">
        <v>45</v>
      </c>
      <c r="C1814" s="35" t="str">
        <f t="shared" si="22"/>
        <v/>
      </c>
      <c r="D1814" s="36"/>
      <c r="E1814" s="37"/>
      <c r="F1814" s="7"/>
      <c r="G1814" s="65"/>
      <c r="H1814" s="9"/>
    </row>
    <row r="1815" spans="2:8" ht="15.75" hidden="1" customHeight="1" thickBot="1" x14ac:dyDescent="0.3">
      <c r="B1815" s="10" t="s">
        <v>45</v>
      </c>
      <c r="C1815" s="35" t="str">
        <f t="shared" si="22"/>
        <v/>
      </c>
      <c r="D1815" s="36"/>
      <c r="E1815" s="37"/>
      <c r="F1815" s="7"/>
      <c r="G1815" s="65"/>
      <c r="H1815" s="9"/>
    </row>
    <row r="1816" spans="2:8" ht="15.75" hidden="1" customHeight="1" thickBot="1" x14ac:dyDescent="0.3">
      <c r="B1816" s="10" t="s">
        <v>45</v>
      </c>
      <c r="C1816" s="35" t="str">
        <f t="shared" si="22"/>
        <v/>
      </c>
      <c r="D1816" s="36"/>
      <c r="E1816" s="37"/>
      <c r="F1816" s="7"/>
      <c r="G1816" s="65"/>
      <c r="H1816" s="9"/>
    </row>
    <row r="1817" spans="2:8" ht="15.75" hidden="1" customHeight="1" thickBot="1" x14ac:dyDescent="0.3">
      <c r="B1817" s="10" t="s">
        <v>45</v>
      </c>
      <c r="C1817" s="35" t="str">
        <f t="shared" si="22"/>
        <v/>
      </c>
      <c r="D1817" s="36"/>
      <c r="E1817" s="37"/>
      <c r="F1817" s="7"/>
      <c r="G1817" s="65"/>
      <c r="H1817" s="9"/>
    </row>
    <row r="1818" spans="2:8" ht="15.75" hidden="1" customHeight="1" thickBot="1" x14ac:dyDescent="0.3">
      <c r="B1818" s="10" t="s">
        <v>45</v>
      </c>
      <c r="C1818" s="35" t="str">
        <f t="shared" si="22"/>
        <v/>
      </c>
      <c r="D1818" s="36"/>
      <c r="E1818" s="37"/>
      <c r="F1818" s="7"/>
      <c r="G1818" s="65"/>
      <c r="H1818" s="9"/>
    </row>
    <row r="1819" spans="2:8" ht="15.75" hidden="1" customHeight="1" thickBot="1" x14ac:dyDescent="0.3">
      <c r="B1819" s="10" t="s">
        <v>45</v>
      </c>
      <c r="C1819" s="35" t="str">
        <f t="shared" si="22"/>
        <v/>
      </c>
      <c r="D1819" s="36"/>
      <c r="E1819" s="37"/>
      <c r="F1819" s="7"/>
      <c r="G1819" s="65"/>
      <c r="H1819" s="9"/>
    </row>
    <row r="1820" spans="2:8" ht="15.75" hidden="1" customHeight="1" thickBot="1" x14ac:dyDescent="0.3">
      <c r="B1820" s="10" t="s">
        <v>45</v>
      </c>
      <c r="C1820" s="35" t="str">
        <f t="shared" si="22"/>
        <v/>
      </c>
      <c r="D1820" s="36"/>
      <c r="E1820" s="37"/>
      <c r="F1820" s="7"/>
      <c r="G1820" s="65"/>
      <c r="H1820" s="9"/>
    </row>
    <row r="1821" spans="2:8" ht="15.75" hidden="1" customHeight="1" thickBot="1" x14ac:dyDescent="0.3">
      <c r="B1821" s="10" t="s">
        <v>45</v>
      </c>
      <c r="C1821" s="35" t="str">
        <f t="shared" si="22"/>
        <v/>
      </c>
      <c r="D1821" s="36"/>
      <c r="E1821" s="37"/>
      <c r="F1821" s="7"/>
      <c r="G1821" s="65"/>
      <c r="H1821" s="9"/>
    </row>
    <row r="1822" spans="2:8" ht="15.75" hidden="1" customHeight="1" thickBot="1" x14ac:dyDescent="0.3">
      <c r="B1822" s="10" t="s">
        <v>45</v>
      </c>
      <c r="C1822" s="35" t="str">
        <f t="shared" si="22"/>
        <v/>
      </c>
      <c r="D1822" s="36"/>
      <c r="E1822" s="37"/>
      <c r="F1822" s="7"/>
      <c r="G1822" s="65"/>
      <c r="H1822" s="9"/>
    </row>
    <row r="1823" spans="2:8" ht="15.75" hidden="1" customHeight="1" thickBot="1" x14ac:dyDescent="0.3">
      <c r="B1823" s="10" t="s">
        <v>45</v>
      </c>
      <c r="C1823" s="35" t="str">
        <f t="shared" si="22"/>
        <v/>
      </c>
      <c r="D1823" s="36"/>
      <c r="E1823" s="37"/>
      <c r="F1823" s="7"/>
      <c r="G1823" s="65"/>
      <c r="H1823" s="9"/>
    </row>
    <row r="1824" spans="2:8" ht="15.75" hidden="1" customHeight="1" thickBot="1" x14ac:dyDescent="0.3">
      <c r="B1824" s="10" t="s">
        <v>45</v>
      </c>
      <c r="C1824" s="35" t="str">
        <f t="shared" si="22"/>
        <v/>
      </c>
      <c r="D1824" s="36"/>
      <c r="E1824" s="37"/>
      <c r="F1824" s="7"/>
      <c r="G1824" s="65"/>
      <c r="H1824" s="9"/>
    </row>
    <row r="1825" spans="2:8" ht="15.75" hidden="1" customHeight="1" thickBot="1" x14ac:dyDescent="0.3">
      <c r="B1825" s="10" t="s">
        <v>45</v>
      </c>
      <c r="C1825" s="35" t="str">
        <f t="shared" si="22"/>
        <v/>
      </c>
      <c r="D1825" s="36"/>
      <c r="E1825" s="37"/>
      <c r="F1825" s="7"/>
      <c r="G1825" s="65"/>
      <c r="H1825" s="9"/>
    </row>
    <row r="1826" spans="2:8" ht="15.75" hidden="1" customHeight="1" thickBot="1" x14ac:dyDescent="0.3">
      <c r="B1826" s="10" t="s">
        <v>45</v>
      </c>
      <c r="C1826" s="35" t="str">
        <f t="shared" si="22"/>
        <v/>
      </c>
      <c r="D1826" s="36"/>
      <c r="E1826" s="37"/>
      <c r="F1826" s="7"/>
      <c r="G1826" s="65"/>
      <c r="H1826" s="9"/>
    </row>
    <row r="1827" spans="2:8" ht="15.75" hidden="1" customHeight="1" thickBot="1" x14ac:dyDescent="0.3">
      <c r="B1827" s="10" t="s">
        <v>45</v>
      </c>
      <c r="C1827" s="35" t="str">
        <f t="shared" si="22"/>
        <v/>
      </c>
      <c r="D1827" s="36"/>
      <c r="E1827" s="37"/>
      <c r="F1827" s="7"/>
      <c r="G1827" s="65"/>
      <c r="H1827" s="9"/>
    </row>
    <row r="1828" spans="2:8" ht="15.75" hidden="1" customHeight="1" thickBot="1" x14ac:dyDescent="0.3">
      <c r="B1828" s="10" t="s">
        <v>45</v>
      </c>
      <c r="C1828" s="35" t="str">
        <f t="shared" si="22"/>
        <v/>
      </c>
      <c r="D1828" s="36"/>
      <c r="E1828" s="37"/>
      <c r="F1828" s="7"/>
      <c r="G1828" s="65"/>
      <c r="H1828" s="9"/>
    </row>
    <row r="1829" spans="2:8" ht="15.75" hidden="1" customHeight="1" thickBot="1" x14ac:dyDescent="0.3">
      <c r="B1829" s="10" t="s">
        <v>45</v>
      </c>
      <c r="C1829" s="35" t="str">
        <f t="shared" si="22"/>
        <v/>
      </c>
      <c r="D1829" s="36"/>
      <c r="E1829" s="37"/>
      <c r="F1829" s="7"/>
      <c r="G1829" s="65"/>
      <c r="H1829" s="9"/>
    </row>
    <row r="1830" spans="2:8" ht="15.75" hidden="1" customHeight="1" thickBot="1" x14ac:dyDescent="0.3">
      <c r="B1830" s="10" t="s">
        <v>45</v>
      </c>
      <c r="C1830" s="35" t="str">
        <f t="shared" si="22"/>
        <v/>
      </c>
      <c r="D1830" s="36"/>
      <c r="E1830" s="37"/>
      <c r="F1830" s="7"/>
      <c r="G1830" s="65"/>
      <c r="H1830" s="9"/>
    </row>
    <row r="1831" spans="2:8" ht="15.75" hidden="1" customHeight="1" thickBot="1" x14ac:dyDescent="0.3">
      <c r="B1831" s="10" t="s">
        <v>45</v>
      </c>
      <c r="C1831" s="35" t="str">
        <f t="shared" si="22"/>
        <v/>
      </c>
      <c r="D1831" s="36"/>
      <c r="E1831" s="37"/>
      <c r="F1831" s="7"/>
      <c r="G1831" s="65"/>
      <c r="H1831" s="9"/>
    </row>
    <row r="1832" spans="2:8" ht="15.75" hidden="1" customHeight="1" thickBot="1" x14ac:dyDescent="0.3">
      <c r="B1832" s="10" t="s">
        <v>45</v>
      </c>
      <c r="C1832" s="35" t="str">
        <f t="shared" si="22"/>
        <v/>
      </c>
      <c r="D1832" s="36"/>
      <c r="E1832" s="37"/>
      <c r="F1832" s="7"/>
      <c r="G1832" s="65"/>
      <c r="H1832" s="9"/>
    </row>
    <row r="1833" spans="2:8" ht="15.75" hidden="1" customHeight="1" thickBot="1" x14ac:dyDescent="0.3">
      <c r="B1833" s="10" t="s">
        <v>45</v>
      </c>
      <c r="C1833" s="35" t="str">
        <f t="shared" si="22"/>
        <v/>
      </c>
      <c r="D1833" s="36"/>
      <c r="E1833" s="37"/>
      <c r="F1833" s="7"/>
      <c r="G1833" s="65"/>
      <c r="H1833" s="9"/>
    </row>
    <row r="1834" spans="2:8" ht="15.75" hidden="1" customHeight="1" thickBot="1" x14ac:dyDescent="0.3">
      <c r="B1834" s="10" t="s">
        <v>45</v>
      </c>
      <c r="C1834" s="35" t="str">
        <f t="shared" si="22"/>
        <v/>
      </c>
      <c r="D1834" s="36"/>
      <c r="E1834" s="37"/>
      <c r="F1834" s="7"/>
      <c r="G1834" s="65"/>
      <c r="H1834" s="9"/>
    </row>
    <row r="1835" spans="2:8" ht="15.75" hidden="1" customHeight="1" thickBot="1" x14ac:dyDescent="0.3">
      <c r="B1835" s="10" t="s">
        <v>45</v>
      </c>
      <c r="C1835" s="35" t="str">
        <f t="shared" si="22"/>
        <v/>
      </c>
      <c r="D1835" s="36"/>
      <c r="E1835" s="37"/>
      <c r="F1835" s="7"/>
      <c r="G1835" s="65"/>
      <c r="H1835" s="9"/>
    </row>
    <row r="1836" spans="2:8" ht="15.75" hidden="1" customHeight="1" thickBot="1" x14ac:dyDescent="0.3">
      <c r="B1836" s="10" t="s">
        <v>45</v>
      </c>
      <c r="C1836" s="35" t="str">
        <f t="shared" si="22"/>
        <v/>
      </c>
      <c r="D1836" s="36"/>
      <c r="E1836" s="37"/>
      <c r="F1836" s="7"/>
      <c r="G1836" s="65"/>
      <c r="H1836" s="9"/>
    </row>
    <row r="1837" spans="2:8" ht="15.75" hidden="1" customHeight="1" thickBot="1" x14ac:dyDescent="0.3">
      <c r="B1837" s="10" t="s">
        <v>45</v>
      </c>
      <c r="C1837" s="35" t="str">
        <f t="shared" si="22"/>
        <v/>
      </c>
      <c r="D1837" s="36"/>
      <c r="E1837" s="37"/>
      <c r="F1837" s="7"/>
      <c r="G1837" s="65"/>
      <c r="H1837" s="9"/>
    </row>
    <row r="1838" spans="2:8" ht="15.75" hidden="1" customHeight="1" thickBot="1" x14ac:dyDescent="0.3">
      <c r="B1838" s="10" t="s">
        <v>45</v>
      </c>
      <c r="C1838" s="35" t="str">
        <f t="shared" si="22"/>
        <v/>
      </c>
      <c r="D1838" s="36"/>
      <c r="E1838" s="37"/>
      <c r="F1838" s="7"/>
      <c r="G1838" s="65"/>
      <c r="H1838" s="9"/>
    </row>
    <row r="1839" spans="2:8" ht="15.75" hidden="1" customHeight="1" thickBot="1" x14ac:dyDescent="0.3">
      <c r="B1839" s="10" t="s">
        <v>45</v>
      </c>
      <c r="C1839" s="35" t="str">
        <f t="shared" si="22"/>
        <v/>
      </c>
      <c r="D1839" s="36"/>
      <c r="E1839" s="37"/>
      <c r="F1839" s="7"/>
      <c r="G1839" s="65"/>
      <c r="H1839" s="9"/>
    </row>
    <row r="1840" spans="2:8" ht="15.75" hidden="1" customHeight="1" thickBot="1" x14ac:dyDescent="0.3">
      <c r="B1840" s="10" t="s">
        <v>45</v>
      </c>
      <c r="C1840" s="35" t="str">
        <f t="shared" si="22"/>
        <v/>
      </c>
      <c r="D1840" s="36"/>
      <c r="E1840" s="37"/>
      <c r="F1840" s="7"/>
      <c r="G1840" s="65"/>
      <c r="H1840" s="9"/>
    </row>
    <row r="1841" spans="2:8" ht="15.75" hidden="1" customHeight="1" thickBot="1" x14ac:dyDescent="0.3">
      <c r="B1841" s="10" t="s">
        <v>45</v>
      </c>
      <c r="C1841" s="35" t="str">
        <f t="shared" si="22"/>
        <v/>
      </c>
      <c r="D1841" s="36"/>
      <c r="E1841" s="37"/>
      <c r="F1841" s="7"/>
      <c r="G1841" s="65"/>
      <c r="H1841" s="9"/>
    </row>
    <row r="1842" spans="2:8" ht="15.75" hidden="1" customHeight="1" thickBot="1" x14ac:dyDescent="0.3">
      <c r="B1842" s="10" t="s">
        <v>45</v>
      </c>
      <c r="C1842" s="35" t="str">
        <f t="shared" si="22"/>
        <v/>
      </c>
      <c r="D1842" s="36"/>
      <c r="E1842" s="37"/>
      <c r="F1842" s="7"/>
      <c r="G1842" s="65"/>
      <c r="H1842" s="9"/>
    </row>
    <row r="1843" spans="2:8" ht="15.75" hidden="1" customHeight="1" thickBot="1" x14ac:dyDescent="0.3">
      <c r="B1843" s="10" t="s">
        <v>45</v>
      </c>
      <c r="C1843" s="35" t="str">
        <f t="shared" si="22"/>
        <v/>
      </c>
      <c r="D1843" s="36"/>
      <c r="E1843" s="37"/>
      <c r="F1843" s="7"/>
      <c r="G1843" s="65"/>
      <c r="H1843" s="9"/>
    </row>
    <row r="1844" spans="2:8" ht="15.75" hidden="1" customHeight="1" thickBot="1" x14ac:dyDescent="0.3">
      <c r="B1844" s="10" t="s">
        <v>45</v>
      </c>
      <c r="C1844" s="35" t="str">
        <f t="shared" si="22"/>
        <v/>
      </c>
      <c r="D1844" s="36"/>
      <c r="E1844" s="37"/>
      <c r="F1844" s="7"/>
      <c r="G1844" s="65"/>
      <c r="H1844" s="9"/>
    </row>
    <row r="1845" spans="2:8" ht="15.75" hidden="1" customHeight="1" thickBot="1" x14ac:dyDescent="0.3">
      <c r="B1845" s="10" t="s">
        <v>45</v>
      </c>
      <c r="C1845" s="35" t="str">
        <f t="shared" si="22"/>
        <v/>
      </c>
      <c r="D1845" s="36"/>
      <c r="E1845" s="37"/>
      <c r="F1845" s="7"/>
      <c r="G1845" s="65"/>
      <c r="H1845" s="9"/>
    </row>
    <row r="1846" spans="2:8" ht="15.75" hidden="1" customHeight="1" thickBot="1" x14ac:dyDescent="0.3">
      <c r="B1846" s="10" t="s">
        <v>45</v>
      </c>
      <c r="C1846" s="35" t="str">
        <f t="shared" si="22"/>
        <v/>
      </c>
      <c r="D1846" s="36"/>
      <c r="E1846" s="37"/>
      <c r="F1846" s="7"/>
      <c r="G1846" s="65"/>
      <c r="H1846" s="9"/>
    </row>
    <row r="1847" spans="2:8" ht="15.75" hidden="1" customHeight="1" thickBot="1" x14ac:dyDescent="0.3">
      <c r="B1847" s="10" t="s">
        <v>45</v>
      </c>
      <c r="C1847" s="35" t="str">
        <f t="shared" si="22"/>
        <v/>
      </c>
      <c r="D1847" s="36"/>
      <c r="E1847" s="37"/>
      <c r="F1847" s="7"/>
      <c r="G1847" s="65"/>
      <c r="H1847" s="9"/>
    </row>
    <row r="1848" spans="2:8" ht="15.75" hidden="1" customHeight="1" thickBot="1" x14ac:dyDescent="0.3">
      <c r="B1848" s="10" t="s">
        <v>45</v>
      </c>
      <c r="C1848" s="35" t="str">
        <f t="shared" si="22"/>
        <v/>
      </c>
      <c r="D1848" s="36"/>
      <c r="E1848" s="37"/>
      <c r="F1848" s="7"/>
      <c r="G1848" s="65"/>
      <c r="H1848" s="9"/>
    </row>
    <row r="1849" spans="2:8" ht="15.75" hidden="1" customHeight="1" thickBot="1" x14ac:dyDescent="0.3">
      <c r="B1849" s="10" t="s">
        <v>45</v>
      </c>
      <c r="C1849" s="35" t="str">
        <f t="shared" si="22"/>
        <v/>
      </c>
      <c r="D1849" s="36"/>
      <c r="E1849" s="37"/>
      <c r="F1849" s="7"/>
      <c r="G1849" s="65"/>
      <c r="H1849" s="9"/>
    </row>
    <row r="1850" spans="2:8" ht="15.75" hidden="1" customHeight="1" thickBot="1" x14ac:dyDescent="0.3">
      <c r="B1850" s="10" t="s">
        <v>45</v>
      </c>
      <c r="C1850" s="35" t="str">
        <f t="shared" si="22"/>
        <v/>
      </c>
      <c r="D1850" s="36"/>
      <c r="E1850" s="37"/>
      <c r="F1850" s="7"/>
      <c r="G1850" s="65"/>
      <c r="H1850" s="9"/>
    </row>
    <row r="1851" spans="2:8" ht="15.75" hidden="1" customHeight="1" thickBot="1" x14ac:dyDescent="0.3">
      <c r="B1851" s="10" t="s">
        <v>45</v>
      </c>
      <c r="C1851" s="35" t="str">
        <f t="shared" si="22"/>
        <v/>
      </c>
      <c r="D1851" s="36"/>
      <c r="E1851" s="37"/>
      <c r="F1851" s="7"/>
      <c r="G1851" s="65"/>
      <c r="H1851" s="9"/>
    </row>
    <row r="1852" spans="2:8" ht="15.75" hidden="1" customHeight="1" thickBot="1" x14ac:dyDescent="0.3">
      <c r="B1852" s="10" t="s">
        <v>45</v>
      </c>
      <c r="C1852" s="35" t="str">
        <f t="shared" si="22"/>
        <v/>
      </c>
      <c r="D1852" s="36"/>
      <c r="E1852" s="37"/>
      <c r="F1852" s="7"/>
      <c r="G1852" s="65"/>
      <c r="H1852" s="9"/>
    </row>
    <row r="1853" spans="2:8" ht="15.75" hidden="1" customHeight="1" thickBot="1" x14ac:dyDescent="0.3">
      <c r="B1853" s="10" t="s">
        <v>45</v>
      </c>
      <c r="C1853" s="35" t="str">
        <f t="shared" si="22"/>
        <v/>
      </c>
      <c r="D1853" s="36"/>
      <c r="E1853" s="37"/>
      <c r="F1853" s="7"/>
      <c r="G1853" s="65"/>
      <c r="H1853" s="9"/>
    </row>
    <row r="1854" spans="2:8" ht="15.75" hidden="1" customHeight="1" thickBot="1" x14ac:dyDescent="0.3">
      <c r="B1854" s="10" t="s">
        <v>45</v>
      </c>
      <c r="C1854" s="35" t="str">
        <f t="shared" si="22"/>
        <v/>
      </c>
      <c r="D1854" s="36"/>
      <c r="E1854" s="37"/>
      <c r="F1854" s="7"/>
      <c r="G1854" s="65"/>
      <c r="H1854" s="9"/>
    </row>
    <row r="1855" spans="2:8" ht="15.75" hidden="1" customHeight="1" thickBot="1" x14ac:dyDescent="0.3">
      <c r="B1855" s="10" t="s">
        <v>45</v>
      </c>
      <c r="C1855" s="35" t="str">
        <f t="shared" si="22"/>
        <v/>
      </c>
      <c r="D1855" s="36"/>
      <c r="E1855" s="37"/>
      <c r="F1855" s="7"/>
      <c r="G1855" s="65"/>
      <c r="H1855" s="9"/>
    </row>
    <row r="1856" spans="2:8" ht="15.75" hidden="1" customHeight="1" thickBot="1" x14ac:dyDescent="0.3">
      <c r="B1856" s="10" t="s">
        <v>45</v>
      </c>
      <c r="C1856" s="35" t="str">
        <f t="shared" si="22"/>
        <v/>
      </c>
      <c r="D1856" s="36"/>
      <c r="E1856" s="37"/>
      <c r="F1856" s="7"/>
      <c r="G1856" s="65"/>
      <c r="H1856" s="9"/>
    </row>
    <row r="1857" spans="2:8" ht="15.75" hidden="1" customHeight="1" thickBot="1" x14ac:dyDescent="0.3">
      <c r="B1857" s="10" t="s">
        <v>45</v>
      </c>
      <c r="C1857" s="35" t="str">
        <f t="shared" si="22"/>
        <v/>
      </c>
      <c r="D1857" s="36"/>
      <c r="E1857" s="37"/>
      <c r="F1857" s="7"/>
      <c r="G1857" s="65"/>
      <c r="H1857" s="9"/>
    </row>
    <row r="1858" spans="2:8" ht="15.75" hidden="1" customHeight="1" thickBot="1" x14ac:dyDescent="0.3">
      <c r="B1858" s="10" t="s">
        <v>45</v>
      </c>
      <c r="C1858" s="35" t="str">
        <f t="shared" si="22"/>
        <v/>
      </c>
      <c r="D1858" s="36"/>
      <c r="E1858" s="37"/>
      <c r="F1858" s="7"/>
      <c r="G1858" s="65"/>
      <c r="H1858" s="9"/>
    </row>
    <row r="1859" spans="2:8" ht="15.75" hidden="1" customHeight="1" thickBot="1" x14ac:dyDescent="0.3">
      <c r="B1859" s="10" t="s">
        <v>45</v>
      </c>
      <c r="C1859" s="35" t="str">
        <f t="shared" si="22"/>
        <v/>
      </c>
      <c r="D1859" s="36"/>
      <c r="E1859" s="37"/>
      <c r="F1859" s="7"/>
      <c r="G1859" s="65"/>
      <c r="H1859" s="9"/>
    </row>
    <row r="1860" spans="2:8" ht="15.75" hidden="1" customHeight="1" thickBot="1" x14ac:dyDescent="0.3">
      <c r="B1860" s="10" t="s">
        <v>45</v>
      </c>
      <c r="C1860" s="35" t="str">
        <f t="shared" ref="C1860:C1923" si="23">IF(E1860="","",IF(ISERROR(VLOOKUP(E1860,rTimeZoneTable,8,0)),"Update Contacts",VLOOKUP(E1860,rTimeZoneTable,8,0)))</f>
        <v/>
      </c>
      <c r="D1860" s="36"/>
      <c r="E1860" s="37"/>
      <c r="F1860" s="7"/>
      <c r="G1860" s="65"/>
      <c r="H1860" s="9"/>
    </row>
    <row r="1861" spans="2:8" ht="15.75" hidden="1" customHeight="1" thickBot="1" x14ac:dyDescent="0.3">
      <c r="B1861" s="10" t="s">
        <v>45</v>
      </c>
      <c r="C1861" s="35" t="str">
        <f t="shared" si="23"/>
        <v/>
      </c>
      <c r="D1861" s="36"/>
      <c r="E1861" s="37"/>
      <c r="F1861" s="7"/>
      <c r="G1861" s="65"/>
      <c r="H1861" s="9"/>
    </row>
    <row r="1862" spans="2:8" ht="15.75" hidden="1" customHeight="1" thickBot="1" x14ac:dyDescent="0.3">
      <c r="B1862" s="10" t="s">
        <v>45</v>
      </c>
      <c r="C1862" s="35" t="str">
        <f t="shared" si="23"/>
        <v/>
      </c>
      <c r="D1862" s="36"/>
      <c r="E1862" s="37"/>
      <c r="F1862" s="7"/>
      <c r="G1862" s="65"/>
      <c r="H1862" s="9"/>
    </row>
    <row r="1863" spans="2:8" ht="15.75" hidden="1" customHeight="1" thickBot="1" x14ac:dyDescent="0.3">
      <c r="B1863" s="10" t="s">
        <v>45</v>
      </c>
      <c r="C1863" s="35" t="str">
        <f t="shared" si="23"/>
        <v/>
      </c>
      <c r="D1863" s="36"/>
      <c r="E1863" s="37"/>
      <c r="F1863" s="7"/>
      <c r="G1863" s="65"/>
      <c r="H1863" s="9"/>
    </row>
    <row r="1864" spans="2:8" ht="15.75" hidden="1" customHeight="1" thickBot="1" x14ac:dyDescent="0.3">
      <c r="B1864" s="10" t="s">
        <v>45</v>
      </c>
      <c r="C1864" s="35" t="str">
        <f t="shared" si="23"/>
        <v/>
      </c>
      <c r="D1864" s="36"/>
      <c r="E1864" s="37"/>
      <c r="F1864" s="7"/>
      <c r="G1864" s="65"/>
      <c r="H1864" s="9"/>
    </row>
    <row r="1865" spans="2:8" ht="15.75" hidden="1" customHeight="1" thickBot="1" x14ac:dyDescent="0.3">
      <c r="B1865" s="10" t="s">
        <v>45</v>
      </c>
      <c r="C1865" s="35" t="str">
        <f t="shared" si="23"/>
        <v/>
      </c>
      <c r="D1865" s="36"/>
      <c r="E1865" s="37"/>
      <c r="F1865" s="7"/>
      <c r="G1865" s="65"/>
      <c r="H1865" s="9"/>
    </row>
    <row r="1866" spans="2:8" ht="15.75" hidden="1" customHeight="1" thickBot="1" x14ac:dyDescent="0.3">
      <c r="B1866" s="10" t="s">
        <v>45</v>
      </c>
      <c r="C1866" s="35" t="str">
        <f t="shared" si="23"/>
        <v/>
      </c>
      <c r="D1866" s="36"/>
      <c r="E1866" s="37"/>
      <c r="F1866" s="7"/>
      <c r="G1866" s="65"/>
      <c r="H1866" s="9"/>
    </row>
    <row r="1867" spans="2:8" ht="15.75" hidden="1" customHeight="1" thickBot="1" x14ac:dyDescent="0.3">
      <c r="B1867" s="10" t="s">
        <v>45</v>
      </c>
      <c r="C1867" s="35" t="str">
        <f t="shared" si="23"/>
        <v/>
      </c>
      <c r="D1867" s="36"/>
      <c r="E1867" s="37"/>
      <c r="F1867" s="7"/>
      <c r="G1867" s="65"/>
      <c r="H1867" s="9"/>
    </row>
    <row r="1868" spans="2:8" ht="15.75" hidden="1" customHeight="1" thickBot="1" x14ac:dyDescent="0.3">
      <c r="B1868" s="10" t="s">
        <v>45</v>
      </c>
      <c r="C1868" s="35" t="str">
        <f t="shared" si="23"/>
        <v/>
      </c>
      <c r="D1868" s="36"/>
      <c r="E1868" s="37"/>
      <c r="F1868" s="7"/>
      <c r="G1868" s="65"/>
      <c r="H1868" s="9"/>
    </row>
    <row r="1869" spans="2:8" ht="15.75" hidden="1" customHeight="1" thickBot="1" x14ac:dyDescent="0.3">
      <c r="B1869" s="10" t="s">
        <v>45</v>
      </c>
      <c r="C1869" s="35" t="str">
        <f t="shared" si="23"/>
        <v/>
      </c>
      <c r="D1869" s="36"/>
      <c r="E1869" s="37"/>
      <c r="F1869" s="7"/>
      <c r="G1869" s="65"/>
      <c r="H1869" s="9"/>
    </row>
    <row r="1870" spans="2:8" ht="15.75" hidden="1" customHeight="1" thickBot="1" x14ac:dyDescent="0.3">
      <c r="B1870" s="10" t="s">
        <v>45</v>
      </c>
      <c r="C1870" s="35" t="str">
        <f t="shared" si="23"/>
        <v/>
      </c>
      <c r="D1870" s="36"/>
      <c r="E1870" s="37"/>
      <c r="F1870" s="7"/>
      <c r="G1870" s="65"/>
      <c r="H1870" s="9"/>
    </row>
    <row r="1871" spans="2:8" ht="15.75" hidden="1" customHeight="1" thickBot="1" x14ac:dyDescent="0.3">
      <c r="B1871" s="10" t="s">
        <v>45</v>
      </c>
      <c r="C1871" s="35" t="str">
        <f t="shared" si="23"/>
        <v/>
      </c>
      <c r="D1871" s="36"/>
      <c r="E1871" s="37"/>
      <c r="F1871" s="7"/>
      <c r="G1871" s="65"/>
      <c r="H1871" s="9"/>
    </row>
    <row r="1872" spans="2:8" ht="15.75" hidden="1" customHeight="1" thickBot="1" x14ac:dyDescent="0.3">
      <c r="B1872" s="10" t="s">
        <v>45</v>
      </c>
      <c r="C1872" s="35" t="str">
        <f t="shared" si="23"/>
        <v/>
      </c>
      <c r="D1872" s="36"/>
      <c r="E1872" s="37"/>
      <c r="F1872" s="7"/>
      <c r="G1872" s="65"/>
      <c r="H1872" s="9"/>
    </row>
    <row r="1873" spans="2:8" ht="15.75" hidden="1" customHeight="1" thickBot="1" x14ac:dyDescent="0.3">
      <c r="B1873" s="10" t="s">
        <v>45</v>
      </c>
      <c r="C1873" s="35" t="str">
        <f t="shared" si="23"/>
        <v/>
      </c>
      <c r="D1873" s="36"/>
      <c r="E1873" s="37"/>
      <c r="F1873" s="7"/>
      <c r="G1873" s="65"/>
      <c r="H1873" s="9"/>
    </row>
    <row r="1874" spans="2:8" ht="15.75" hidden="1" customHeight="1" thickBot="1" x14ac:dyDescent="0.3">
      <c r="B1874" s="10" t="s">
        <v>45</v>
      </c>
      <c r="C1874" s="35" t="str">
        <f t="shared" si="23"/>
        <v/>
      </c>
      <c r="D1874" s="36"/>
      <c r="E1874" s="37"/>
      <c r="F1874" s="7"/>
      <c r="G1874" s="65"/>
      <c r="H1874" s="9"/>
    </row>
    <row r="1875" spans="2:8" ht="15.75" hidden="1" customHeight="1" thickBot="1" x14ac:dyDescent="0.3">
      <c r="B1875" s="10" t="s">
        <v>45</v>
      </c>
      <c r="C1875" s="35" t="str">
        <f t="shared" si="23"/>
        <v/>
      </c>
      <c r="D1875" s="36"/>
      <c r="E1875" s="37"/>
      <c r="F1875" s="7"/>
      <c r="G1875" s="65"/>
      <c r="H1875" s="9"/>
    </row>
    <row r="1876" spans="2:8" ht="15.75" hidden="1" customHeight="1" thickBot="1" x14ac:dyDescent="0.3">
      <c r="B1876" s="10" t="s">
        <v>45</v>
      </c>
      <c r="C1876" s="35" t="str">
        <f t="shared" si="23"/>
        <v/>
      </c>
      <c r="D1876" s="36"/>
      <c r="E1876" s="37"/>
      <c r="F1876" s="7"/>
      <c r="G1876" s="65"/>
      <c r="H1876" s="9"/>
    </row>
    <row r="1877" spans="2:8" ht="15.75" hidden="1" customHeight="1" thickBot="1" x14ac:dyDescent="0.3">
      <c r="B1877" s="10" t="s">
        <v>45</v>
      </c>
      <c r="C1877" s="35" t="str">
        <f t="shared" si="23"/>
        <v/>
      </c>
      <c r="D1877" s="36"/>
      <c r="E1877" s="37"/>
      <c r="F1877" s="7"/>
      <c r="G1877" s="65"/>
      <c r="H1877" s="9"/>
    </row>
    <row r="1878" spans="2:8" ht="15.75" hidden="1" customHeight="1" thickBot="1" x14ac:dyDescent="0.3">
      <c r="B1878" s="10" t="s">
        <v>45</v>
      </c>
      <c r="C1878" s="35" t="str">
        <f t="shared" si="23"/>
        <v/>
      </c>
      <c r="D1878" s="36"/>
      <c r="E1878" s="37"/>
      <c r="F1878" s="7"/>
      <c r="G1878" s="65"/>
      <c r="H1878" s="9"/>
    </row>
    <row r="1879" spans="2:8" ht="15.75" hidden="1" customHeight="1" thickBot="1" x14ac:dyDescent="0.3">
      <c r="B1879" s="10" t="s">
        <v>45</v>
      </c>
      <c r="C1879" s="35" t="str">
        <f t="shared" si="23"/>
        <v/>
      </c>
      <c r="D1879" s="36"/>
      <c r="E1879" s="37"/>
      <c r="F1879" s="7"/>
      <c r="G1879" s="65"/>
      <c r="H1879" s="9"/>
    </row>
    <row r="1880" spans="2:8" ht="15.75" hidden="1" customHeight="1" thickBot="1" x14ac:dyDescent="0.3">
      <c r="B1880" s="10" t="s">
        <v>45</v>
      </c>
      <c r="C1880" s="35" t="str">
        <f t="shared" si="23"/>
        <v/>
      </c>
      <c r="D1880" s="36"/>
      <c r="E1880" s="37"/>
      <c r="F1880" s="7"/>
      <c r="G1880" s="65"/>
      <c r="H1880" s="9"/>
    </row>
    <row r="1881" spans="2:8" ht="15.75" hidden="1" customHeight="1" thickBot="1" x14ac:dyDescent="0.3">
      <c r="B1881" s="10" t="s">
        <v>45</v>
      </c>
      <c r="C1881" s="35" t="str">
        <f t="shared" si="23"/>
        <v/>
      </c>
      <c r="D1881" s="36"/>
      <c r="E1881" s="37"/>
      <c r="F1881" s="7"/>
      <c r="G1881" s="65"/>
      <c r="H1881" s="9"/>
    </row>
    <row r="1882" spans="2:8" ht="15.75" hidden="1" customHeight="1" thickBot="1" x14ac:dyDescent="0.3">
      <c r="B1882" s="10" t="s">
        <v>45</v>
      </c>
      <c r="C1882" s="35" t="str">
        <f t="shared" si="23"/>
        <v/>
      </c>
      <c r="D1882" s="36"/>
      <c r="E1882" s="37"/>
      <c r="F1882" s="7"/>
      <c r="G1882" s="65"/>
      <c r="H1882" s="9"/>
    </row>
    <row r="1883" spans="2:8" ht="15.75" hidden="1" customHeight="1" thickBot="1" x14ac:dyDescent="0.3">
      <c r="B1883" s="10" t="s">
        <v>45</v>
      </c>
      <c r="C1883" s="35" t="str">
        <f t="shared" si="23"/>
        <v/>
      </c>
      <c r="D1883" s="36"/>
      <c r="E1883" s="37"/>
      <c r="F1883" s="7"/>
      <c r="G1883" s="65"/>
      <c r="H1883" s="9"/>
    </row>
    <row r="1884" spans="2:8" ht="15.75" hidden="1" customHeight="1" thickBot="1" x14ac:dyDescent="0.3">
      <c r="B1884" s="10" t="s">
        <v>45</v>
      </c>
      <c r="C1884" s="35" t="str">
        <f t="shared" si="23"/>
        <v/>
      </c>
      <c r="D1884" s="36"/>
      <c r="E1884" s="37"/>
      <c r="F1884" s="7"/>
      <c r="G1884" s="65"/>
      <c r="H1884" s="9"/>
    </row>
    <row r="1885" spans="2:8" ht="15.75" hidden="1" customHeight="1" thickBot="1" x14ac:dyDescent="0.3">
      <c r="B1885" s="10" t="s">
        <v>45</v>
      </c>
      <c r="C1885" s="35" t="str">
        <f t="shared" si="23"/>
        <v/>
      </c>
      <c r="D1885" s="36"/>
      <c r="E1885" s="37"/>
      <c r="F1885" s="7"/>
      <c r="G1885" s="65"/>
      <c r="H1885" s="9"/>
    </row>
    <row r="1886" spans="2:8" ht="15.75" hidden="1" customHeight="1" thickBot="1" x14ac:dyDescent="0.3">
      <c r="B1886" s="10" t="s">
        <v>45</v>
      </c>
      <c r="C1886" s="35" t="str">
        <f t="shared" si="23"/>
        <v/>
      </c>
      <c r="D1886" s="36"/>
      <c r="E1886" s="37"/>
      <c r="F1886" s="7"/>
      <c r="G1886" s="65"/>
      <c r="H1886" s="9"/>
    </row>
    <row r="1887" spans="2:8" ht="15.75" hidden="1" customHeight="1" thickBot="1" x14ac:dyDescent="0.3">
      <c r="B1887" s="10" t="s">
        <v>45</v>
      </c>
      <c r="C1887" s="35" t="str">
        <f t="shared" si="23"/>
        <v/>
      </c>
      <c r="D1887" s="36"/>
      <c r="E1887" s="37"/>
      <c r="F1887" s="7"/>
      <c r="G1887" s="65"/>
      <c r="H1887" s="9"/>
    </row>
    <row r="1888" spans="2:8" ht="15.75" hidden="1" customHeight="1" thickBot="1" x14ac:dyDescent="0.3">
      <c r="B1888" s="10" t="s">
        <v>45</v>
      </c>
      <c r="C1888" s="35" t="str">
        <f t="shared" si="23"/>
        <v/>
      </c>
      <c r="D1888" s="36"/>
      <c r="E1888" s="37"/>
      <c r="F1888" s="7"/>
      <c r="G1888" s="65"/>
      <c r="H1888" s="9"/>
    </row>
    <row r="1889" spans="2:8" ht="15.75" hidden="1" customHeight="1" thickBot="1" x14ac:dyDescent="0.3">
      <c r="B1889" s="10" t="s">
        <v>45</v>
      </c>
      <c r="C1889" s="35" t="str">
        <f t="shared" si="23"/>
        <v/>
      </c>
      <c r="D1889" s="36"/>
      <c r="E1889" s="37"/>
      <c r="F1889" s="7"/>
      <c r="G1889" s="65"/>
      <c r="H1889" s="9"/>
    </row>
    <row r="1890" spans="2:8" ht="15.75" hidden="1" customHeight="1" thickBot="1" x14ac:dyDescent="0.3">
      <c r="B1890" s="10" t="s">
        <v>45</v>
      </c>
      <c r="C1890" s="35" t="str">
        <f t="shared" si="23"/>
        <v/>
      </c>
      <c r="D1890" s="36"/>
      <c r="E1890" s="37"/>
      <c r="F1890" s="7"/>
      <c r="G1890" s="65"/>
      <c r="H1890" s="9"/>
    </row>
    <row r="1891" spans="2:8" ht="15.75" hidden="1" customHeight="1" thickBot="1" x14ac:dyDescent="0.3">
      <c r="B1891" s="10" t="s">
        <v>45</v>
      </c>
      <c r="C1891" s="35" t="str">
        <f t="shared" si="23"/>
        <v/>
      </c>
      <c r="D1891" s="36"/>
      <c r="E1891" s="37"/>
      <c r="F1891" s="7"/>
      <c r="G1891" s="65"/>
      <c r="H1891" s="9"/>
    </row>
    <row r="1892" spans="2:8" ht="15.75" hidden="1" customHeight="1" thickBot="1" x14ac:dyDescent="0.3">
      <c r="B1892" s="10" t="s">
        <v>45</v>
      </c>
      <c r="C1892" s="35" t="str">
        <f t="shared" si="23"/>
        <v/>
      </c>
      <c r="D1892" s="36"/>
      <c r="E1892" s="37"/>
      <c r="F1892" s="7"/>
      <c r="G1892" s="65"/>
      <c r="H1892" s="9"/>
    </row>
    <row r="1893" spans="2:8" ht="15.75" hidden="1" customHeight="1" thickBot="1" x14ac:dyDescent="0.3">
      <c r="B1893" s="10" t="s">
        <v>45</v>
      </c>
      <c r="C1893" s="35" t="str">
        <f t="shared" si="23"/>
        <v/>
      </c>
      <c r="D1893" s="36"/>
      <c r="E1893" s="37"/>
      <c r="F1893" s="7"/>
      <c r="G1893" s="65"/>
      <c r="H1893" s="9"/>
    </row>
    <row r="1894" spans="2:8" ht="15.75" hidden="1" customHeight="1" thickBot="1" x14ac:dyDescent="0.3">
      <c r="B1894" s="10" t="s">
        <v>45</v>
      </c>
      <c r="C1894" s="35" t="str">
        <f t="shared" si="23"/>
        <v/>
      </c>
      <c r="D1894" s="36"/>
      <c r="E1894" s="37"/>
      <c r="F1894" s="7"/>
      <c r="G1894" s="65"/>
      <c r="H1894" s="9"/>
    </row>
    <row r="1895" spans="2:8" ht="15.75" hidden="1" customHeight="1" thickBot="1" x14ac:dyDescent="0.3">
      <c r="B1895" s="10" t="s">
        <v>45</v>
      </c>
      <c r="C1895" s="35" t="str">
        <f t="shared" si="23"/>
        <v/>
      </c>
      <c r="D1895" s="36"/>
      <c r="E1895" s="37"/>
      <c r="F1895" s="7"/>
      <c r="G1895" s="65"/>
      <c r="H1895" s="9"/>
    </row>
    <row r="1896" spans="2:8" ht="15.75" hidden="1" customHeight="1" thickBot="1" x14ac:dyDescent="0.3">
      <c r="B1896" s="10" t="s">
        <v>45</v>
      </c>
      <c r="C1896" s="35" t="str">
        <f t="shared" si="23"/>
        <v/>
      </c>
      <c r="D1896" s="36"/>
      <c r="E1896" s="37"/>
      <c r="F1896" s="7"/>
      <c r="G1896" s="65"/>
      <c r="H1896" s="9"/>
    </row>
    <row r="1897" spans="2:8" ht="15.75" hidden="1" customHeight="1" thickBot="1" x14ac:dyDescent="0.3">
      <c r="B1897" s="10" t="s">
        <v>45</v>
      </c>
      <c r="C1897" s="35" t="str">
        <f t="shared" si="23"/>
        <v/>
      </c>
      <c r="D1897" s="36"/>
      <c r="E1897" s="37"/>
      <c r="F1897" s="7"/>
      <c r="G1897" s="65"/>
      <c r="H1897" s="9"/>
    </row>
    <row r="1898" spans="2:8" ht="15.75" hidden="1" customHeight="1" thickBot="1" x14ac:dyDescent="0.3">
      <c r="B1898" s="10" t="s">
        <v>45</v>
      </c>
      <c r="C1898" s="35" t="str">
        <f t="shared" si="23"/>
        <v/>
      </c>
      <c r="D1898" s="36"/>
      <c r="E1898" s="37"/>
      <c r="F1898" s="7"/>
      <c r="G1898" s="65"/>
      <c r="H1898" s="9"/>
    </row>
    <row r="1899" spans="2:8" ht="15.75" hidden="1" customHeight="1" thickBot="1" x14ac:dyDescent="0.3">
      <c r="B1899" s="10" t="s">
        <v>45</v>
      </c>
      <c r="C1899" s="35" t="str">
        <f t="shared" si="23"/>
        <v/>
      </c>
      <c r="D1899" s="36"/>
      <c r="E1899" s="37"/>
      <c r="F1899" s="7"/>
      <c r="G1899" s="65"/>
      <c r="H1899" s="9"/>
    </row>
    <row r="1900" spans="2:8" ht="15.75" hidden="1" customHeight="1" thickBot="1" x14ac:dyDescent="0.3">
      <c r="B1900" s="10" t="s">
        <v>45</v>
      </c>
      <c r="C1900" s="35" t="str">
        <f t="shared" si="23"/>
        <v/>
      </c>
      <c r="D1900" s="36"/>
      <c r="E1900" s="37"/>
      <c r="F1900" s="7"/>
      <c r="G1900" s="65"/>
      <c r="H1900" s="9"/>
    </row>
    <row r="1901" spans="2:8" ht="15.75" hidden="1" customHeight="1" thickBot="1" x14ac:dyDescent="0.3">
      <c r="B1901" s="10" t="s">
        <v>45</v>
      </c>
      <c r="C1901" s="35" t="str">
        <f t="shared" si="23"/>
        <v/>
      </c>
      <c r="D1901" s="36"/>
      <c r="E1901" s="37"/>
      <c r="F1901" s="7"/>
      <c r="G1901" s="65"/>
      <c r="H1901" s="9"/>
    </row>
    <row r="1902" spans="2:8" ht="15.75" hidden="1" customHeight="1" thickBot="1" x14ac:dyDescent="0.3">
      <c r="B1902" s="10" t="s">
        <v>45</v>
      </c>
      <c r="C1902" s="35" t="str">
        <f t="shared" si="23"/>
        <v/>
      </c>
      <c r="D1902" s="36"/>
      <c r="E1902" s="37"/>
      <c r="F1902" s="7"/>
      <c r="G1902" s="65"/>
      <c r="H1902" s="9"/>
    </row>
    <row r="1903" spans="2:8" ht="15.75" hidden="1" customHeight="1" thickBot="1" x14ac:dyDescent="0.3">
      <c r="B1903" s="10" t="s">
        <v>45</v>
      </c>
      <c r="C1903" s="35" t="str">
        <f t="shared" si="23"/>
        <v/>
      </c>
      <c r="D1903" s="36"/>
      <c r="E1903" s="37"/>
      <c r="F1903" s="7"/>
      <c r="G1903" s="65"/>
      <c r="H1903" s="9"/>
    </row>
    <row r="1904" spans="2:8" ht="15.75" hidden="1" customHeight="1" thickBot="1" x14ac:dyDescent="0.3">
      <c r="B1904" s="10" t="s">
        <v>45</v>
      </c>
      <c r="C1904" s="35" t="str">
        <f t="shared" si="23"/>
        <v/>
      </c>
      <c r="D1904" s="36"/>
      <c r="E1904" s="37"/>
      <c r="F1904" s="7"/>
      <c r="G1904" s="65"/>
      <c r="H1904" s="9"/>
    </row>
    <row r="1905" spans="2:8" ht="15.75" hidden="1" customHeight="1" thickBot="1" x14ac:dyDescent="0.3">
      <c r="B1905" s="10" t="s">
        <v>45</v>
      </c>
      <c r="C1905" s="35" t="str">
        <f t="shared" si="23"/>
        <v/>
      </c>
      <c r="D1905" s="36"/>
      <c r="E1905" s="37"/>
      <c r="F1905" s="7"/>
      <c r="G1905" s="65"/>
      <c r="H1905" s="9"/>
    </row>
    <row r="1906" spans="2:8" ht="15.75" hidden="1" customHeight="1" thickBot="1" x14ac:dyDescent="0.3">
      <c r="B1906" s="10" t="s">
        <v>45</v>
      </c>
      <c r="C1906" s="35" t="str">
        <f t="shared" si="23"/>
        <v/>
      </c>
      <c r="D1906" s="36"/>
      <c r="E1906" s="37"/>
      <c r="F1906" s="7"/>
      <c r="G1906" s="65"/>
      <c r="H1906" s="9"/>
    </row>
    <row r="1907" spans="2:8" ht="15.75" hidden="1" customHeight="1" thickBot="1" x14ac:dyDescent="0.3">
      <c r="B1907" s="10" t="s">
        <v>45</v>
      </c>
      <c r="C1907" s="35" t="str">
        <f t="shared" si="23"/>
        <v/>
      </c>
      <c r="D1907" s="36"/>
      <c r="E1907" s="37"/>
      <c r="F1907" s="7"/>
      <c r="G1907" s="65"/>
      <c r="H1907" s="9"/>
    </row>
    <row r="1908" spans="2:8" ht="15.75" hidden="1" customHeight="1" thickBot="1" x14ac:dyDescent="0.3">
      <c r="B1908" s="10" t="s">
        <v>45</v>
      </c>
      <c r="C1908" s="35" t="str">
        <f t="shared" si="23"/>
        <v/>
      </c>
      <c r="D1908" s="36"/>
      <c r="E1908" s="37"/>
      <c r="F1908" s="7"/>
      <c r="G1908" s="65"/>
      <c r="H1908" s="9"/>
    </row>
    <row r="1909" spans="2:8" ht="15.75" hidden="1" customHeight="1" thickBot="1" x14ac:dyDescent="0.3">
      <c r="B1909" s="10" t="s">
        <v>45</v>
      </c>
      <c r="C1909" s="35" t="str">
        <f t="shared" si="23"/>
        <v/>
      </c>
      <c r="D1909" s="36"/>
      <c r="E1909" s="37"/>
      <c r="F1909" s="7"/>
      <c r="G1909" s="65"/>
      <c r="H1909" s="9"/>
    </row>
    <row r="1910" spans="2:8" ht="15.75" hidden="1" customHeight="1" thickBot="1" x14ac:dyDescent="0.3">
      <c r="B1910" s="10" t="s">
        <v>45</v>
      </c>
      <c r="C1910" s="35" t="str">
        <f t="shared" si="23"/>
        <v/>
      </c>
      <c r="D1910" s="36"/>
      <c r="E1910" s="37"/>
      <c r="F1910" s="7"/>
      <c r="G1910" s="65"/>
      <c r="H1910" s="9"/>
    </row>
    <row r="1911" spans="2:8" ht="15.75" hidden="1" customHeight="1" thickBot="1" x14ac:dyDescent="0.3">
      <c r="B1911" s="10" t="s">
        <v>45</v>
      </c>
      <c r="C1911" s="35" t="str">
        <f t="shared" si="23"/>
        <v/>
      </c>
      <c r="D1911" s="36"/>
      <c r="E1911" s="37"/>
      <c r="F1911" s="7"/>
      <c r="G1911" s="65"/>
      <c r="H1911" s="9"/>
    </row>
    <row r="1912" spans="2:8" ht="15.75" hidden="1" customHeight="1" thickBot="1" x14ac:dyDescent="0.3">
      <c r="B1912" s="10" t="s">
        <v>45</v>
      </c>
      <c r="C1912" s="35" t="str">
        <f t="shared" si="23"/>
        <v/>
      </c>
      <c r="D1912" s="36"/>
      <c r="E1912" s="37"/>
      <c r="F1912" s="7"/>
      <c r="G1912" s="65"/>
      <c r="H1912" s="9"/>
    </row>
    <row r="1913" spans="2:8" ht="15.75" hidden="1" customHeight="1" thickBot="1" x14ac:dyDescent="0.3">
      <c r="B1913" s="10" t="s">
        <v>45</v>
      </c>
      <c r="C1913" s="35" t="str">
        <f t="shared" si="23"/>
        <v/>
      </c>
      <c r="D1913" s="36"/>
      <c r="E1913" s="37"/>
      <c r="F1913" s="7"/>
      <c r="G1913" s="65"/>
      <c r="H1913" s="9"/>
    </row>
    <row r="1914" spans="2:8" ht="15.75" hidden="1" customHeight="1" thickBot="1" x14ac:dyDescent="0.3">
      <c r="B1914" s="10" t="s">
        <v>45</v>
      </c>
      <c r="C1914" s="35" t="str">
        <f t="shared" si="23"/>
        <v/>
      </c>
      <c r="D1914" s="36"/>
      <c r="E1914" s="37"/>
      <c r="F1914" s="7"/>
      <c r="G1914" s="65"/>
      <c r="H1914" s="9"/>
    </row>
    <row r="1915" spans="2:8" ht="15.75" hidden="1" customHeight="1" thickBot="1" x14ac:dyDescent="0.3">
      <c r="B1915" s="10" t="s">
        <v>45</v>
      </c>
      <c r="C1915" s="35" t="str">
        <f t="shared" si="23"/>
        <v/>
      </c>
      <c r="D1915" s="36"/>
      <c r="E1915" s="37"/>
      <c r="F1915" s="7"/>
      <c r="G1915" s="65"/>
      <c r="H1915" s="9"/>
    </row>
    <row r="1916" spans="2:8" ht="15.75" hidden="1" customHeight="1" thickBot="1" x14ac:dyDescent="0.3">
      <c r="B1916" s="10" t="s">
        <v>45</v>
      </c>
      <c r="C1916" s="35" t="str">
        <f t="shared" si="23"/>
        <v/>
      </c>
      <c r="D1916" s="36"/>
      <c r="E1916" s="37"/>
      <c r="F1916" s="7"/>
      <c r="G1916" s="65"/>
      <c r="H1916" s="9"/>
    </row>
    <row r="1917" spans="2:8" ht="15.75" hidden="1" customHeight="1" thickBot="1" x14ac:dyDescent="0.3">
      <c r="B1917" s="10" t="s">
        <v>45</v>
      </c>
      <c r="C1917" s="35" t="str">
        <f t="shared" si="23"/>
        <v/>
      </c>
      <c r="D1917" s="36"/>
      <c r="E1917" s="37"/>
      <c r="F1917" s="7"/>
      <c r="G1917" s="65"/>
      <c r="H1917" s="9"/>
    </row>
    <row r="1918" spans="2:8" ht="15.75" hidden="1" customHeight="1" thickBot="1" x14ac:dyDescent="0.3">
      <c r="B1918" s="10" t="s">
        <v>45</v>
      </c>
      <c r="C1918" s="35" t="str">
        <f t="shared" si="23"/>
        <v/>
      </c>
      <c r="D1918" s="36"/>
      <c r="E1918" s="37"/>
      <c r="F1918" s="7"/>
      <c r="G1918" s="65"/>
      <c r="H1918" s="9"/>
    </row>
    <row r="1919" spans="2:8" ht="15.75" hidden="1" customHeight="1" thickBot="1" x14ac:dyDescent="0.3">
      <c r="B1919" s="10" t="s">
        <v>45</v>
      </c>
      <c r="C1919" s="35" t="str">
        <f t="shared" si="23"/>
        <v/>
      </c>
      <c r="D1919" s="36"/>
      <c r="E1919" s="37"/>
      <c r="F1919" s="7"/>
      <c r="G1919" s="65"/>
      <c r="H1919" s="9"/>
    </row>
    <row r="1920" spans="2:8" ht="15.75" hidden="1" customHeight="1" thickBot="1" x14ac:dyDescent="0.3">
      <c r="B1920" s="10" t="s">
        <v>45</v>
      </c>
      <c r="C1920" s="35" t="str">
        <f t="shared" si="23"/>
        <v/>
      </c>
      <c r="D1920" s="36"/>
      <c r="E1920" s="37"/>
      <c r="F1920" s="7"/>
      <c r="G1920" s="65"/>
      <c r="H1920" s="9"/>
    </row>
    <row r="1921" spans="2:8" ht="15.75" hidden="1" customHeight="1" thickBot="1" x14ac:dyDescent="0.3">
      <c r="B1921" s="10" t="s">
        <v>45</v>
      </c>
      <c r="C1921" s="35" t="str">
        <f t="shared" si="23"/>
        <v/>
      </c>
      <c r="D1921" s="36"/>
      <c r="E1921" s="37"/>
      <c r="F1921" s="7"/>
      <c r="G1921" s="65"/>
      <c r="H1921" s="9"/>
    </row>
    <row r="1922" spans="2:8" ht="15.75" hidden="1" customHeight="1" thickBot="1" x14ac:dyDescent="0.3">
      <c r="B1922" s="10" t="s">
        <v>45</v>
      </c>
      <c r="C1922" s="35" t="str">
        <f t="shared" si="23"/>
        <v/>
      </c>
      <c r="D1922" s="36"/>
      <c r="E1922" s="37"/>
      <c r="F1922" s="7"/>
      <c r="G1922" s="65"/>
      <c r="H1922" s="9"/>
    </row>
    <row r="1923" spans="2:8" ht="15.75" hidden="1" customHeight="1" thickBot="1" x14ac:dyDescent="0.3">
      <c r="B1923" s="10" t="s">
        <v>45</v>
      </c>
      <c r="C1923" s="35" t="str">
        <f t="shared" si="23"/>
        <v/>
      </c>
      <c r="D1923" s="36"/>
      <c r="E1923" s="37"/>
      <c r="F1923" s="7"/>
      <c r="G1923" s="65"/>
      <c r="H1923" s="9"/>
    </row>
    <row r="1924" spans="2:8" ht="15.75" hidden="1" customHeight="1" thickBot="1" x14ac:dyDescent="0.3">
      <c r="B1924" s="10" t="s">
        <v>45</v>
      </c>
      <c r="C1924" s="35" t="str">
        <f t="shared" ref="C1924:C1987" si="24">IF(E1924="","",IF(ISERROR(VLOOKUP(E1924,rTimeZoneTable,8,0)),"Update Contacts",VLOOKUP(E1924,rTimeZoneTable,8,0)))</f>
        <v/>
      </c>
      <c r="D1924" s="36"/>
      <c r="E1924" s="37"/>
      <c r="F1924" s="7"/>
      <c r="G1924" s="65"/>
      <c r="H1924" s="9"/>
    </row>
    <row r="1925" spans="2:8" ht="15.75" hidden="1" customHeight="1" thickBot="1" x14ac:dyDescent="0.3">
      <c r="B1925" s="10" t="s">
        <v>45</v>
      </c>
      <c r="C1925" s="35" t="str">
        <f t="shared" si="24"/>
        <v/>
      </c>
      <c r="D1925" s="36"/>
      <c r="E1925" s="37"/>
      <c r="F1925" s="7"/>
      <c r="G1925" s="65"/>
      <c r="H1925" s="9"/>
    </row>
    <row r="1926" spans="2:8" ht="15.75" hidden="1" customHeight="1" thickBot="1" x14ac:dyDescent="0.3">
      <c r="B1926" s="10" t="s">
        <v>45</v>
      </c>
      <c r="C1926" s="35" t="str">
        <f t="shared" si="24"/>
        <v/>
      </c>
      <c r="D1926" s="36"/>
      <c r="E1926" s="37"/>
      <c r="F1926" s="7"/>
      <c r="G1926" s="65"/>
      <c r="H1926" s="9"/>
    </row>
    <row r="1927" spans="2:8" ht="15.75" hidden="1" customHeight="1" thickBot="1" x14ac:dyDescent="0.3">
      <c r="B1927" s="10" t="s">
        <v>45</v>
      </c>
      <c r="C1927" s="35" t="str">
        <f t="shared" si="24"/>
        <v/>
      </c>
      <c r="D1927" s="36"/>
      <c r="E1927" s="37"/>
      <c r="F1927" s="7"/>
      <c r="G1927" s="65"/>
      <c r="H1927" s="9"/>
    </row>
    <row r="1928" spans="2:8" ht="15.75" hidden="1" customHeight="1" thickBot="1" x14ac:dyDescent="0.3">
      <c r="B1928" s="10" t="s">
        <v>45</v>
      </c>
      <c r="C1928" s="35" t="str">
        <f t="shared" si="24"/>
        <v/>
      </c>
      <c r="D1928" s="36"/>
      <c r="E1928" s="37"/>
      <c r="F1928" s="7"/>
      <c r="G1928" s="65"/>
      <c r="H1928" s="9"/>
    </row>
    <row r="1929" spans="2:8" ht="15.75" hidden="1" customHeight="1" thickBot="1" x14ac:dyDescent="0.3">
      <c r="B1929" s="10" t="s">
        <v>45</v>
      </c>
      <c r="C1929" s="35" t="str">
        <f t="shared" si="24"/>
        <v/>
      </c>
      <c r="D1929" s="36"/>
      <c r="E1929" s="37"/>
      <c r="F1929" s="7"/>
      <c r="G1929" s="65"/>
      <c r="H1929" s="9"/>
    </row>
    <row r="1930" spans="2:8" ht="15.75" hidden="1" customHeight="1" thickBot="1" x14ac:dyDescent="0.3">
      <c r="B1930" s="10" t="s">
        <v>45</v>
      </c>
      <c r="C1930" s="35" t="str">
        <f t="shared" si="24"/>
        <v/>
      </c>
      <c r="D1930" s="36"/>
      <c r="E1930" s="37"/>
      <c r="F1930" s="7"/>
      <c r="G1930" s="65"/>
      <c r="H1930" s="9"/>
    </row>
    <row r="1931" spans="2:8" ht="15.75" hidden="1" customHeight="1" thickBot="1" x14ac:dyDescent="0.3">
      <c r="B1931" s="10" t="s">
        <v>45</v>
      </c>
      <c r="C1931" s="35" t="str">
        <f t="shared" si="24"/>
        <v/>
      </c>
      <c r="D1931" s="36"/>
      <c r="E1931" s="37"/>
      <c r="F1931" s="7"/>
      <c r="G1931" s="65"/>
      <c r="H1931" s="9"/>
    </row>
    <row r="1932" spans="2:8" ht="15.75" hidden="1" customHeight="1" thickBot="1" x14ac:dyDescent="0.3">
      <c r="B1932" s="10" t="s">
        <v>45</v>
      </c>
      <c r="C1932" s="35" t="str">
        <f t="shared" si="24"/>
        <v/>
      </c>
      <c r="D1932" s="36"/>
      <c r="E1932" s="37"/>
      <c r="F1932" s="7"/>
      <c r="G1932" s="65"/>
      <c r="H1932" s="9"/>
    </row>
    <row r="1933" spans="2:8" ht="15.75" hidden="1" customHeight="1" thickBot="1" x14ac:dyDescent="0.3">
      <c r="B1933" s="10" t="s">
        <v>45</v>
      </c>
      <c r="C1933" s="35" t="str">
        <f t="shared" si="24"/>
        <v/>
      </c>
      <c r="D1933" s="36"/>
      <c r="E1933" s="37"/>
      <c r="F1933" s="7"/>
      <c r="G1933" s="65"/>
      <c r="H1933" s="9"/>
    </row>
    <row r="1934" spans="2:8" ht="15.75" hidden="1" customHeight="1" thickBot="1" x14ac:dyDescent="0.3">
      <c r="B1934" s="10" t="s">
        <v>45</v>
      </c>
      <c r="C1934" s="35" t="str">
        <f t="shared" si="24"/>
        <v/>
      </c>
      <c r="D1934" s="36"/>
      <c r="E1934" s="37"/>
      <c r="F1934" s="7"/>
      <c r="G1934" s="65"/>
      <c r="H1934" s="9"/>
    </row>
    <row r="1935" spans="2:8" ht="15.75" hidden="1" customHeight="1" thickBot="1" x14ac:dyDescent="0.3">
      <c r="B1935" s="10" t="s">
        <v>45</v>
      </c>
      <c r="C1935" s="35" t="str">
        <f t="shared" si="24"/>
        <v/>
      </c>
      <c r="D1935" s="36"/>
      <c r="E1935" s="37"/>
      <c r="F1935" s="7"/>
      <c r="G1935" s="65"/>
      <c r="H1935" s="9"/>
    </row>
    <row r="1936" spans="2:8" ht="15.75" hidden="1" customHeight="1" thickBot="1" x14ac:dyDescent="0.3">
      <c r="B1936" s="10" t="s">
        <v>45</v>
      </c>
      <c r="C1936" s="35" t="str">
        <f t="shared" si="24"/>
        <v/>
      </c>
      <c r="D1936" s="36"/>
      <c r="E1936" s="37"/>
      <c r="F1936" s="7"/>
      <c r="G1936" s="65"/>
      <c r="H1936" s="9"/>
    </row>
    <row r="1937" spans="2:8" ht="15.75" hidden="1" customHeight="1" thickBot="1" x14ac:dyDescent="0.3">
      <c r="B1937" s="10" t="s">
        <v>45</v>
      </c>
      <c r="C1937" s="35" t="str">
        <f t="shared" si="24"/>
        <v/>
      </c>
      <c r="D1937" s="36"/>
      <c r="E1937" s="37"/>
      <c r="F1937" s="7"/>
      <c r="G1937" s="65"/>
      <c r="H1937" s="9"/>
    </row>
    <row r="1938" spans="2:8" ht="15.75" hidden="1" customHeight="1" thickBot="1" x14ac:dyDescent="0.3">
      <c r="B1938" s="10" t="s">
        <v>45</v>
      </c>
      <c r="C1938" s="35" t="str">
        <f t="shared" si="24"/>
        <v/>
      </c>
      <c r="D1938" s="36"/>
      <c r="E1938" s="37"/>
      <c r="F1938" s="7"/>
      <c r="G1938" s="65"/>
      <c r="H1938" s="9"/>
    </row>
    <row r="1939" spans="2:8" ht="15.75" hidden="1" customHeight="1" thickBot="1" x14ac:dyDescent="0.3">
      <c r="B1939" s="10" t="s">
        <v>45</v>
      </c>
      <c r="C1939" s="35" t="str">
        <f t="shared" si="24"/>
        <v/>
      </c>
      <c r="D1939" s="36"/>
      <c r="E1939" s="37"/>
      <c r="F1939" s="7"/>
      <c r="G1939" s="65"/>
      <c r="H1939" s="9"/>
    </row>
    <row r="1940" spans="2:8" ht="15.75" hidden="1" customHeight="1" thickBot="1" x14ac:dyDescent="0.3">
      <c r="B1940" s="10" t="s">
        <v>45</v>
      </c>
      <c r="C1940" s="35" t="str">
        <f t="shared" si="24"/>
        <v/>
      </c>
      <c r="D1940" s="36"/>
      <c r="E1940" s="37"/>
      <c r="F1940" s="7"/>
      <c r="G1940" s="65"/>
      <c r="H1940" s="9"/>
    </row>
    <row r="1941" spans="2:8" ht="15.75" hidden="1" customHeight="1" thickBot="1" x14ac:dyDescent="0.3">
      <c r="B1941" s="10" t="s">
        <v>45</v>
      </c>
      <c r="C1941" s="35" t="str">
        <f t="shared" si="24"/>
        <v/>
      </c>
      <c r="D1941" s="36"/>
      <c r="E1941" s="37"/>
      <c r="F1941" s="7"/>
      <c r="G1941" s="65"/>
      <c r="H1941" s="9"/>
    </row>
    <row r="1942" spans="2:8" ht="15.75" hidden="1" customHeight="1" thickBot="1" x14ac:dyDescent="0.3">
      <c r="B1942" s="10" t="s">
        <v>45</v>
      </c>
      <c r="C1942" s="35" t="str">
        <f t="shared" si="24"/>
        <v/>
      </c>
      <c r="D1942" s="36"/>
      <c r="E1942" s="37"/>
      <c r="F1942" s="7"/>
      <c r="G1942" s="65"/>
      <c r="H1942" s="9"/>
    </row>
    <row r="1943" spans="2:8" ht="15.75" hidden="1" customHeight="1" thickBot="1" x14ac:dyDescent="0.3">
      <c r="B1943" s="10" t="s">
        <v>45</v>
      </c>
      <c r="C1943" s="35" t="str">
        <f t="shared" si="24"/>
        <v/>
      </c>
      <c r="D1943" s="36"/>
      <c r="E1943" s="37"/>
      <c r="F1943" s="7"/>
      <c r="G1943" s="65"/>
      <c r="H1943" s="9"/>
    </row>
    <row r="1944" spans="2:8" ht="15.75" hidden="1" customHeight="1" thickBot="1" x14ac:dyDescent="0.3">
      <c r="B1944" s="10" t="s">
        <v>45</v>
      </c>
      <c r="C1944" s="35" t="str">
        <f t="shared" si="24"/>
        <v/>
      </c>
      <c r="D1944" s="36"/>
      <c r="E1944" s="37"/>
      <c r="F1944" s="7"/>
      <c r="G1944" s="65"/>
      <c r="H1944" s="9"/>
    </row>
    <row r="1945" spans="2:8" ht="15.75" hidden="1" customHeight="1" thickBot="1" x14ac:dyDescent="0.3">
      <c r="B1945" s="10" t="s">
        <v>45</v>
      </c>
      <c r="C1945" s="35" t="str">
        <f t="shared" si="24"/>
        <v/>
      </c>
      <c r="D1945" s="36"/>
      <c r="E1945" s="37"/>
      <c r="F1945" s="7"/>
      <c r="G1945" s="65"/>
      <c r="H1945" s="9"/>
    </row>
    <row r="1946" spans="2:8" ht="15.75" hidden="1" customHeight="1" thickBot="1" x14ac:dyDescent="0.3">
      <c r="B1946" s="10" t="s">
        <v>45</v>
      </c>
      <c r="C1946" s="35" t="str">
        <f t="shared" si="24"/>
        <v/>
      </c>
      <c r="D1946" s="36"/>
      <c r="E1946" s="37"/>
      <c r="F1946" s="7"/>
      <c r="G1946" s="65"/>
      <c r="H1946" s="9"/>
    </row>
    <row r="1947" spans="2:8" ht="15.75" hidden="1" customHeight="1" thickBot="1" x14ac:dyDescent="0.3">
      <c r="B1947" s="10" t="s">
        <v>45</v>
      </c>
      <c r="C1947" s="35" t="str">
        <f t="shared" si="24"/>
        <v/>
      </c>
      <c r="D1947" s="36"/>
      <c r="E1947" s="37"/>
      <c r="F1947" s="7"/>
      <c r="G1947" s="65"/>
      <c r="H1947" s="9"/>
    </row>
    <row r="1948" spans="2:8" ht="15.75" hidden="1" customHeight="1" thickBot="1" x14ac:dyDescent="0.3">
      <c r="B1948" s="10" t="s">
        <v>45</v>
      </c>
      <c r="C1948" s="35" t="str">
        <f t="shared" si="24"/>
        <v/>
      </c>
      <c r="D1948" s="36"/>
      <c r="E1948" s="37"/>
      <c r="F1948" s="7"/>
      <c r="G1948" s="65"/>
      <c r="H1948" s="9"/>
    </row>
    <row r="1949" spans="2:8" ht="15.75" hidden="1" customHeight="1" thickBot="1" x14ac:dyDescent="0.3">
      <c r="B1949" s="10" t="s">
        <v>45</v>
      </c>
      <c r="C1949" s="35" t="str">
        <f t="shared" si="24"/>
        <v/>
      </c>
      <c r="D1949" s="36"/>
      <c r="E1949" s="37"/>
      <c r="F1949" s="7"/>
      <c r="G1949" s="65"/>
      <c r="H1949" s="9"/>
    </row>
    <row r="1950" spans="2:8" ht="15.75" hidden="1" customHeight="1" thickBot="1" x14ac:dyDescent="0.3">
      <c r="B1950" s="10" t="s">
        <v>45</v>
      </c>
      <c r="C1950" s="35" t="str">
        <f t="shared" si="24"/>
        <v/>
      </c>
      <c r="D1950" s="36"/>
      <c r="E1950" s="37"/>
      <c r="F1950" s="7"/>
      <c r="G1950" s="65"/>
      <c r="H1950" s="9"/>
    </row>
    <row r="1951" spans="2:8" ht="15.75" hidden="1" customHeight="1" thickBot="1" x14ac:dyDescent="0.3">
      <c r="B1951" s="10" t="s">
        <v>45</v>
      </c>
      <c r="C1951" s="35" t="str">
        <f t="shared" si="24"/>
        <v/>
      </c>
      <c r="D1951" s="36"/>
      <c r="E1951" s="37"/>
      <c r="F1951" s="7"/>
      <c r="G1951" s="65"/>
      <c r="H1951" s="9"/>
    </row>
    <row r="1952" spans="2:8" ht="15.75" hidden="1" customHeight="1" thickBot="1" x14ac:dyDescent="0.3">
      <c r="B1952" s="10" t="s">
        <v>45</v>
      </c>
      <c r="C1952" s="35" t="str">
        <f t="shared" si="24"/>
        <v/>
      </c>
      <c r="D1952" s="36"/>
      <c r="E1952" s="37"/>
      <c r="F1952" s="7"/>
      <c r="G1952" s="65"/>
      <c r="H1952" s="9"/>
    </row>
    <row r="1953" spans="2:8" ht="15.75" hidden="1" customHeight="1" thickBot="1" x14ac:dyDescent="0.3">
      <c r="B1953" s="10" t="s">
        <v>45</v>
      </c>
      <c r="C1953" s="35" t="str">
        <f t="shared" si="24"/>
        <v/>
      </c>
      <c r="D1953" s="36"/>
      <c r="E1953" s="37"/>
      <c r="F1953" s="7"/>
      <c r="G1953" s="65"/>
      <c r="H1953" s="9"/>
    </row>
    <row r="1954" spans="2:8" ht="15.75" hidden="1" customHeight="1" thickBot="1" x14ac:dyDescent="0.3">
      <c r="B1954" s="10" t="s">
        <v>45</v>
      </c>
      <c r="C1954" s="35" t="str">
        <f t="shared" si="24"/>
        <v/>
      </c>
      <c r="D1954" s="36"/>
      <c r="E1954" s="37"/>
      <c r="F1954" s="7"/>
      <c r="G1954" s="65"/>
      <c r="H1954" s="9"/>
    </row>
    <row r="1955" spans="2:8" ht="15.75" hidden="1" customHeight="1" thickBot="1" x14ac:dyDescent="0.3">
      <c r="B1955" s="10" t="s">
        <v>45</v>
      </c>
      <c r="C1955" s="35" t="str">
        <f t="shared" si="24"/>
        <v/>
      </c>
      <c r="D1955" s="36"/>
      <c r="E1955" s="37"/>
      <c r="F1955" s="7"/>
      <c r="G1955" s="65"/>
      <c r="H1955" s="9"/>
    </row>
    <row r="1956" spans="2:8" ht="15.75" hidden="1" customHeight="1" thickBot="1" x14ac:dyDescent="0.3">
      <c r="B1956" s="10" t="s">
        <v>45</v>
      </c>
      <c r="C1956" s="35" t="str">
        <f t="shared" si="24"/>
        <v/>
      </c>
      <c r="D1956" s="36"/>
      <c r="E1956" s="37"/>
      <c r="F1956" s="7"/>
      <c r="G1956" s="65"/>
      <c r="H1956" s="9"/>
    </row>
    <row r="1957" spans="2:8" ht="15.75" hidden="1" customHeight="1" thickBot="1" x14ac:dyDescent="0.3">
      <c r="B1957" s="10" t="s">
        <v>45</v>
      </c>
      <c r="C1957" s="35" t="str">
        <f t="shared" si="24"/>
        <v/>
      </c>
      <c r="D1957" s="36"/>
      <c r="E1957" s="37"/>
      <c r="F1957" s="7"/>
      <c r="G1957" s="65"/>
      <c r="H1957" s="9"/>
    </row>
    <row r="1958" spans="2:8" ht="15.75" hidden="1" customHeight="1" thickBot="1" x14ac:dyDescent="0.3">
      <c r="B1958" s="10" t="s">
        <v>45</v>
      </c>
      <c r="C1958" s="35" t="str">
        <f t="shared" si="24"/>
        <v/>
      </c>
      <c r="D1958" s="36"/>
      <c r="E1958" s="37"/>
      <c r="F1958" s="7"/>
      <c r="G1958" s="65"/>
      <c r="H1958" s="9"/>
    </row>
    <row r="1959" spans="2:8" ht="15.75" hidden="1" customHeight="1" thickBot="1" x14ac:dyDescent="0.3">
      <c r="B1959" s="10" t="s">
        <v>45</v>
      </c>
      <c r="C1959" s="35" t="str">
        <f t="shared" si="24"/>
        <v/>
      </c>
      <c r="D1959" s="36"/>
      <c r="E1959" s="37"/>
      <c r="F1959" s="7"/>
      <c r="G1959" s="65"/>
      <c r="H1959" s="9"/>
    </row>
    <row r="1960" spans="2:8" ht="15.75" hidden="1" customHeight="1" thickBot="1" x14ac:dyDescent="0.3">
      <c r="B1960" s="10" t="s">
        <v>45</v>
      </c>
      <c r="C1960" s="35" t="str">
        <f t="shared" si="24"/>
        <v/>
      </c>
      <c r="D1960" s="36"/>
      <c r="E1960" s="37"/>
      <c r="F1960" s="7"/>
      <c r="G1960" s="65"/>
      <c r="H1960" s="9"/>
    </row>
    <row r="1961" spans="2:8" ht="15.75" hidden="1" customHeight="1" thickBot="1" x14ac:dyDescent="0.3">
      <c r="B1961" s="10" t="s">
        <v>45</v>
      </c>
      <c r="C1961" s="35" t="str">
        <f t="shared" si="24"/>
        <v/>
      </c>
      <c r="D1961" s="36"/>
      <c r="E1961" s="37"/>
      <c r="F1961" s="7"/>
      <c r="G1961" s="65"/>
      <c r="H1961" s="9"/>
    </row>
    <row r="1962" spans="2:8" ht="15.75" hidden="1" customHeight="1" thickBot="1" x14ac:dyDescent="0.3">
      <c r="B1962" s="10" t="s">
        <v>45</v>
      </c>
      <c r="C1962" s="35" t="str">
        <f t="shared" si="24"/>
        <v/>
      </c>
      <c r="D1962" s="36"/>
      <c r="E1962" s="37"/>
      <c r="F1962" s="7"/>
      <c r="G1962" s="65"/>
      <c r="H1962" s="9"/>
    </row>
    <row r="1963" spans="2:8" ht="15.75" hidden="1" customHeight="1" thickBot="1" x14ac:dyDescent="0.3">
      <c r="B1963" s="10" t="s">
        <v>45</v>
      </c>
      <c r="C1963" s="35" t="str">
        <f t="shared" si="24"/>
        <v/>
      </c>
      <c r="D1963" s="36"/>
      <c r="E1963" s="37"/>
      <c r="F1963" s="7"/>
      <c r="G1963" s="65"/>
      <c r="H1963" s="9"/>
    </row>
    <row r="1964" spans="2:8" ht="15.75" hidden="1" customHeight="1" thickBot="1" x14ac:dyDescent="0.3">
      <c r="B1964" s="10" t="s">
        <v>45</v>
      </c>
      <c r="C1964" s="35" t="str">
        <f t="shared" si="24"/>
        <v/>
      </c>
      <c r="D1964" s="36"/>
      <c r="E1964" s="37"/>
      <c r="F1964" s="7"/>
      <c r="G1964" s="65"/>
      <c r="H1964" s="9"/>
    </row>
    <row r="1965" spans="2:8" ht="15.75" hidden="1" customHeight="1" thickBot="1" x14ac:dyDescent="0.3">
      <c r="B1965" s="10" t="s">
        <v>45</v>
      </c>
      <c r="C1965" s="35" t="str">
        <f t="shared" si="24"/>
        <v/>
      </c>
      <c r="D1965" s="36"/>
      <c r="E1965" s="37"/>
      <c r="F1965" s="7"/>
      <c r="G1965" s="65"/>
      <c r="H1965" s="9"/>
    </row>
    <row r="1966" spans="2:8" ht="15.75" hidden="1" customHeight="1" thickBot="1" x14ac:dyDescent="0.3">
      <c r="B1966" s="10" t="s">
        <v>45</v>
      </c>
      <c r="C1966" s="35" t="str">
        <f t="shared" si="24"/>
        <v/>
      </c>
      <c r="D1966" s="36"/>
      <c r="E1966" s="37"/>
      <c r="F1966" s="7"/>
      <c r="G1966" s="65"/>
      <c r="H1966" s="9"/>
    </row>
    <row r="1967" spans="2:8" ht="15.75" hidden="1" customHeight="1" thickBot="1" x14ac:dyDescent="0.3">
      <c r="B1967" s="10" t="s">
        <v>45</v>
      </c>
      <c r="C1967" s="35" t="str">
        <f t="shared" si="24"/>
        <v/>
      </c>
      <c r="D1967" s="36"/>
      <c r="E1967" s="37"/>
      <c r="F1967" s="7"/>
      <c r="G1967" s="65"/>
      <c r="H1967" s="9"/>
    </row>
    <row r="1968" spans="2:8" ht="15.75" hidden="1" customHeight="1" thickBot="1" x14ac:dyDescent="0.3">
      <c r="B1968" s="10" t="s">
        <v>45</v>
      </c>
      <c r="C1968" s="35" t="str">
        <f t="shared" si="24"/>
        <v/>
      </c>
      <c r="D1968" s="36"/>
      <c r="E1968" s="37"/>
      <c r="F1968" s="7"/>
      <c r="G1968" s="65"/>
      <c r="H1968" s="9"/>
    </row>
    <row r="1969" spans="2:8" ht="15.75" hidden="1" customHeight="1" thickBot="1" x14ac:dyDescent="0.3">
      <c r="B1969" s="10" t="s">
        <v>45</v>
      </c>
      <c r="C1969" s="35" t="str">
        <f t="shared" si="24"/>
        <v/>
      </c>
      <c r="D1969" s="36"/>
      <c r="E1969" s="37"/>
      <c r="F1969" s="7"/>
      <c r="G1969" s="65"/>
      <c r="H1969" s="9"/>
    </row>
    <row r="1970" spans="2:8" ht="15.75" hidden="1" customHeight="1" thickBot="1" x14ac:dyDescent="0.3">
      <c r="B1970" s="10" t="s">
        <v>45</v>
      </c>
      <c r="C1970" s="35" t="str">
        <f t="shared" si="24"/>
        <v/>
      </c>
      <c r="D1970" s="36"/>
      <c r="E1970" s="37"/>
      <c r="F1970" s="7"/>
      <c r="G1970" s="65"/>
      <c r="H1970" s="9"/>
    </row>
    <row r="1971" spans="2:8" ht="15.75" hidden="1" customHeight="1" thickBot="1" x14ac:dyDescent="0.3">
      <c r="B1971" s="10" t="s">
        <v>45</v>
      </c>
      <c r="C1971" s="35" t="str">
        <f t="shared" si="24"/>
        <v/>
      </c>
      <c r="D1971" s="36"/>
      <c r="E1971" s="37"/>
      <c r="F1971" s="7"/>
      <c r="G1971" s="65"/>
      <c r="H1971" s="9"/>
    </row>
    <row r="1972" spans="2:8" ht="15.75" hidden="1" customHeight="1" thickBot="1" x14ac:dyDescent="0.3">
      <c r="B1972" s="10" t="s">
        <v>45</v>
      </c>
      <c r="C1972" s="35" t="str">
        <f t="shared" si="24"/>
        <v/>
      </c>
      <c r="D1972" s="36"/>
      <c r="E1972" s="37"/>
      <c r="F1972" s="7"/>
      <c r="G1972" s="65"/>
      <c r="H1972" s="9"/>
    </row>
    <row r="1973" spans="2:8" ht="15.75" hidden="1" customHeight="1" thickBot="1" x14ac:dyDescent="0.3">
      <c r="B1973" s="10" t="s">
        <v>45</v>
      </c>
      <c r="C1973" s="35" t="str">
        <f t="shared" si="24"/>
        <v/>
      </c>
      <c r="D1973" s="36"/>
      <c r="E1973" s="37"/>
      <c r="F1973" s="7"/>
      <c r="G1973" s="65"/>
      <c r="H1973" s="9"/>
    </row>
    <row r="1974" spans="2:8" ht="15.75" hidden="1" customHeight="1" thickBot="1" x14ac:dyDescent="0.3">
      <c r="B1974" s="10" t="s">
        <v>45</v>
      </c>
      <c r="C1974" s="35" t="str">
        <f t="shared" si="24"/>
        <v/>
      </c>
      <c r="D1974" s="36"/>
      <c r="E1974" s="37"/>
      <c r="F1974" s="7"/>
      <c r="G1974" s="65"/>
      <c r="H1974" s="9"/>
    </row>
    <row r="1975" spans="2:8" ht="15.75" hidden="1" customHeight="1" thickBot="1" x14ac:dyDescent="0.3">
      <c r="B1975" s="10" t="s">
        <v>45</v>
      </c>
      <c r="C1975" s="35" t="str">
        <f t="shared" si="24"/>
        <v/>
      </c>
      <c r="D1975" s="36"/>
      <c r="E1975" s="37"/>
      <c r="F1975" s="7"/>
      <c r="G1975" s="65"/>
      <c r="H1975" s="9"/>
    </row>
    <row r="1976" spans="2:8" ht="15.75" hidden="1" customHeight="1" thickBot="1" x14ac:dyDescent="0.3">
      <c r="B1976" s="10" t="s">
        <v>45</v>
      </c>
      <c r="C1976" s="35" t="str">
        <f t="shared" si="24"/>
        <v/>
      </c>
      <c r="D1976" s="36"/>
      <c r="E1976" s="37"/>
      <c r="F1976" s="7"/>
      <c r="G1976" s="65"/>
      <c r="H1976" s="9"/>
    </row>
    <row r="1977" spans="2:8" ht="15.75" hidden="1" customHeight="1" thickBot="1" x14ac:dyDescent="0.3">
      <c r="B1977" s="10" t="s">
        <v>45</v>
      </c>
      <c r="C1977" s="35" t="str">
        <f t="shared" si="24"/>
        <v/>
      </c>
      <c r="D1977" s="36"/>
      <c r="E1977" s="37"/>
      <c r="F1977" s="7"/>
      <c r="G1977" s="65"/>
      <c r="H1977" s="9"/>
    </row>
    <row r="1978" spans="2:8" ht="15.75" hidden="1" customHeight="1" thickBot="1" x14ac:dyDescent="0.3">
      <c r="B1978" s="10" t="s">
        <v>45</v>
      </c>
      <c r="C1978" s="35" t="str">
        <f t="shared" si="24"/>
        <v/>
      </c>
      <c r="D1978" s="36"/>
      <c r="E1978" s="37"/>
      <c r="F1978" s="7"/>
      <c r="G1978" s="65"/>
      <c r="H1978" s="9"/>
    </row>
    <row r="1979" spans="2:8" ht="15.75" hidden="1" customHeight="1" thickBot="1" x14ac:dyDescent="0.3">
      <c r="B1979" s="10" t="s">
        <v>45</v>
      </c>
      <c r="C1979" s="35" t="str">
        <f t="shared" si="24"/>
        <v/>
      </c>
      <c r="D1979" s="36"/>
      <c r="E1979" s="37"/>
      <c r="F1979" s="7"/>
      <c r="G1979" s="65"/>
      <c r="H1979" s="9"/>
    </row>
    <row r="1980" spans="2:8" ht="15.75" hidden="1" customHeight="1" thickBot="1" x14ac:dyDescent="0.3">
      <c r="B1980" s="10" t="s">
        <v>45</v>
      </c>
      <c r="C1980" s="35" t="str">
        <f t="shared" si="24"/>
        <v/>
      </c>
      <c r="D1980" s="36"/>
      <c r="E1980" s="37"/>
      <c r="F1980" s="7"/>
      <c r="G1980" s="65"/>
      <c r="H1980" s="9"/>
    </row>
    <row r="1981" spans="2:8" ht="15.75" hidden="1" customHeight="1" thickBot="1" x14ac:dyDescent="0.3">
      <c r="B1981" s="10" t="s">
        <v>45</v>
      </c>
      <c r="C1981" s="35" t="str">
        <f t="shared" si="24"/>
        <v/>
      </c>
      <c r="D1981" s="36"/>
      <c r="E1981" s="37"/>
      <c r="F1981" s="7"/>
      <c r="G1981" s="65"/>
      <c r="H1981" s="9"/>
    </row>
    <row r="1982" spans="2:8" ht="15.75" hidden="1" customHeight="1" thickBot="1" x14ac:dyDescent="0.3">
      <c r="B1982" s="10" t="s">
        <v>45</v>
      </c>
      <c r="C1982" s="35" t="str">
        <f t="shared" si="24"/>
        <v/>
      </c>
      <c r="D1982" s="36"/>
      <c r="E1982" s="37"/>
      <c r="F1982" s="7"/>
      <c r="G1982" s="65"/>
      <c r="H1982" s="9"/>
    </row>
    <row r="1983" spans="2:8" ht="15.75" hidden="1" customHeight="1" thickBot="1" x14ac:dyDescent="0.3">
      <c r="B1983" s="10" t="s">
        <v>45</v>
      </c>
      <c r="C1983" s="35" t="str">
        <f t="shared" si="24"/>
        <v/>
      </c>
      <c r="D1983" s="36"/>
      <c r="E1983" s="37"/>
      <c r="F1983" s="7"/>
      <c r="G1983" s="65"/>
      <c r="H1983" s="9"/>
    </row>
    <row r="1984" spans="2:8" ht="15.75" hidden="1" customHeight="1" thickBot="1" x14ac:dyDescent="0.3">
      <c r="B1984" s="10" t="s">
        <v>45</v>
      </c>
      <c r="C1984" s="35" t="str">
        <f t="shared" si="24"/>
        <v/>
      </c>
      <c r="D1984" s="36"/>
      <c r="E1984" s="37"/>
      <c r="F1984" s="7"/>
      <c r="G1984" s="65"/>
      <c r="H1984" s="9"/>
    </row>
    <row r="1985" spans="2:8" ht="15.75" hidden="1" customHeight="1" thickBot="1" x14ac:dyDescent="0.3">
      <c r="B1985" s="10" t="s">
        <v>45</v>
      </c>
      <c r="C1985" s="35" t="str">
        <f t="shared" si="24"/>
        <v/>
      </c>
      <c r="D1985" s="36"/>
      <c r="E1985" s="37"/>
      <c r="F1985" s="7"/>
      <c r="G1985" s="65"/>
      <c r="H1985" s="9"/>
    </row>
    <row r="1986" spans="2:8" ht="15.75" hidden="1" customHeight="1" thickBot="1" x14ac:dyDescent="0.3">
      <c r="B1986" s="10" t="s">
        <v>45</v>
      </c>
      <c r="C1986" s="35" t="str">
        <f t="shared" si="24"/>
        <v/>
      </c>
      <c r="D1986" s="36"/>
      <c r="E1986" s="37"/>
      <c r="F1986" s="7"/>
      <c r="G1986" s="65"/>
      <c r="H1986" s="9"/>
    </row>
    <row r="1987" spans="2:8" ht="15.75" hidden="1" customHeight="1" thickBot="1" x14ac:dyDescent="0.3">
      <c r="B1987" s="10" t="s">
        <v>45</v>
      </c>
      <c r="C1987" s="35" t="str">
        <f t="shared" si="24"/>
        <v/>
      </c>
      <c r="D1987" s="36"/>
      <c r="E1987" s="37"/>
      <c r="F1987" s="7"/>
      <c r="G1987" s="65"/>
      <c r="H1987" s="9"/>
    </row>
    <row r="1988" spans="2:8" ht="15.75" hidden="1" customHeight="1" thickBot="1" x14ac:dyDescent="0.3">
      <c r="B1988" s="10" t="s">
        <v>45</v>
      </c>
      <c r="C1988" s="35" t="str">
        <f t="shared" ref="C1988:C2051" si="25">IF(E1988="","",IF(ISERROR(VLOOKUP(E1988,rTimeZoneTable,8,0)),"Update Contacts",VLOOKUP(E1988,rTimeZoneTable,8,0)))</f>
        <v/>
      </c>
      <c r="D1988" s="36"/>
      <c r="E1988" s="37"/>
      <c r="F1988" s="7"/>
      <c r="G1988" s="65"/>
      <c r="H1988" s="9"/>
    </row>
    <row r="1989" spans="2:8" ht="15.75" hidden="1" customHeight="1" thickBot="1" x14ac:dyDescent="0.3">
      <c r="B1989" s="10" t="s">
        <v>45</v>
      </c>
      <c r="C1989" s="35" t="str">
        <f t="shared" si="25"/>
        <v/>
      </c>
      <c r="D1989" s="36"/>
      <c r="E1989" s="37"/>
      <c r="F1989" s="7"/>
      <c r="G1989" s="65"/>
      <c r="H1989" s="9"/>
    </row>
    <row r="1990" spans="2:8" ht="15.75" hidden="1" customHeight="1" thickBot="1" x14ac:dyDescent="0.3">
      <c r="B1990" s="10" t="s">
        <v>45</v>
      </c>
      <c r="C1990" s="35" t="str">
        <f t="shared" si="25"/>
        <v/>
      </c>
      <c r="D1990" s="36"/>
      <c r="E1990" s="37"/>
      <c r="F1990" s="7"/>
      <c r="G1990" s="65"/>
      <c r="H1990" s="9"/>
    </row>
    <row r="1991" spans="2:8" ht="15.75" hidden="1" customHeight="1" thickBot="1" x14ac:dyDescent="0.3">
      <c r="B1991" s="10" t="s">
        <v>45</v>
      </c>
      <c r="C1991" s="35" t="str">
        <f t="shared" si="25"/>
        <v/>
      </c>
      <c r="D1991" s="36"/>
      <c r="E1991" s="37"/>
      <c r="F1991" s="7"/>
      <c r="G1991" s="65"/>
      <c r="H1991" s="9"/>
    </row>
    <row r="1992" spans="2:8" ht="15.75" hidden="1" customHeight="1" thickBot="1" x14ac:dyDescent="0.3">
      <c r="B1992" s="10" t="s">
        <v>45</v>
      </c>
      <c r="C1992" s="35" t="str">
        <f t="shared" si="25"/>
        <v/>
      </c>
      <c r="D1992" s="36"/>
      <c r="E1992" s="37"/>
      <c r="F1992" s="7"/>
      <c r="G1992" s="65"/>
      <c r="H1992" s="9"/>
    </row>
    <row r="1993" spans="2:8" ht="15.75" hidden="1" customHeight="1" thickBot="1" x14ac:dyDescent="0.3">
      <c r="B1993" s="10" t="s">
        <v>45</v>
      </c>
      <c r="C1993" s="35" t="str">
        <f t="shared" si="25"/>
        <v/>
      </c>
      <c r="D1993" s="36"/>
      <c r="E1993" s="37"/>
      <c r="F1993" s="7"/>
      <c r="G1993" s="65"/>
      <c r="H1993" s="9"/>
    </row>
    <row r="1994" spans="2:8" ht="15.75" hidden="1" customHeight="1" thickBot="1" x14ac:dyDescent="0.3">
      <c r="B1994" s="10" t="s">
        <v>45</v>
      </c>
      <c r="C1994" s="35" t="str">
        <f t="shared" si="25"/>
        <v/>
      </c>
      <c r="D1994" s="36"/>
      <c r="E1994" s="37"/>
      <c r="F1994" s="7"/>
      <c r="G1994" s="65"/>
      <c r="H1994" s="9"/>
    </row>
    <row r="1995" spans="2:8" ht="15.75" hidden="1" customHeight="1" thickBot="1" x14ac:dyDescent="0.3">
      <c r="B1995" s="10" t="s">
        <v>45</v>
      </c>
      <c r="C1995" s="35" t="str">
        <f t="shared" si="25"/>
        <v/>
      </c>
      <c r="D1995" s="36"/>
      <c r="E1995" s="37"/>
      <c r="F1995" s="7"/>
      <c r="G1995" s="65"/>
      <c r="H1995" s="9"/>
    </row>
    <row r="1996" spans="2:8" ht="15.75" hidden="1" customHeight="1" thickBot="1" x14ac:dyDescent="0.3">
      <c r="B1996" s="10" t="s">
        <v>45</v>
      </c>
      <c r="C1996" s="35" t="str">
        <f t="shared" si="25"/>
        <v/>
      </c>
      <c r="D1996" s="36"/>
      <c r="E1996" s="37"/>
      <c r="F1996" s="7"/>
      <c r="G1996" s="65"/>
      <c r="H1996" s="9"/>
    </row>
    <row r="1997" spans="2:8" ht="15.75" hidden="1" customHeight="1" thickBot="1" x14ac:dyDescent="0.3">
      <c r="B1997" s="10" t="s">
        <v>45</v>
      </c>
      <c r="C1997" s="35" t="str">
        <f t="shared" si="25"/>
        <v/>
      </c>
      <c r="D1997" s="36"/>
      <c r="E1997" s="37"/>
      <c r="F1997" s="7"/>
      <c r="G1997" s="65"/>
      <c r="H1997" s="9"/>
    </row>
    <row r="1998" spans="2:8" ht="15.75" hidden="1" customHeight="1" thickBot="1" x14ac:dyDescent="0.3">
      <c r="B1998" s="10" t="s">
        <v>45</v>
      </c>
      <c r="C1998" s="35" t="str">
        <f t="shared" si="25"/>
        <v/>
      </c>
      <c r="D1998" s="36"/>
      <c r="E1998" s="37"/>
      <c r="F1998" s="7"/>
      <c r="G1998" s="65"/>
      <c r="H1998" s="9"/>
    </row>
    <row r="1999" spans="2:8" ht="15.75" hidden="1" customHeight="1" thickBot="1" x14ac:dyDescent="0.3">
      <c r="B1999" s="10" t="s">
        <v>45</v>
      </c>
      <c r="C1999" s="35" t="str">
        <f t="shared" si="25"/>
        <v/>
      </c>
      <c r="D1999" s="36"/>
      <c r="E1999" s="37"/>
      <c r="F1999" s="7"/>
      <c r="G1999" s="65"/>
      <c r="H1999" s="9"/>
    </row>
    <row r="2000" spans="2:8" ht="15.75" hidden="1" customHeight="1" thickBot="1" x14ac:dyDescent="0.3">
      <c r="B2000" s="10" t="s">
        <v>45</v>
      </c>
      <c r="C2000" s="35" t="str">
        <f t="shared" si="25"/>
        <v/>
      </c>
      <c r="D2000" s="36"/>
      <c r="E2000" s="37"/>
      <c r="F2000" s="7"/>
      <c r="G2000" s="65"/>
      <c r="H2000" s="9"/>
    </row>
    <row r="2001" spans="2:8" ht="15.75" hidden="1" customHeight="1" thickBot="1" x14ac:dyDescent="0.3">
      <c r="B2001" s="10" t="s">
        <v>45</v>
      </c>
      <c r="C2001" s="35" t="str">
        <f t="shared" si="25"/>
        <v/>
      </c>
      <c r="D2001" s="36"/>
      <c r="E2001" s="37"/>
      <c r="F2001" s="7"/>
      <c r="G2001" s="65"/>
      <c r="H2001" s="9"/>
    </row>
    <row r="2002" spans="2:8" ht="15.75" hidden="1" customHeight="1" thickBot="1" x14ac:dyDescent="0.3">
      <c r="B2002" s="10" t="s">
        <v>45</v>
      </c>
      <c r="C2002" s="35" t="str">
        <f t="shared" si="25"/>
        <v/>
      </c>
      <c r="D2002" s="36"/>
      <c r="E2002" s="37"/>
      <c r="F2002" s="7"/>
      <c r="G2002" s="65"/>
      <c r="H2002" s="9"/>
    </row>
    <row r="2003" spans="2:8" ht="15.75" hidden="1" customHeight="1" thickBot="1" x14ac:dyDescent="0.3">
      <c r="B2003" s="10" t="s">
        <v>45</v>
      </c>
      <c r="C2003" s="35" t="str">
        <f t="shared" si="25"/>
        <v/>
      </c>
      <c r="D2003" s="36"/>
      <c r="E2003" s="37"/>
      <c r="F2003" s="7"/>
      <c r="G2003" s="65"/>
      <c r="H2003" s="9"/>
    </row>
    <row r="2004" spans="2:8" ht="15.75" hidden="1" customHeight="1" thickBot="1" x14ac:dyDescent="0.3">
      <c r="B2004" s="10" t="s">
        <v>45</v>
      </c>
      <c r="C2004" s="35" t="str">
        <f t="shared" si="25"/>
        <v/>
      </c>
      <c r="D2004" s="36"/>
      <c r="E2004" s="37"/>
      <c r="F2004" s="7"/>
      <c r="G2004" s="65"/>
      <c r="H2004" s="9"/>
    </row>
    <row r="2005" spans="2:8" ht="15.75" hidden="1" customHeight="1" thickBot="1" x14ac:dyDescent="0.3">
      <c r="B2005" s="10" t="s">
        <v>45</v>
      </c>
      <c r="C2005" s="35" t="str">
        <f t="shared" si="25"/>
        <v/>
      </c>
      <c r="D2005" s="36"/>
      <c r="E2005" s="37"/>
      <c r="F2005" s="7"/>
      <c r="G2005" s="65"/>
      <c r="H2005" s="9"/>
    </row>
    <row r="2006" spans="2:8" ht="15.75" hidden="1" customHeight="1" thickBot="1" x14ac:dyDescent="0.3">
      <c r="B2006" s="10" t="s">
        <v>45</v>
      </c>
      <c r="C2006" s="35" t="str">
        <f t="shared" si="25"/>
        <v/>
      </c>
      <c r="D2006" s="36"/>
      <c r="E2006" s="37"/>
      <c r="F2006" s="7"/>
      <c r="G2006" s="65"/>
      <c r="H2006" s="9"/>
    </row>
    <row r="2007" spans="2:8" ht="15.75" hidden="1" customHeight="1" thickBot="1" x14ac:dyDescent="0.3">
      <c r="B2007" s="10" t="s">
        <v>45</v>
      </c>
      <c r="C2007" s="35" t="str">
        <f t="shared" si="25"/>
        <v/>
      </c>
      <c r="D2007" s="36"/>
      <c r="E2007" s="37"/>
      <c r="F2007" s="7"/>
      <c r="G2007" s="65"/>
      <c r="H2007" s="9"/>
    </row>
    <row r="2008" spans="2:8" ht="15.75" hidden="1" customHeight="1" thickBot="1" x14ac:dyDescent="0.3">
      <c r="B2008" s="10" t="s">
        <v>45</v>
      </c>
      <c r="C2008" s="35" t="str">
        <f t="shared" si="25"/>
        <v/>
      </c>
      <c r="D2008" s="36"/>
      <c r="E2008" s="37"/>
      <c r="F2008" s="7"/>
      <c r="G2008" s="65"/>
      <c r="H2008" s="9"/>
    </row>
    <row r="2009" spans="2:8" ht="15.75" hidden="1" customHeight="1" thickBot="1" x14ac:dyDescent="0.3">
      <c r="B2009" s="10" t="s">
        <v>45</v>
      </c>
      <c r="C2009" s="35" t="str">
        <f t="shared" si="25"/>
        <v/>
      </c>
      <c r="D2009" s="36"/>
      <c r="E2009" s="37"/>
      <c r="F2009" s="7"/>
      <c r="G2009" s="65"/>
      <c r="H2009" s="9"/>
    </row>
    <row r="2010" spans="2:8" ht="15.75" hidden="1" customHeight="1" thickBot="1" x14ac:dyDescent="0.3">
      <c r="B2010" s="10" t="s">
        <v>45</v>
      </c>
      <c r="C2010" s="35" t="str">
        <f t="shared" si="25"/>
        <v/>
      </c>
      <c r="D2010" s="36"/>
      <c r="E2010" s="37"/>
      <c r="F2010" s="7"/>
      <c r="G2010" s="65"/>
      <c r="H2010" s="9"/>
    </row>
    <row r="2011" spans="2:8" ht="15.75" hidden="1" customHeight="1" thickBot="1" x14ac:dyDescent="0.3">
      <c r="B2011" s="10" t="s">
        <v>45</v>
      </c>
      <c r="C2011" s="35" t="str">
        <f t="shared" si="25"/>
        <v/>
      </c>
      <c r="D2011" s="36"/>
      <c r="E2011" s="37"/>
      <c r="F2011" s="7"/>
      <c r="G2011" s="65"/>
      <c r="H2011" s="9"/>
    </row>
    <row r="2012" spans="2:8" ht="15.75" hidden="1" customHeight="1" thickBot="1" x14ac:dyDescent="0.3">
      <c r="B2012" s="10" t="s">
        <v>45</v>
      </c>
      <c r="C2012" s="35" t="str">
        <f t="shared" si="25"/>
        <v/>
      </c>
      <c r="D2012" s="36"/>
      <c r="E2012" s="37"/>
      <c r="F2012" s="7"/>
      <c r="G2012" s="65"/>
      <c r="H2012" s="9"/>
    </row>
    <row r="2013" spans="2:8" ht="15.75" hidden="1" customHeight="1" thickBot="1" x14ac:dyDescent="0.3">
      <c r="B2013" s="10" t="s">
        <v>45</v>
      </c>
      <c r="C2013" s="35" t="str">
        <f t="shared" si="25"/>
        <v/>
      </c>
      <c r="D2013" s="36"/>
      <c r="E2013" s="37"/>
      <c r="F2013" s="7"/>
      <c r="G2013" s="65"/>
      <c r="H2013" s="9"/>
    </row>
    <row r="2014" spans="2:8" ht="15.75" hidden="1" customHeight="1" thickBot="1" x14ac:dyDescent="0.3">
      <c r="B2014" s="10" t="s">
        <v>45</v>
      </c>
      <c r="C2014" s="35" t="str">
        <f t="shared" si="25"/>
        <v/>
      </c>
      <c r="D2014" s="36"/>
      <c r="E2014" s="37"/>
      <c r="F2014" s="7"/>
      <c r="G2014" s="65"/>
      <c r="H2014" s="9"/>
    </row>
    <row r="2015" spans="2:8" ht="15.75" hidden="1" customHeight="1" thickBot="1" x14ac:dyDescent="0.3">
      <c r="B2015" s="10" t="s">
        <v>45</v>
      </c>
      <c r="C2015" s="35" t="str">
        <f t="shared" si="25"/>
        <v/>
      </c>
      <c r="D2015" s="36"/>
      <c r="E2015" s="37"/>
      <c r="F2015" s="7"/>
      <c r="G2015" s="65"/>
      <c r="H2015" s="9"/>
    </row>
    <row r="2016" spans="2:8" ht="15.75" hidden="1" customHeight="1" thickBot="1" x14ac:dyDescent="0.3">
      <c r="B2016" s="10" t="s">
        <v>45</v>
      </c>
      <c r="C2016" s="35" t="str">
        <f t="shared" si="25"/>
        <v/>
      </c>
      <c r="D2016" s="36"/>
      <c r="E2016" s="37"/>
      <c r="F2016" s="7"/>
      <c r="G2016" s="65"/>
      <c r="H2016" s="9"/>
    </row>
    <row r="2017" spans="2:8" ht="15.75" hidden="1" customHeight="1" thickBot="1" x14ac:dyDescent="0.3">
      <c r="B2017" s="10" t="s">
        <v>45</v>
      </c>
      <c r="C2017" s="35" t="str">
        <f t="shared" si="25"/>
        <v/>
      </c>
      <c r="D2017" s="36"/>
      <c r="E2017" s="37"/>
      <c r="F2017" s="7"/>
      <c r="G2017" s="65"/>
      <c r="H2017" s="9"/>
    </row>
    <row r="2018" spans="2:8" ht="15.75" hidden="1" customHeight="1" thickBot="1" x14ac:dyDescent="0.3">
      <c r="B2018" s="10" t="s">
        <v>45</v>
      </c>
      <c r="C2018" s="35" t="str">
        <f t="shared" si="25"/>
        <v/>
      </c>
      <c r="D2018" s="36"/>
      <c r="E2018" s="37"/>
      <c r="F2018" s="7"/>
      <c r="G2018" s="65"/>
      <c r="H2018" s="9"/>
    </row>
    <row r="2019" spans="2:8" ht="15.75" hidden="1" customHeight="1" thickBot="1" x14ac:dyDescent="0.3">
      <c r="B2019" s="10" t="s">
        <v>45</v>
      </c>
      <c r="C2019" s="35" t="str">
        <f t="shared" si="25"/>
        <v/>
      </c>
      <c r="D2019" s="36"/>
      <c r="E2019" s="37"/>
      <c r="F2019" s="7"/>
      <c r="G2019" s="65"/>
      <c r="H2019" s="9"/>
    </row>
    <row r="2020" spans="2:8" ht="15.75" hidden="1" customHeight="1" thickBot="1" x14ac:dyDescent="0.3">
      <c r="B2020" s="10" t="s">
        <v>45</v>
      </c>
      <c r="C2020" s="35" t="str">
        <f t="shared" si="25"/>
        <v/>
      </c>
      <c r="D2020" s="36"/>
      <c r="E2020" s="37"/>
      <c r="F2020" s="7"/>
      <c r="G2020" s="65"/>
      <c r="H2020" s="9"/>
    </row>
    <row r="2021" spans="2:8" ht="15.75" hidden="1" customHeight="1" thickBot="1" x14ac:dyDescent="0.3">
      <c r="B2021" s="10" t="s">
        <v>45</v>
      </c>
      <c r="C2021" s="35" t="str">
        <f t="shared" si="25"/>
        <v/>
      </c>
      <c r="D2021" s="36"/>
      <c r="E2021" s="37"/>
      <c r="F2021" s="7"/>
      <c r="G2021" s="65"/>
      <c r="H2021" s="9"/>
    </row>
    <row r="2022" spans="2:8" ht="15.75" hidden="1" customHeight="1" thickBot="1" x14ac:dyDescent="0.3">
      <c r="B2022" s="10" t="s">
        <v>45</v>
      </c>
      <c r="C2022" s="35" t="str">
        <f t="shared" si="25"/>
        <v/>
      </c>
      <c r="D2022" s="36"/>
      <c r="E2022" s="37"/>
      <c r="F2022" s="7"/>
      <c r="G2022" s="65"/>
      <c r="H2022" s="9"/>
    </row>
    <row r="2023" spans="2:8" ht="15.75" hidden="1" customHeight="1" thickBot="1" x14ac:dyDescent="0.3">
      <c r="B2023" s="10" t="s">
        <v>45</v>
      </c>
      <c r="C2023" s="35" t="str">
        <f t="shared" si="25"/>
        <v/>
      </c>
      <c r="D2023" s="36"/>
      <c r="E2023" s="37"/>
      <c r="F2023" s="7"/>
      <c r="G2023" s="65"/>
      <c r="H2023" s="9"/>
    </row>
    <row r="2024" spans="2:8" ht="15.75" hidden="1" customHeight="1" thickBot="1" x14ac:dyDescent="0.3">
      <c r="B2024" s="10" t="s">
        <v>45</v>
      </c>
      <c r="C2024" s="35" t="str">
        <f t="shared" si="25"/>
        <v/>
      </c>
      <c r="D2024" s="36"/>
      <c r="E2024" s="37"/>
      <c r="F2024" s="7"/>
      <c r="G2024" s="65"/>
      <c r="H2024" s="9"/>
    </row>
    <row r="2025" spans="2:8" ht="15.75" hidden="1" customHeight="1" thickBot="1" x14ac:dyDescent="0.3">
      <c r="B2025" s="10" t="s">
        <v>45</v>
      </c>
      <c r="C2025" s="35" t="str">
        <f t="shared" si="25"/>
        <v/>
      </c>
      <c r="D2025" s="36"/>
      <c r="E2025" s="37"/>
      <c r="F2025" s="7"/>
      <c r="G2025" s="65"/>
      <c r="H2025" s="9"/>
    </row>
    <row r="2026" spans="2:8" ht="15.75" hidden="1" customHeight="1" thickBot="1" x14ac:dyDescent="0.3">
      <c r="B2026" s="10" t="s">
        <v>45</v>
      </c>
      <c r="C2026" s="35" t="str">
        <f t="shared" si="25"/>
        <v/>
      </c>
      <c r="D2026" s="36"/>
      <c r="E2026" s="37"/>
      <c r="F2026" s="7"/>
      <c r="G2026" s="65"/>
      <c r="H2026" s="9"/>
    </row>
    <row r="2027" spans="2:8" ht="15.75" hidden="1" customHeight="1" thickBot="1" x14ac:dyDescent="0.3">
      <c r="B2027" s="10" t="s">
        <v>45</v>
      </c>
      <c r="C2027" s="35" t="str">
        <f t="shared" si="25"/>
        <v/>
      </c>
      <c r="D2027" s="36"/>
      <c r="E2027" s="37"/>
      <c r="F2027" s="7"/>
      <c r="G2027" s="65"/>
      <c r="H2027" s="9"/>
    </row>
    <row r="2028" spans="2:8" ht="15.75" hidden="1" customHeight="1" thickBot="1" x14ac:dyDescent="0.3">
      <c r="B2028" s="10" t="s">
        <v>45</v>
      </c>
      <c r="C2028" s="35" t="str">
        <f t="shared" si="25"/>
        <v/>
      </c>
      <c r="D2028" s="36"/>
      <c r="E2028" s="37"/>
      <c r="F2028" s="7"/>
      <c r="G2028" s="65"/>
      <c r="H2028" s="9"/>
    </row>
    <row r="2029" spans="2:8" ht="15.75" hidden="1" customHeight="1" thickBot="1" x14ac:dyDescent="0.3">
      <c r="B2029" s="10" t="s">
        <v>45</v>
      </c>
      <c r="C2029" s="35" t="str">
        <f t="shared" si="25"/>
        <v/>
      </c>
      <c r="D2029" s="36"/>
      <c r="E2029" s="37"/>
      <c r="F2029" s="7"/>
      <c r="G2029" s="65"/>
      <c r="H2029" s="9"/>
    </row>
    <row r="2030" spans="2:8" ht="15.75" hidden="1" customHeight="1" thickBot="1" x14ac:dyDescent="0.3">
      <c r="B2030" s="10" t="s">
        <v>45</v>
      </c>
      <c r="C2030" s="35" t="str">
        <f t="shared" si="25"/>
        <v/>
      </c>
      <c r="D2030" s="36"/>
      <c r="E2030" s="37"/>
      <c r="F2030" s="7"/>
      <c r="G2030" s="65"/>
      <c r="H2030" s="9"/>
    </row>
    <row r="2031" spans="2:8" ht="15.75" hidden="1" customHeight="1" thickBot="1" x14ac:dyDescent="0.3">
      <c r="B2031" s="10" t="s">
        <v>45</v>
      </c>
      <c r="C2031" s="35" t="str">
        <f t="shared" si="25"/>
        <v/>
      </c>
      <c r="D2031" s="36"/>
      <c r="E2031" s="37"/>
      <c r="F2031" s="7"/>
      <c r="G2031" s="65"/>
      <c r="H2031" s="9"/>
    </row>
    <row r="2032" spans="2:8" ht="15.75" hidden="1" customHeight="1" thickBot="1" x14ac:dyDescent="0.3">
      <c r="B2032" s="10" t="s">
        <v>45</v>
      </c>
      <c r="C2032" s="35" t="str">
        <f t="shared" si="25"/>
        <v/>
      </c>
      <c r="D2032" s="36"/>
      <c r="E2032" s="37"/>
      <c r="F2032" s="7"/>
      <c r="G2032" s="65"/>
      <c r="H2032" s="9"/>
    </row>
    <row r="2033" spans="2:8" ht="15.75" hidden="1" customHeight="1" thickBot="1" x14ac:dyDescent="0.3">
      <c r="B2033" s="10" t="s">
        <v>45</v>
      </c>
      <c r="C2033" s="35" t="str">
        <f t="shared" si="25"/>
        <v/>
      </c>
      <c r="D2033" s="36"/>
      <c r="E2033" s="37"/>
      <c r="F2033" s="7"/>
      <c r="G2033" s="65"/>
      <c r="H2033" s="9"/>
    </row>
    <row r="2034" spans="2:8" ht="15.75" hidden="1" customHeight="1" thickBot="1" x14ac:dyDescent="0.3">
      <c r="B2034" s="10" t="s">
        <v>45</v>
      </c>
      <c r="C2034" s="35" t="str">
        <f t="shared" si="25"/>
        <v/>
      </c>
      <c r="D2034" s="36"/>
      <c r="E2034" s="37"/>
      <c r="F2034" s="7"/>
      <c r="G2034" s="65"/>
      <c r="H2034" s="9"/>
    </row>
    <row r="2035" spans="2:8" ht="15.75" hidden="1" customHeight="1" thickBot="1" x14ac:dyDescent="0.3">
      <c r="B2035" s="10" t="s">
        <v>45</v>
      </c>
      <c r="C2035" s="35" t="str">
        <f t="shared" si="25"/>
        <v/>
      </c>
      <c r="D2035" s="36"/>
      <c r="E2035" s="37"/>
      <c r="F2035" s="7"/>
      <c r="G2035" s="65"/>
      <c r="H2035" s="9"/>
    </row>
    <row r="2036" spans="2:8" ht="15.75" hidden="1" customHeight="1" thickBot="1" x14ac:dyDescent="0.3">
      <c r="B2036" s="10" t="s">
        <v>45</v>
      </c>
      <c r="C2036" s="35" t="str">
        <f t="shared" si="25"/>
        <v/>
      </c>
      <c r="D2036" s="36"/>
      <c r="E2036" s="37"/>
      <c r="F2036" s="7"/>
      <c r="G2036" s="65"/>
      <c r="H2036" s="9"/>
    </row>
    <row r="2037" spans="2:8" ht="15.75" hidden="1" customHeight="1" thickBot="1" x14ac:dyDescent="0.3">
      <c r="B2037" s="10" t="s">
        <v>45</v>
      </c>
      <c r="C2037" s="35" t="str">
        <f t="shared" si="25"/>
        <v/>
      </c>
      <c r="D2037" s="36"/>
      <c r="E2037" s="37"/>
      <c r="F2037" s="7"/>
      <c r="G2037" s="65"/>
      <c r="H2037" s="9"/>
    </row>
    <row r="2038" spans="2:8" ht="15.75" hidden="1" customHeight="1" thickBot="1" x14ac:dyDescent="0.3">
      <c r="B2038" s="10" t="s">
        <v>45</v>
      </c>
      <c r="C2038" s="35" t="str">
        <f t="shared" si="25"/>
        <v/>
      </c>
      <c r="D2038" s="36"/>
      <c r="E2038" s="37"/>
      <c r="F2038" s="7"/>
      <c r="G2038" s="65"/>
      <c r="H2038" s="9"/>
    </row>
    <row r="2039" spans="2:8" ht="15.75" hidden="1" customHeight="1" thickBot="1" x14ac:dyDescent="0.3">
      <c r="B2039" s="10" t="s">
        <v>45</v>
      </c>
      <c r="C2039" s="35" t="str">
        <f t="shared" si="25"/>
        <v/>
      </c>
      <c r="D2039" s="36"/>
      <c r="E2039" s="37"/>
      <c r="F2039" s="7"/>
      <c r="G2039" s="65"/>
      <c r="H2039" s="9"/>
    </row>
    <row r="2040" spans="2:8" ht="15.75" hidden="1" customHeight="1" thickBot="1" x14ac:dyDescent="0.3">
      <c r="B2040" s="10" t="s">
        <v>45</v>
      </c>
      <c r="C2040" s="35" t="str">
        <f t="shared" si="25"/>
        <v/>
      </c>
      <c r="D2040" s="36"/>
      <c r="E2040" s="37"/>
      <c r="F2040" s="7"/>
      <c r="G2040" s="65"/>
      <c r="H2040" s="9"/>
    </row>
    <row r="2041" spans="2:8" ht="15.75" hidden="1" customHeight="1" thickBot="1" x14ac:dyDescent="0.3">
      <c r="B2041" s="10" t="s">
        <v>45</v>
      </c>
      <c r="C2041" s="35" t="str">
        <f t="shared" si="25"/>
        <v/>
      </c>
      <c r="D2041" s="36"/>
      <c r="E2041" s="37"/>
      <c r="F2041" s="7"/>
      <c r="G2041" s="65"/>
      <c r="H2041" s="9"/>
    </row>
    <row r="2042" spans="2:8" ht="15.75" hidden="1" customHeight="1" thickBot="1" x14ac:dyDescent="0.3">
      <c r="B2042" s="10" t="s">
        <v>45</v>
      </c>
      <c r="C2042" s="35" t="str">
        <f t="shared" si="25"/>
        <v/>
      </c>
      <c r="D2042" s="36"/>
      <c r="E2042" s="37"/>
      <c r="F2042" s="7"/>
      <c r="G2042" s="65"/>
      <c r="H2042" s="9"/>
    </row>
    <row r="2043" spans="2:8" ht="15.75" hidden="1" customHeight="1" thickBot="1" x14ac:dyDescent="0.3">
      <c r="B2043" s="10" t="s">
        <v>45</v>
      </c>
      <c r="C2043" s="35" t="str">
        <f t="shared" si="25"/>
        <v/>
      </c>
      <c r="D2043" s="36"/>
      <c r="E2043" s="37"/>
      <c r="F2043" s="7"/>
      <c r="G2043" s="65"/>
      <c r="H2043" s="9"/>
    </row>
    <row r="2044" spans="2:8" ht="15.75" hidden="1" customHeight="1" thickBot="1" x14ac:dyDescent="0.3">
      <c r="B2044" s="10" t="s">
        <v>45</v>
      </c>
      <c r="C2044" s="35" t="str">
        <f t="shared" si="25"/>
        <v/>
      </c>
      <c r="D2044" s="36"/>
      <c r="E2044" s="37"/>
      <c r="F2044" s="7"/>
      <c r="G2044" s="65"/>
      <c r="H2044" s="9"/>
    </row>
    <row r="2045" spans="2:8" ht="15.75" hidden="1" customHeight="1" thickBot="1" x14ac:dyDescent="0.3">
      <c r="B2045" s="10" t="s">
        <v>45</v>
      </c>
      <c r="C2045" s="35" t="str">
        <f t="shared" si="25"/>
        <v/>
      </c>
      <c r="D2045" s="36"/>
      <c r="E2045" s="37"/>
      <c r="F2045" s="7"/>
      <c r="G2045" s="65"/>
      <c r="H2045" s="9"/>
    </row>
    <row r="2046" spans="2:8" ht="15.75" hidden="1" customHeight="1" thickBot="1" x14ac:dyDescent="0.3">
      <c r="B2046" s="10" t="s">
        <v>45</v>
      </c>
      <c r="C2046" s="35" t="str">
        <f t="shared" si="25"/>
        <v/>
      </c>
      <c r="D2046" s="36"/>
      <c r="E2046" s="37"/>
      <c r="F2046" s="7"/>
      <c r="G2046" s="65"/>
      <c r="H2046" s="9"/>
    </row>
    <row r="2047" spans="2:8" ht="15.75" hidden="1" customHeight="1" thickBot="1" x14ac:dyDescent="0.3">
      <c r="B2047" s="10" t="s">
        <v>45</v>
      </c>
      <c r="C2047" s="35" t="str">
        <f t="shared" si="25"/>
        <v/>
      </c>
      <c r="D2047" s="36"/>
      <c r="E2047" s="37"/>
      <c r="F2047" s="7"/>
      <c r="G2047" s="65"/>
      <c r="H2047" s="9"/>
    </row>
    <row r="2048" spans="2:8" ht="15.75" hidden="1" customHeight="1" thickBot="1" x14ac:dyDescent="0.3">
      <c r="B2048" s="10" t="s">
        <v>45</v>
      </c>
      <c r="C2048" s="35" t="str">
        <f t="shared" si="25"/>
        <v/>
      </c>
      <c r="D2048" s="36"/>
      <c r="E2048" s="37"/>
      <c r="F2048" s="7"/>
      <c r="G2048" s="65"/>
      <c r="H2048" s="9"/>
    </row>
    <row r="2049" spans="2:8" ht="15.75" hidden="1" customHeight="1" thickBot="1" x14ac:dyDescent="0.3">
      <c r="B2049" s="10" t="s">
        <v>45</v>
      </c>
      <c r="C2049" s="35" t="str">
        <f t="shared" si="25"/>
        <v/>
      </c>
      <c r="D2049" s="36"/>
      <c r="E2049" s="37"/>
      <c r="F2049" s="7"/>
      <c r="G2049" s="65"/>
      <c r="H2049" s="9"/>
    </row>
    <row r="2050" spans="2:8" ht="15.75" hidden="1" customHeight="1" thickBot="1" x14ac:dyDescent="0.3">
      <c r="B2050" s="10" t="s">
        <v>45</v>
      </c>
      <c r="C2050" s="35" t="str">
        <f t="shared" si="25"/>
        <v/>
      </c>
      <c r="D2050" s="36"/>
      <c r="E2050" s="37"/>
      <c r="F2050" s="7"/>
      <c r="G2050" s="65"/>
      <c r="H2050" s="9"/>
    </row>
    <row r="2051" spans="2:8" ht="15.75" hidden="1" customHeight="1" thickBot="1" x14ac:dyDescent="0.3">
      <c r="B2051" s="10" t="s">
        <v>45</v>
      </c>
      <c r="C2051" s="35" t="str">
        <f t="shared" si="25"/>
        <v/>
      </c>
      <c r="D2051" s="36"/>
      <c r="E2051" s="37"/>
      <c r="F2051" s="7"/>
      <c r="G2051" s="65"/>
      <c r="H2051" s="9"/>
    </row>
    <row r="2052" spans="2:8" ht="15.75" hidden="1" customHeight="1" thickBot="1" x14ac:dyDescent="0.3">
      <c r="B2052" s="10" t="s">
        <v>45</v>
      </c>
      <c r="C2052" s="35" t="str">
        <f t="shared" ref="C2052:C2115" si="26">IF(E2052="","",IF(ISERROR(VLOOKUP(E2052,rTimeZoneTable,8,0)),"Update Contacts",VLOOKUP(E2052,rTimeZoneTable,8,0)))</f>
        <v/>
      </c>
      <c r="D2052" s="36"/>
      <c r="E2052" s="37"/>
      <c r="F2052" s="7"/>
      <c r="G2052" s="65"/>
      <c r="H2052" s="9"/>
    </row>
    <row r="2053" spans="2:8" ht="15.75" hidden="1" customHeight="1" thickBot="1" x14ac:dyDescent="0.3">
      <c r="B2053" s="10" t="s">
        <v>45</v>
      </c>
      <c r="C2053" s="35" t="str">
        <f t="shared" si="26"/>
        <v/>
      </c>
      <c r="D2053" s="36"/>
      <c r="E2053" s="37"/>
      <c r="F2053" s="7"/>
      <c r="G2053" s="65"/>
      <c r="H2053" s="9"/>
    </row>
    <row r="2054" spans="2:8" ht="15.75" hidden="1" customHeight="1" thickBot="1" x14ac:dyDescent="0.3">
      <c r="B2054" s="10" t="s">
        <v>45</v>
      </c>
      <c r="C2054" s="35" t="str">
        <f t="shared" si="26"/>
        <v/>
      </c>
      <c r="D2054" s="36"/>
      <c r="E2054" s="37"/>
      <c r="F2054" s="7"/>
      <c r="G2054" s="65"/>
      <c r="H2054" s="9"/>
    </row>
    <row r="2055" spans="2:8" ht="15.75" hidden="1" customHeight="1" thickBot="1" x14ac:dyDescent="0.3">
      <c r="B2055" s="10" t="s">
        <v>45</v>
      </c>
      <c r="C2055" s="35" t="str">
        <f t="shared" si="26"/>
        <v/>
      </c>
      <c r="D2055" s="36"/>
      <c r="E2055" s="37"/>
      <c r="F2055" s="7"/>
      <c r="G2055" s="65"/>
      <c r="H2055" s="9"/>
    </row>
    <row r="2056" spans="2:8" ht="15.75" hidden="1" customHeight="1" thickBot="1" x14ac:dyDescent="0.3">
      <c r="B2056" s="10" t="s">
        <v>45</v>
      </c>
      <c r="C2056" s="35" t="str">
        <f t="shared" si="26"/>
        <v/>
      </c>
      <c r="D2056" s="36"/>
      <c r="E2056" s="37"/>
      <c r="F2056" s="7"/>
      <c r="G2056" s="65"/>
      <c r="H2056" s="9"/>
    </row>
    <row r="2057" spans="2:8" ht="15.75" hidden="1" customHeight="1" thickBot="1" x14ac:dyDescent="0.3">
      <c r="B2057" s="10" t="s">
        <v>45</v>
      </c>
      <c r="C2057" s="35" t="str">
        <f t="shared" si="26"/>
        <v/>
      </c>
      <c r="D2057" s="36"/>
      <c r="E2057" s="37"/>
      <c r="F2057" s="7"/>
      <c r="G2057" s="65"/>
      <c r="H2057" s="9"/>
    </row>
    <row r="2058" spans="2:8" ht="15.75" hidden="1" customHeight="1" thickBot="1" x14ac:dyDescent="0.3">
      <c r="B2058" s="10" t="s">
        <v>45</v>
      </c>
      <c r="C2058" s="35" t="str">
        <f t="shared" si="26"/>
        <v/>
      </c>
      <c r="D2058" s="36"/>
      <c r="E2058" s="37"/>
      <c r="F2058" s="7"/>
      <c r="G2058" s="65"/>
      <c r="H2058" s="9"/>
    </row>
    <row r="2059" spans="2:8" ht="15.75" hidden="1" customHeight="1" thickBot="1" x14ac:dyDescent="0.3">
      <c r="B2059" s="10" t="s">
        <v>45</v>
      </c>
      <c r="C2059" s="35" t="str">
        <f t="shared" si="26"/>
        <v/>
      </c>
      <c r="D2059" s="36"/>
      <c r="E2059" s="37"/>
      <c r="F2059" s="7"/>
      <c r="G2059" s="65"/>
      <c r="H2059" s="9"/>
    </row>
    <row r="2060" spans="2:8" ht="15.75" hidden="1" customHeight="1" thickBot="1" x14ac:dyDescent="0.3">
      <c r="B2060" s="10" t="s">
        <v>45</v>
      </c>
      <c r="C2060" s="35" t="str">
        <f t="shared" si="26"/>
        <v/>
      </c>
      <c r="D2060" s="36"/>
      <c r="E2060" s="37"/>
      <c r="F2060" s="7"/>
      <c r="G2060" s="65"/>
      <c r="H2060" s="9"/>
    </row>
    <row r="2061" spans="2:8" ht="15.75" hidden="1" customHeight="1" thickBot="1" x14ac:dyDescent="0.3">
      <c r="B2061" s="10" t="s">
        <v>45</v>
      </c>
      <c r="C2061" s="35" t="str">
        <f t="shared" si="26"/>
        <v/>
      </c>
      <c r="D2061" s="36"/>
      <c r="E2061" s="37"/>
      <c r="F2061" s="7"/>
      <c r="G2061" s="65"/>
      <c r="H2061" s="9"/>
    </row>
    <row r="2062" spans="2:8" ht="15.75" hidden="1" customHeight="1" thickBot="1" x14ac:dyDescent="0.3">
      <c r="B2062" s="10" t="s">
        <v>45</v>
      </c>
      <c r="C2062" s="35" t="str">
        <f t="shared" si="26"/>
        <v/>
      </c>
      <c r="D2062" s="36"/>
      <c r="E2062" s="37"/>
      <c r="F2062" s="7"/>
      <c r="G2062" s="65"/>
      <c r="H2062" s="9"/>
    </row>
    <row r="2063" spans="2:8" ht="15.75" hidden="1" customHeight="1" thickBot="1" x14ac:dyDescent="0.3">
      <c r="B2063" s="10" t="s">
        <v>45</v>
      </c>
      <c r="C2063" s="35" t="str">
        <f t="shared" si="26"/>
        <v/>
      </c>
      <c r="D2063" s="36"/>
      <c r="E2063" s="37"/>
      <c r="F2063" s="7"/>
      <c r="G2063" s="65"/>
      <c r="H2063" s="9"/>
    </row>
    <row r="2064" spans="2:8" ht="15.75" hidden="1" customHeight="1" thickBot="1" x14ac:dyDescent="0.3">
      <c r="B2064" s="10" t="s">
        <v>45</v>
      </c>
      <c r="C2064" s="35" t="str">
        <f t="shared" si="26"/>
        <v/>
      </c>
      <c r="D2064" s="36"/>
      <c r="E2064" s="37"/>
      <c r="F2064" s="7"/>
      <c r="G2064" s="65"/>
      <c r="H2064" s="9"/>
    </row>
    <row r="2065" spans="2:8" ht="15.75" hidden="1" customHeight="1" thickBot="1" x14ac:dyDescent="0.3">
      <c r="B2065" s="10" t="s">
        <v>45</v>
      </c>
      <c r="C2065" s="35" t="str">
        <f t="shared" si="26"/>
        <v/>
      </c>
      <c r="D2065" s="36"/>
      <c r="E2065" s="37"/>
      <c r="F2065" s="7"/>
      <c r="G2065" s="65"/>
      <c r="H2065" s="9"/>
    </row>
    <row r="2066" spans="2:8" ht="15.75" hidden="1" customHeight="1" thickBot="1" x14ac:dyDescent="0.3">
      <c r="B2066" s="10" t="s">
        <v>45</v>
      </c>
      <c r="C2066" s="35" t="str">
        <f t="shared" si="26"/>
        <v/>
      </c>
      <c r="D2066" s="36"/>
      <c r="E2066" s="37"/>
      <c r="F2066" s="7"/>
      <c r="G2066" s="65"/>
      <c r="H2066" s="9"/>
    </row>
    <row r="2067" spans="2:8" ht="15.75" hidden="1" customHeight="1" thickBot="1" x14ac:dyDescent="0.3">
      <c r="B2067" s="10" t="s">
        <v>45</v>
      </c>
      <c r="C2067" s="35" t="str">
        <f t="shared" si="26"/>
        <v/>
      </c>
      <c r="D2067" s="36"/>
      <c r="E2067" s="37"/>
      <c r="F2067" s="7"/>
      <c r="G2067" s="65"/>
      <c r="H2067" s="9"/>
    </row>
    <row r="2068" spans="2:8" ht="15.75" hidden="1" customHeight="1" thickBot="1" x14ac:dyDescent="0.3">
      <c r="B2068" s="10" t="s">
        <v>45</v>
      </c>
      <c r="C2068" s="35" t="str">
        <f t="shared" si="26"/>
        <v/>
      </c>
      <c r="D2068" s="36"/>
      <c r="E2068" s="37"/>
      <c r="F2068" s="7"/>
      <c r="G2068" s="65"/>
      <c r="H2068" s="9"/>
    </row>
    <row r="2069" spans="2:8" ht="15.75" hidden="1" customHeight="1" thickBot="1" x14ac:dyDescent="0.3">
      <c r="B2069" s="10" t="s">
        <v>45</v>
      </c>
      <c r="C2069" s="35" t="str">
        <f t="shared" si="26"/>
        <v/>
      </c>
      <c r="D2069" s="36"/>
      <c r="E2069" s="37"/>
      <c r="F2069" s="7"/>
      <c r="G2069" s="65"/>
      <c r="H2069" s="9"/>
    </row>
    <row r="2070" spans="2:8" ht="15.75" hidden="1" customHeight="1" thickBot="1" x14ac:dyDescent="0.3">
      <c r="B2070" s="10" t="s">
        <v>45</v>
      </c>
      <c r="C2070" s="35" t="str">
        <f t="shared" si="26"/>
        <v/>
      </c>
      <c r="D2070" s="36"/>
      <c r="E2070" s="37"/>
      <c r="F2070" s="7"/>
      <c r="G2070" s="65"/>
      <c r="H2070" s="9"/>
    </row>
    <row r="2071" spans="2:8" ht="15.75" hidden="1" customHeight="1" thickBot="1" x14ac:dyDescent="0.3">
      <c r="B2071" s="10" t="s">
        <v>45</v>
      </c>
      <c r="C2071" s="35" t="str">
        <f t="shared" si="26"/>
        <v/>
      </c>
      <c r="D2071" s="36"/>
      <c r="E2071" s="37"/>
      <c r="F2071" s="7"/>
      <c r="G2071" s="65"/>
      <c r="H2071" s="9"/>
    </row>
    <row r="2072" spans="2:8" ht="15.75" hidden="1" customHeight="1" thickBot="1" x14ac:dyDescent="0.3">
      <c r="B2072" s="10" t="s">
        <v>45</v>
      </c>
      <c r="C2072" s="35" t="str">
        <f t="shared" si="26"/>
        <v/>
      </c>
      <c r="D2072" s="36"/>
      <c r="E2072" s="37"/>
      <c r="F2072" s="7"/>
      <c r="G2072" s="65"/>
      <c r="H2072" s="9"/>
    </row>
    <row r="2073" spans="2:8" ht="15.75" hidden="1" customHeight="1" thickBot="1" x14ac:dyDescent="0.3">
      <c r="B2073" s="10" t="s">
        <v>45</v>
      </c>
      <c r="C2073" s="35" t="str">
        <f t="shared" si="26"/>
        <v/>
      </c>
      <c r="D2073" s="36"/>
      <c r="E2073" s="37"/>
      <c r="F2073" s="7"/>
      <c r="G2073" s="65"/>
      <c r="H2073" s="9"/>
    </row>
    <row r="2074" spans="2:8" ht="15.75" hidden="1" customHeight="1" thickBot="1" x14ac:dyDescent="0.3">
      <c r="B2074" s="10" t="s">
        <v>45</v>
      </c>
      <c r="C2074" s="35" t="str">
        <f t="shared" si="26"/>
        <v/>
      </c>
      <c r="D2074" s="36"/>
      <c r="E2074" s="37"/>
      <c r="F2074" s="7"/>
      <c r="G2074" s="65"/>
      <c r="H2074" s="9"/>
    </row>
    <row r="2075" spans="2:8" ht="15.75" hidden="1" customHeight="1" thickBot="1" x14ac:dyDescent="0.3">
      <c r="B2075" s="10" t="s">
        <v>45</v>
      </c>
      <c r="C2075" s="35" t="str">
        <f t="shared" si="26"/>
        <v/>
      </c>
      <c r="D2075" s="36"/>
      <c r="E2075" s="37"/>
      <c r="F2075" s="7"/>
      <c r="G2075" s="65"/>
      <c r="H2075" s="9"/>
    </row>
    <row r="2076" spans="2:8" ht="15.75" hidden="1" customHeight="1" thickBot="1" x14ac:dyDescent="0.3">
      <c r="B2076" s="10" t="s">
        <v>45</v>
      </c>
      <c r="C2076" s="35" t="str">
        <f t="shared" si="26"/>
        <v/>
      </c>
      <c r="D2076" s="36"/>
      <c r="E2076" s="37"/>
      <c r="F2076" s="7"/>
      <c r="G2076" s="65"/>
      <c r="H2076" s="9"/>
    </row>
    <row r="2077" spans="2:8" ht="15.75" hidden="1" customHeight="1" thickBot="1" x14ac:dyDescent="0.3">
      <c r="B2077" s="10" t="s">
        <v>45</v>
      </c>
      <c r="C2077" s="35" t="str">
        <f t="shared" si="26"/>
        <v/>
      </c>
      <c r="D2077" s="36"/>
      <c r="E2077" s="37"/>
      <c r="F2077" s="7"/>
      <c r="G2077" s="65"/>
      <c r="H2077" s="9"/>
    </row>
    <row r="2078" spans="2:8" ht="15.75" hidden="1" customHeight="1" thickBot="1" x14ac:dyDescent="0.3">
      <c r="B2078" s="10" t="s">
        <v>45</v>
      </c>
      <c r="C2078" s="35" t="str">
        <f t="shared" si="26"/>
        <v/>
      </c>
      <c r="D2078" s="36"/>
      <c r="E2078" s="37"/>
      <c r="F2078" s="7"/>
      <c r="G2078" s="65"/>
      <c r="H2078" s="9"/>
    </row>
    <row r="2079" spans="2:8" ht="15.75" hidden="1" customHeight="1" thickBot="1" x14ac:dyDescent="0.3">
      <c r="B2079" s="10" t="s">
        <v>45</v>
      </c>
      <c r="C2079" s="35" t="str">
        <f t="shared" si="26"/>
        <v/>
      </c>
      <c r="D2079" s="36"/>
      <c r="E2079" s="37"/>
      <c r="F2079" s="7"/>
      <c r="G2079" s="65"/>
      <c r="H2079" s="9"/>
    </row>
    <row r="2080" spans="2:8" ht="15.75" hidden="1" customHeight="1" thickBot="1" x14ac:dyDescent="0.3">
      <c r="B2080" s="10" t="s">
        <v>45</v>
      </c>
      <c r="C2080" s="35" t="str">
        <f t="shared" si="26"/>
        <v/>
      </c>
      <c r="D2080" s="36"/>
      <c r="E2080" s="37"/>
      <c r="F2080" s="7"/>
      <c r="G2080" s="65"/>
      <c r="H2080" s="9"/>
    </row>
    <row r="2081" spans="2:8" ht="15.75" hidden="1" customHeight="1" thickBot="1" x14ac:dyDescent="0.3">
      <c r="B2081" s="10" t="s">
        <v>45</v>
      </c>
      <c r="C2081" s="35" t="str">
        <f t="shared" si="26"/>
        <v/>
      </c>
      <c r="D2081" s="36"/>
      <c r="E2081" s="37"/>
      <c r="F2081" s="7"/>
      <c r="G2081" s="65"/>
      <c r="H2081" s="9"/>
    </row>
    <row r="2082" spans="2:8" ht="15.75" hidden="1" customHeight="1" thickBot="1" x14ac:dyDescent="0.3">
      <c r="B2082" s="10" t="s">
        <v>45</v>
      </c>
      <c r="C2082" s="35" t="str">
        <f t="shared" si="26"/>
        <v/>
      </c>
      <c r="D2082" s="36"/>
      <c r="E2082" s="37"/>
      <c r="F2082" s="7"/>
      <c r="G2082" s="65"/>
      <c r="H2082" s="9"/>
    </row>
    <row r="2083" spans="2:8" ht="15.75" hidden="1" customHeight="1" thickBot="1" x14ac:dyDescent="0.3">
      <c r="B2083" s="10" t="s">
        <v>45</v>
      </c>
      <c r="C2083" s="35" t="str">
        <f t="shared" si="26"/>
        <v/>
      </c>
      <c r="D2083" s="36"/>
      <c r="E2083" s="37"/>
      <c r="F2083" s="7"/>
      <c r="G2083" s="65"/>
      <c r="H2083" s="9"/>
    </row>
    <row r="2084" spans="2:8" ht="15.75" hidden="1" customHeight="1" thickBot="1" x14ac:dyDescent="0.3">
      <c r="B2084" s="10" t="s">
        <v>45</v>
      </c>
      <c r="C2084" s="35" t="str">
        <f t="shared" si="26"/>
        <v/>
      </c>
      <c r="D2084" s="36"/>
      <c r="E2084" s="37"/>
      <c r="F2084" s="7"/>
      <c r="G2084" s="65"/>
      <c r="H2084" s="9"/>
    </row>
    <row r="2085" spans="2:8" ht="15.75" hidden="1" customHeight="1" thickBot="1" x14ac:dyDescent="0.3">
      <c r="B2085" s="10" t="s">
        <v>45</v>
      </c>
      <c r="C2085" s="35" t="str">
        <f t="shared" si="26"/>
        <v/>
      </c>
      <c r="D2085" s="36"/>
      <c r="E2085" s="37"/>
      <c r="F2085" s="7"/>
      <c r="G2085" s="65"/>
      <c r="H2085" s="9"/>
    </row>
    <row r="2086" spans="2:8" ht="15.75" hidden="1" customHeight="1" thickBot="1" x14ac:dyDescent="0.3">
      <c r="B2086" s="10" t="s">
        <v>45</v>
      </c>
      <c r="C2086" s="35" t="str">
        <f t="shared" si="26"/>
        <v/>
      </c>
      <c r="D2086" s="36"/>
      <c r="E2086" s="37"/>
      <c r="F2086" s="7"/>
      <c r="G2086" s="65"/>
      <c r="H2086" s="9"/>
    </row>
    <row r="2087" spans="2:8" ht="15.75" hidden="1" customHeight="1" thickBot="1" x14ac:dyDescent="0.3">
      <c r="B2087" s="10" t="s">
        <v>45</v>
      </c>
      <c r="C2087" s="35" t="str">
        <f t="shared" si="26"/>
        <v/>
      </c>
      <c r="D2087" s="36"/>
      <c r="E2087" s="37"/>
      <c r="F2087" s="7"/>
      <c r="G2087" s="65"/>
      <c r="H2087" s="9"/>
    </row>
    <row r="2088" spans="2:8" ht="15.75" hidden="1" customHeight="1" thickBot="1" x14ac:dyDescent="0.3">
      <c r="B2088" s="10" t="s">
        <v>45</v>
      </c>
      <c r="C2088" s="35" t="str">
        <f t="shared" si="26"/>
        <v/>
      </c>
      <c r="D2088" s="36"/>
      <c r="E2088" s="37"/>
      <c r="F2088" s="7"/>
      <c r="G2088" s="65"/>
      <c r="H2088" s="9"/>
    </row>
    <row r="2089" spans="2:8" ht="15.75" hidden="1" customHeight="1" thickBot="1" x14ac:dyDescent="0.3">
      <c r="B2089" s="10" t="s">
        <v>45</v>
      </c>
      <c r="C2089" s="35" t="str">
        <f t="shared" si="26"/>
        <v/>
      </c>
      <c r="D2089" s="36"/>
      <c r="E2089" s="37"/>
      <c r="F2089" s="7"/>
      <c r="G2089" s="65"/>
      <c r="H2089" s="9"/>
    </row>
    <row r="2090" spans="2:8" ht="15.75" hidden="1" customHeight="1" thickBot="1" x14ac:dyDescent="0.3">
      <c r="B2090" s="10" t="s">
        <v>45</v>
      </c>
      <c r="C2090" s="35" t="str">
        <f t="shared" si="26"/>
        <v/>
      </c>
      <c r="D2090" s="36"/>
      <c r="E2090" s="37"/>
      <c r="F2090" s="7"/>
      <c r="G2090" s="65"/>
      <c r="H2090" s="9"/>
    </row>
    <row r="2091" spans="2:8" ht="15.75" hidden="1" customHeight="1" thickBot="1" x14ac:dyDescent="0.3">
      <c r="B2091" s="10" t="s">
        <v>45</v>
      </c>
      <c r="C2091" s="35" t="str">
        <f t="shared" si="26"/>
        <v/>
      </c>
      <c r="D2091" s="36"/>
      <c r="E2091" s="37"/>
      <c r="F2091" s="7"/>
      <c r="G2091" s="65"/>
      <c r="H2091" s="9"/>
    </row>
    <row r="2092" spans="2:8" ht="15.75" hidden="1" customHeight="1" thickBot="1" x14ac:dyDescent="0.3">
      <c r="B2092" s="10" t="s">
        <v>45</v>
      </c>
      <c r="C2092" s="35" t="str">
        <f t="shared" si="26"/>
        <v/>
      </c>
      <c r="D2092" s="36"/>
      <c r="E2092" s="37"/>
      <c r="F2092" s="7"/>
      <c r="G2092" s="65"/>
      <c r="H2092" s="9"/>
    </row>
    <row r="2093" spans="2:8" ht="15.75" hidden="1" customHeight="1" thickBot="1" x14ac:dyDescent="0.3">
      <c r="B2093" s="10" t="s">
        <v>45</v>
      </c>
      <c r="C2093" s="35" t="str">
        <f t="shared" si="26"/>
        <v/>
      </c>
      <c r="D2093" s="36"/>
      <c r="E2093" s="37"/>
      <c r="F2093" s="7"/>
      <c r="G2093" s="65"/>
      <c r="H2093" s="9"/>
    </row>
    <row r="2094" spans="2:8" ht="15.75" hidden="1" customHeight="1" thickBot="1" x14ac:dyDescent="0.3">
      <c r="B2094" s="10" t="s">
        <v>45</v>
      </c>
      <c r="C2094" s="35" t="str">
        <f t="shared" si="26"/>
        <v/>
      </c>
      <c r="D2094" s="36"/>
      <c r="E2094" s="37"/>
      <c r="F2094" s="7"/>
      <c r="G2094" s="65"/>
      <c r="H2094" s="9"/>
    </row>
    <row r="2095" spans="2:8" ht="15.75" hidden="1" customHeight="1" thickBot="1" x14ac:dyDescent="0.3">
      <c r="B2095" s="10" t="s">
        <v>45</v>
      </c>
      <c r="C2095" s="35" t="str">
        <f t="shared" si="26"/>
        <v/>
      </c>
      <c r="D2095" s="36"/>
      <c r="E2095" s="37"/>
      <c r="F2095" s="7"/>
      <c r="G2095" s="65"/>
      <c r="H2095" s="9"/>
    </row>
    <row r="2096" spans="2:8" ht="15.75" hidden="1" customHeight="1" thickBot="1" x14ac:dyDescent="0.3">
      <c r="B2096" s="10" t="s">
        <v>45</v>
      </c>
      <c r="C2096" s="35" t="str">
        <f t="shared" si="26"/>
        <v/>
      </c>
      <c r="D2096" s="36"/>
      <c r="E2096" s="37"/>
      <c r="F2096" s="7"/>
      <c r="G2096" s="65"/>
      <c r="H2096" s="9"/>
    </row>
    <row r="2097" spans="2:8" ht="15.75" hidden="1" customHeight="1" thickBot="1" x14ac:dyDescent="0.3">
      <c r="B2097" s="10" t="s">
        <v>45</v>
      </c>
      <c r="C2097" s="35" t="str">
        <f t="shared" si="26"/>
        <v/>
      </c>
      <c r="D2097" s="36"/>
      <c r="E2097" s="37"/>
      <c r="F2097" s="7"/>
      <c r="G2097" s="65"/>
      <c r="H2097" s="9"/>
    </row>
    <row r="2098" spans="2:8" ht="15.75" hidden="1" customHeight="1" thickBot="1" x14ac:dyDescent="0.3">
      <c r="B2098" s="10" t="s">
        <v>45</v>
      </c>
      <c r="C2098" s="35" t="str">
        <f t="shared" si="26"/>
        <v/>
      </c>
      <c r="D2098" s="36"/>
      <c r="E2098" s="37"/>
      <c r="F2098" s="7"/>
      <c r="G2098" s="65"/>
      <c r="H2098" s="9"/>
    </row>
    <row r="2099" spans="2:8" ht="15.75" hidden="1" customHeight="1" thickBot="1" x14ac:dyDescent="0.3">
      <c r="B2099" s="10" t="s">
        <v>45</v>
      </c>
      <c r="C2099" s="35" t="str">
        <f t="shared" si="26"/>
        <v/>
      </c>
      <c r="D2099" s="36"/>
      <c r="E2099" s="37"/>
      <c r="F2099" s="7"/>
      <c r="G2099" s="65"/>
      <c r="H2099" s="9"/>
    </row>
    <row r="2100" spans="2:8" ht="15.75" hidden="1" customHeight="1" thickBot="1" x14ac:dyDescent="0.3">
      <c r="B2100" s="10" t="s">
        <v>45</v>
      </c>
      <c r="C2100" s="35" t="str">
        <f t="shared" si="26"/>
        <v/>
      </c>
      <c r="D2100" s="36"/>
      <c r="E2100" s="37"/>
      <c r="F2100" s="7"/>
      <c r="G2100" s="65"/>
      <c r="H2100" s="9"/>
    </row>
    <row r="2101" spans="2:8" ht="15.75" hidden="1" customHeight="1" thickBot="1" x14ac:dyDescent="0.3">
      <c r="B2101" s="10" t="s">
        <v>45</v>
      </c>
      <c r="C2101" s="35" t="str">
        <f t="shared" si="26"/>
        <v/>
      </c>
      <c r="D2101" s="36"/>
      <c r="E2101" s="37"/>
      <c r="F2101" s="7"/>
      <c r="G2101" s="65"/>
      <c r="H2101" s="9"/>
    </row>
    <row r="2102" spans="2:8" ht="15.75" hidden="1" customHeight="1" thickBot="1" x14ac:dyDescent="0.3">
      <c r="B2102" s="10" t="s">
        <v>45</v>
      </c>
      <c r="C2102" s="35" t="str">
        <f t="shared" si="26"/>
        <v/>
      </c>
      <c r="D2102" s="36"/>
      <c r="E2102" s="37"/>
      <c r="F2102" s="7"/>
      <c r="G2102" s="65"/>
      <c r="H2102" s="9"/>
    </row>
    <row r="2103" spans="2:8" ht="15.75" hidden="1" customHeight="1" thickBot="1" x14ac:dyDescent="0.3">
      <c r="B2103" s="10" t="s">
        <v>45</v>
      </c>
      <c r="C2103" s="35" t="str">
        <f t="shared" si="26"/>
        <v/>
      </c>
      <c r="D2103" s="36"/>
      <c r="E2103" s="37"/>
      <c r="F2103" s="7"/>
      <c r="G2103" s="65"/>
      <c r="H2103" s="9"/>
    </row>
    <row r="2104" spans="2:8" ht="15.75" hidden="1" customHeight="1" thickBot="1" x14ac:dyDescent="0.3">
      <c r="B2104" s="10" t="s">
        <v>45</v>
      </c>
      <c r="C2104" s="35" t="str">
        <f t="shared" si="26"/>
        <v/>
      </c>
      <c r="D2104" s="36"/>
      <c r="E2104" s="37"/>
      <c r="F2104" s="7"/>
      <c r="G2104" s="65"/>
      <c r="H2104" s="9"/>
    </row>
    <row r="2105" spans="2:8" ht="15.75" hidden="1" customHeight="1" thickBot="1" x14ac:dyDescent="0.3">
      <c r="B2105" s="10" t="s">
        <v>45</v>
      </c>
      <c r="C2105" s="35" t="str">
        <f t="shared" si="26"/>
        <v/>
      </c>
      <c r="D2105" s="36"/>
      <c r="E2105" s="37"/>
      <c r="F2105" s="7"/>
      <c r="G2105" s="65"/>
      <c r="H2105" s="9"/>
    </row>
    <row r="2106" spans="2:8" ht="15.75" hidden="1" customHeight="1" thickBot="1" x14ac:dyDescent="0.3">
      <c r="B2106" s="10" t="s">
        <v>45</v>
      </c>
      <c r="C2106" s="35" t="str">
        <f t="shared" si="26"/>
        <v/>
      </c>
      <c r="D2106" s="36"/>
      <c r="E2106" s="37"/>
      <c r="F2106" s="7"/>
      <c r="G2106" s="65"/>
      <c r="H2106" s="9"/>
    </row>
    <row r="2107" spans="2:8" ht="15.75" hidden="1" customHeight="1" thickBot="1" x14ac:dyDescent="0.3">
      <c r="B2107" s="10" t="s">
        <v>45</v>
      </c>
      <c r="C2107" s="35" t="str">
        <f t="shared" si="26"/>
        <v/>
      </c>
      <c r="D2107" s="36"/>
      <c r="E2107" s="37"/>
      <c r="F2107" s="7"/>
      <c r="G2107" s="65"/>
      <c r="H2107" s="9"/>
    </row>
    <row r="2108" spans="2:8" ht="15.75" hidden="1" customHeight="1" thickBot="1" x14ac:dyDescent="0.3">
      <c r="B2108" s="10" t="s">
        <v>45</v>
      </c>
      <c r="C2108" s="35" t="str">
        <f t="shared" si="26"/>
        <v/>
      </c>
      <c r="D2108" s="36"/>
      <c r="E2108" s="37"/>
      <c r="F2108" s="7"/>
      <c r="G2108" s="65"/>
      <c r="H2108" s="9"/>
    </row>
    <row r="2109" spans="2:8" ht="15.75" hidden="1" customHeight="1" thickBot="1" x14ac:dyDescent="0.3">
      <c r="B2109" s="10" t="s">
        <v>45</v>
      </c>
      <c r="C2109" s="35" t="str">
        <f t="shared" si="26"/>
        <v/>
      </c>
      <c r="D2109" s="36"/>
      <c r="E2109" s="37"/>
      <c r="F2109" s="7"/>
      <c r="G2109" s="65"/>
      <c r="H2109" s="9"/>
    </row>
    <row r="2110" spans="2:8" ht="15.75" hidden="1" customHeight="1" thickBot="1" x14ac:dyDescent="0.3">
      <c r="B2110" s="10" t="s">
        <v>45</v>
      </c>
      <c r="C2110" s="35" t="str">
        <f t="shared" si="26"/>
        <v/>
      </c>
      <c r="D2110" s="36"/>
      <c r="E2110" s="37"/>
      <c r="F2110" s="7"/>
      <c r="G2110" s="65"/>
      <c r="H2110" s="9"/>
    </row>
    <row r="2111" spans="2:8" ht="15.75" hidden="1" customHeight="1" thickBot="1" x14ac:dyDescent="0.3">
      <c r="B2111" s="10" t="s">
        <v>45</v>
      </c>
      <c r="C2111" s="35" t="str">
        <f t="shared" si="26"/>
        <v/>
      </c>
      <c r="D2111" s="36"/>
      <c r="E2111" s="37"/>
      <c r="F2111" s="7"/>
      <c r="G2111" s="65"/>
      <c r="H2111" s="9"/>
    </row>
    <row r="2112" spans="2:8" ht="15.75" hidden="1" customHeight="1" thickBot="1" x14ac:dyDescent="0.3">
      <c r="B2112" s="10" t="s">
        <v>45</v>
      </c>
      <c r="C2112" s="35" t="str">
        <f t="shared" si="26"/>
        <v/>
      </c>
      <c r="D2112" s="36"/>
      <c r="E2112" s="37"/>
      <c r="F2112" s="7"/>
      <c r="G2112" s="65"/>
      <c r="H2112" s="9"/>
    </row>
    <row r="2113" spans="2:8" ht="15.75" hidden="1" customHeight="1" thickBot="1" x14ac:dyDescent="0.3">
      <c r="B2113" s="10" t="s">
        <v>45</v>
      </c>
      <c r="C2113" s="35" t="str">
        <f t="shared" si="26"/>
        <v/>
      </c>
      <c r="D2113" s="36"/>
      <c r="E2113" s="37"/>
      <c r="F2113" s="7"/>
      <c r="G2113" s="65"/>
      <c r="H2113" s="9"/>
    </row>
    <row r="2114" spans="2:8" ht="15.75" hidden="1" customHeight="1" thickBot="1" x14ac:dyDescent="0.3">
      <c r="B2114" s="10" t="s">
        <v>45</v>
      </c>
      <c r="C2114" s="35" t="str">
        <f t="shared" si="26"/>
        <v/>
      </c>
      <c r="D2114" s="36"/>
      <c r="E2114" s="37"/>
      <c r="F2114" s="7"/>
      <c r="G2114" s="65"/>
      <c r="H2114" s="9"/>
    </row>
    <row r="2115" spans="2:8" ht="15.75" hidden="1" customHeight="1" thickBot="1" x14ac:dyDescent="0.3">
      <c r="B2115" s="10" t="s">
        <v>45</v>
      </c>
      <c r="C2115" s="35" t="str">
        <f t="shared" si="26"/>
        <v/>
      </c>
      <c r="D2115" s="36"/>
      <c r="E2115" s="37"/>
      <c r="F2115" s="7"/>
      <c r="G2115" s="65"/>
      <c r="H2115" s="9"/>
    </row>
    <row r="2116" spans="2:8" ht="15.75" hidden="1" customHeight="1" thickBot="1" x14ac:dyDescent="0.3">
      <c r="B2116" s="10" t="s">
        <v>45</v>
      </c>
      <c r="C2116" s="35" t="str">
        <f t="shared" ref="C2116:C2179" si="27">IF(E2116="","",IF(ISERROR(VLOOKUP(E2116,rTimeZoneTable,8,0)),"Update Contacts",VLOOKUP(E2116,rTimeZoneTable,8,0)))</f>
        <v/>
      </c>
      <c r="D2116" s="36"/>
      <c r="E2116" s="37"/>
      <c r="F2116" s="7"/>
      <c r="G2116" s="65"/>
      <c r="H2116" s="9"/>
    </row>
    <row r="2117" spans="2:8" ht="15.75" hidden="1" customHeight="1" thickBot="1" x14ac:dyDescent="0.3">
      <c r="B2117" s="10" t="s">
        <v>45</v>
      </c>
      <c r="C2117" s="35" t="str">
        <f t="shared" si="27"/>
        <v/>
      </c>
      <c r="D2117" s="36"/>
      <c r="E2117" s="37"/>
      <c r="F2117" s="7"/>
      <c r="G2117" s="65"/>
      <c r="H2117" s="9"/>
    </row>
    <row r="2118" spans="2:8" ht="15.75" hidden="1" customHeight="1" thickBot="1" x14ac:dyDescent="0.3">
      <c r="B2118" s="10" t="s">
        <v>45</v>
      </c>
      <c r="C2118" s="35" t="str">
        <f t="shared" si="27"/>
        <v/>
      </c>
      <c r="D2118" s="36"/>
      <c r="E2118" s="37"/>
      <c r="F2118" s="7"/>
      <c r="G2118" s="65"/>
      <c r="H2118" s="9"/>
    </row>
    <row r="2119" spans="2:8" ht="15.75" hidden="1" customHeight="1" thickBot="1" x14ac:dyDescent="0.3">
      <c r="B2119" s="10" t="s">
        <v>45</v>
      </c>
      <c r="C2119" s="35" t="str">
        <f t="shared" si="27"/>
        <v/>
      </c>
      <c r="D2119" s="36"/>
      <c r="E2119" s="37"/>
      <c r="F2119" s="7"/>
      <c r="G2119" s="65"/>
      <c r="H2119" s="9"/>
    </row>
    <row r="2120" spans="2:8" ht="15.75" hidden="1" customHeight="1" thickBot="1" x14ac:dyDescent="0.3">
      <c r="B2120" s="10" t="s">
        <v>45</v>
      </c>
      <c r="C2120" s="35" t="str">
        <f t="shared" si="27"/>
        <v/>
      </c>
      <c r="D2120" s="36"/>
      <c r="E2120" s="37"/>
      <c r="F2120" s="7"/>
      <c r="G2120" s="65"/>
      <c r="H2120" s="9"/>
    </row>
    <row r="2121" spans="2:8" ht="15.75" hidden="1" customHeight="1" thickBot="1" x14ac:dyDescent="0.3">
      <c r="B2121" s="10" t="s">
        <v>45</v>
      </c>
      <c r="C2121" s="35" t="str">
        <f t="shared" si="27"/>
        <v/>
      </c>
      <c r="D2121" s="36"/>
      <c r="E2121" s="37"/>
      <c r="F2121" s="7"/>
      <c r="G2121" s="65"/>
      <c r="H2121" s="9"/>
    </row>
    <row r="2122" spans="2:8" ht="15.75" hidden="1" customHeight="1" thickBot="1" x14ac:dyDescent="0.3">
      <c r="B2122" s="10" t="s">
        <v>45</v>
      </c>
      <c r="C2122" s="35" t="str">
        <f t="shared" si="27"/>
        <v/>
      </c>
      <c r="D2122" s="36"/>
      <c r="E2122" s="37"/>
      <c r="F2122" s="7"/>
      <c r="G2122" s="65"/>
      <c r="H2122" s="9"/>
    </row>
    <row r="2123" spans="2:8" ht="15.75" hidden="1" customHeight="1" thickBot="1" x14ac:dyDescent="0.3">
      <c r="B2123" s="10" t="s">
        <v>45</v>
      </c>
      <c r="C2123" s="35" t="str">
        <f t="shared" si="27"/>
        <v/>
      </c>
      <c r="D2123" s="36"/>
      <c r="E2123" s="37"/>
      <c r="F2123" s="7"/>
      <c r="G2123" s="65"/>
      <c r="H2123" s="9"/>
    </row>
    <row r="2124" spans="2:8" ht="15.75" hidden="1" customHeight="1" thickBot="1" x14ac:dyDescent="0.3">
      <c r="B2124" s="10" t="s">
        <v>45</v>
      </c>
      <c r="C2124" s="35" t="str">
        <f t="shared" si="27"/>
        <v/>
      </c>
      <c r="D2124" s="36"/>
      <c r="E2124" s="37"/>
      <c r="F2124" s="7"/>
      <c r="G2124" s="65"/>
      <c r="H2124" s="9"/>
    </row>
    <row r="2125" spans="2:8" ht="15.75" hidden="1" customHeight="1" thickBot="1" x14ac:dyDescent="0.3">
      <c r="B2125" s="10" t="s">
        <v>45</v>
      </c>
      <c r="C2125" s="35" t="str">
        <f t="shared" si="27"/>
        <v/>
      </c>
      <c r="D2125" s="36"/>
      <c r="E2125" s="37"/>
      <c r="F2125" s="7"/>
      <c r="G2125" s="65"/>
      <c r="H2125" s="9"/>
    </row>
    <row r="2126" spans="2:8" ht="15.75" hidden="1" customHeight="1" thickBot="1" x14ac:dyDescent="0.3">
      <c r="B2126" s="10" t="s">
        <v>45</v>
      </c>
      <c r="C2126" s="35" t="str">
        <f t="shared" si="27"/>
        <v/>
      </c>
      <c r="D2126" s="36"/>
      <c r="E2126" s="37"/>
      <c r="F2126" s="7"/>
      <c r="G2126" s="65"/>
      <c r="H2126" s="9"/>
    </row>
    <row r="2127" spans="2:8" ht="15.75" hidden="1" customHeight="1" thickBot="1" x14ac:dyDescent="0.3">
      <c r="B2127" s="10" t="s">
        <v>45</v>
      </c>
      <c r="C2127" s="35" t="str">
        <f t="shared" si="27"/>
        <v/>
      </c>
      <c r="D2127" s="36"/>
      <c r="E2127" s="37"/>
      <c r="F2127" s="7"/>
      <c r="G2127" s="65"/>
      <c r="H2127" s="9"/>
    </row>
    <row r="2128" spans="2:8" ht="15.75" hidden="1" customHeight="1" thickBot="1" x14ac:dyDescent="0.3">
      <c r="B2128" s="10" t="s">
        <v>45</v>
      </c>
      <c r="C2128" s="35" t="str">
        <f t="shared" si="27"/>
        <v/>
      </c>
      <c r="D2128" s="36"/>
      <c r="E2128" s="37"/>
      <c r="F2128" s="7"/>
      <c r="G2128" s="65"/>
      <c r="H2128" s="9"/>
    </row>
    <row r="2129" spans="2:8" ht="15.75" hidden="1" customHeight="1" thickBot="1" x14ac:dyDescent="0.3">
      <c r="B2129" s="10" t="s">
        <v>45</v>
      </c>
      <c r="C2129" s="35" t="str">
        <f t="shared" si="27"/>
        <v/>
      </c>
      <c r="D2129" s="36"/>
      <c r="E2129" s="37"/>
      <c r="F2129" s="7"/>
      <c r="G2129" s="65"/>
      <c r="H2129" s="9"/>
    </row>
    <row r="2130" spans="2:8" ht="15.75" hidden="1" customHeight="1" thickBot="1" x14ac:dyDescent="0.3">
      <c r="B2130" s="10" t="s">
        <v>45</v>
      </c>
      <c r="C2130" s="35" t="str">
        <f t="shared" si="27"/>
        <v/>
      </c>
      <c r="D2130" s="36"/>
      <c r="E2130" s="37"/>
      <c r="F2130" s="7"/>
      <c r="G2130" s="65"/>
      <c r="H2130" s="9"/>
    </row>
    <row r="2131" spans="2:8" ht="15.75" hidden="1" customHeight="1" thickBot="1" x14ac:dyDescent="0.3">
      <c r="B2131" s="10" t="s">
        <v>45</v>
      </c>
      <c r="C2131" s="35" t="str">
        <f t="shared" si="27"/>
        <v/>
      </c>
      <c r="D2131" s="36"/>
      <c r="E2131" s="37"/>
      <c r="F2131" s="7"/>
      <c r="G2131" s="65"/>
      <c r="H2131" s="9"/>
    </row>
    <row r="2132" spans="2:8" ht="15.75" hidden="1" customHeight="1" thickBot="1" x14ac:dyDescent="0.3">
      <c r="B2132" s="10" t="s">
        <v>45</v>
      </c>
      <c r="C2132" s="35" t="str">
        <f t="shared" si="27"/>
        <v/>
      </c>
      <c r="D2132" s="36"/>
      <c r="E2132" s="37"/>
      <c r="F2132" s="7"/>
      <c r="G2132" s="65"/>
      <c r="H2132" s="9"/>
    </row>
    <row r="2133" spans="2:8" ht="15.75" hidden="1" customHeight="1" thickBot="1" x14ac:dyDescent="0.3">
      <c r="B2133" s="10" t="s">
        <v>45</v>
      </c>
      <c r="C2133" s="35" t="str">
        <f t="shared" si="27"/>
        <v/>
      </c>
      <c r="D2133" s="36"/>
      <c r="E2133" s="37"/>
      <c r="F2133" s="7"/>
      <c r="G2133" s="65"/>
      <c r="H2133" s="9"/>
    </row>
    <row r="2134" spans="2:8" ht="15.75" hidden="1" customHeight="1" thickBot="1" x14ac:dyDescent="0.3">
      <c r="B2134" s="10" t="s">
        <v>45</v>
      </c>
      <c r="C2134" s="35" t="str">
        <f t="shared" si="27"/>
        <v/>
      </c>
      <c r="D2134" s="36"/>
      <c r="E2134" s="37"/>
      <c r="F2134" s="7"/>
      <c r="G2134" s="65"/>
      <c r="H2134" s="9"/>
    </row>
    <row r="2135" spans="2:8" ht="15.75" hidden="1" customHeight="1" thickBot="1" x14ac:dyDescent="0.3">
      <c r="B2135" s="10" t="s">
        <v>45</v>
      </c>
      <c r="C2135" s="35" t="str">
        <f t="shared" si="27"/>
        <v/>
      </c>
      <c r="D2135" s="36"/>
      <c r="E2135" s="37"/>
      <c r="F2135" s="7"/>
      <c r="G2135" s="65"/>
      <c r="H2135" s="9"/>
    </row>
    <row r="2136" spans="2:8" ht="15.75" hidden="1" customHeight="1" thickBot="1" x14ac:dyDescent="0.3">
      <c r="B2136" s="10" t="s">
        <v>45</v>
      </c>
      <c r="C2136" s="35" t="str">
        <f t="shared" si="27"/>
        <v/>
      </c>
      <c r="D2136" s="36"/>
      <c r="E2136" s="37"/>
      <c r="F2136" s="7"/>
      <c r="G2136" s="65"/>
      <c r="H2136" s="9"/>
    </row>
    <row r="2137" spans="2:8" ht="15.75" hidden="1" customHeight="1" thickBot="1" x14ac:dyDescent="0.3">
      <c r="B2137" s="10" t="s">
        <v>45</v>
      </c>
      <c r="C2137" s="35" t="str">
        <f t="shared" si="27"/>
        <v/>
      </c>
      <c r="D2137" s="36"/>
      <c r="E2137" s="37"/>
      <c r="F2137" s="7"/>
      <c r="G2137" s="65"/>
      <c r="H2137" s="9"/>
    </row>
    <row r="2138" spans="2:8" ht="15.75" hidden="1" customHeight="1" thickBot="1" x14ac:dyDescent="0.3">
      <c r="B2138" s="10" t="s">
        <v>45</v>
      </c>
      <c r="C2138" s="35" t="str">
        <f t="shared" si="27"/>
        <v/>
      </c>
      <c r="D2138" s="36"/>
      <c r="E2138" s="37"/>
      <c r="F2138" s="7"/>
      <c r="G2138" s="65"/>
      <c r="H2138" s="9"/>
    </row>
    <row r="2139" spans="2:8" ht="15.75" hidden="1" customHeight="1" thickBot="1" x14ac:dyDescent="0.3">
      <c r="B2139" s="10" t="s">
        <v>45</v>
      </c>
      <c r="C2139" s="35" t="str">
        <f t="shared" si="27"/>
        <v/>
      </c>
      <c r="D2139" s="36"/>
      <c r="E2139" s="37"/>
      <c r="F2139" s="7"/>
      <c r="G2139" s="65"/>
      <c r="H2139" s="9"/>
    </row>
    <row r="2140" spans="2:8" ht="15.75" hidden="1" customHeight="1" thickBot="1" x14ac:dyDescent="0.3">
      <c r="B2140" s="10" t="s">
        <v>45</v>
      </c>
      <c r="C2140" s="35" t="str">
        <f t="shared" si="27"/>
        <v/>
      </c>
      <c r="D2140" s="36"/>
      <c r="E2140" s="37"/>
      <c r="F2140" s="7"/>
      <c r="G2140" s="65"/>
      <c r="H2140" s="9"/>
    </row>
    <row r="2141" spans="2:8" ht="15.75" hidden="1" customHeight="1" thickBot="1" x14ac:dyDescent="0.3">
      <c r="B2141" s="10" t="s">
        <v>45</v>
      </c>
      <c r="C2141" s="35" t="str">
        <f t="shared" si="27"/>
        <v/>
      </c>
      <c r="D2141" s="36"/>
      <c r="E2141" s="37"/>
      <c r="F2141" s="7"/>
      <c r="G2141" s="65"/>
      <c r="H2141" s="9"/>
    </row>
    <row r="2142" spans="2:8" ht="15.75" hidden="1" customHeight="1" thickBot="1" x14ac:dyDescent="0.3">
      <c r="B2142" s="10" t="s">
        <v>45</v>
      </c>
      <c r="C2142" s="35" t="str">
        <f t="shared" si="27"/>
        <v/>
      </c>
      <c r="D2142" s="36"/>
      <c r="E2142" s="37"/>
      <c r="F2142" s="7"/>
      <c r="G2142" s="65"/>
      <c r="H2142" s="9"/>
    </row>
    <row r="2143" spans="2:8" ht="15.75" hidden="1" customHeight="1" thickBot="1" x14ac:dyDescent="0.3">
      <c r="B2143" s="10" t="s">
        <v>45</v>
      </c>
      <c r="C2143" s="35" t="str">
        <f t="shared" si="27"/>
        <v/>
      </c>
      <c r="D2143" s="36"/>
      <c r="E2143" s="37"/>
      <c r="F2143" s="7"/>
      <c r="G2143" s="65"/>
      <c r="H2143" s="9"/>
    </row>
    <row r="2144" spans="2:8" ht="15.75" hidden="1" customHeight="1" thickBot="1" x14ac:dyDescent="0.3">
      <c r="B2144" s="10" t="s">
        <v>45</v>
      </c>
      <c r="C2144" s="35" t="str">
        <f t="shared" si="27"/>
        <v/>
      </c>
      <c r="D2144" s="36"/>
      <c r="E2144" s="37"/>
      <c r="F2144" s="7"/>
      <c r="G2144" s="65"/>
      <c r="H2144" s="9"/>
    </row>
    <row r="2145" spans="2:8" ht="15.75" hidden="1" customHeight="1" thickBot="1" x14ac:dyDescent="0.3">
      <c r="B2145" s="10" t="s">
        <v>45</v>
      </c>
      <c r="C2145" s="35" t="str">
        <f t="shared" si="27"/>
        <v/>
      </c>
      <c r="D2145" s="36"/>
      <c r="E2145" s="37"/>
      <c r="F2145" s="7"/>
      <c r="G2145" s="65"/>
      <c r="H2145" s="9"/>
    </row>
    <row r="2146" spans="2:8" ht="15.75" hidden="1" customHeight="1" thickBot="1" x14ac:dyDescent="0.3">
      <c r="B2146" s="10" t="s">
        <v>45</v>
      </c>
      <c r="C2146" s="35" t="str">
        <f t="shared" si="27"/>
        <v/>
      </c>
      <c r="D2146" s="36"/>
      <c r="E2146" s="37"/>
      <c r="F2146" s="7"/>
      <c r="G2146" s="65"/>
      <c r="H2146" s="9"/>
    </row>
    <row r="2147" spans="2:8" ht="15.75" hidden="1" customHeight="1" thickBot="1" x14ac:dyDescent="0.3">
      <c r="B2147" s="10" t="s">
        <v>45</v>
      </c>
      <c r="C2147" s="35" t="str">
        <f t="shared" si="27"/>
        <v/>
      </c>
      <c r="D2147" s="36"/>
      <c r="E2147" s="37"/>
      <c r="F2147" s="7"/>
      <c r="G2147" s="65"/>
      <c r="H2147" s="9"/>
    </row>
    <row r="2148" spans="2:8" ht="15.75" hidden="1" customHeight="1" thickBot="1" x14ac:dyDescent="0.3">
      <c r="B2148" s="10" t="s">
        <v>45</v>
      </c>
      <c r="C2148" s="35" t="str">
        <f t="shared" si="27"/>
        <v/>
      </c>
      <c r="D2148" s="36"/>
      <c r="E2148" s="37"/>
      <c r="F2148" s="7"/>
      <c r="G2148" s="65"/>
      <c r="H2148" s="9"/>
    </row>
    <row r="2149" spans="2:8" ht="15.75" hidden="1" customHeight="1" thickBot="1" x14ac:dyDescent="0.3">
      <c r="B2149" s="10" t="s">
        <v>45</v>
      </c>
      <c r="C2149" s="35" t="str">
        <f t="shared" si="27"/>
        <v/>
      </c>
      <c r="D2149" s="36"/>
      <c r="E2149" s="37"/>
      <c r="F2149" s="7"/>
      <c r="G2149" s="65"/>
      <c r="H2149" s="9"/>
    </row>
    <row r="2150" spans="2:8" ht="15.75" hidden="1" customHeight="1" thickBot="1" x14ac:dyDescent="0.3">
      <c r="B2150" s="10" t="s">
        <v>45</v>
      </c>
      <c r="C2150" s="35" t="str">
        <f t="shared" si="27"/>
        <v/>
      </c>
      <c r="D2150" s="36"/>
      <c r="E2150" s="37"/>
      <c r="F2150" s="7"/>
      <c r="G2150" s="65"/>
      <c r="H2150" s="9"/>
    </row>
    <row r="2151" spans="2:8" ht="15.75" hidden="1" customHeight="1" thickBot="1" x14ac:dyDescent="0.3">
      <c r="B2151" s="10" t="s">
        <v>45</v>
      </c>
      <c r="C2151" s="35" t="str">
        <f t="shared" si="27"/>
        <v/>
      </c>
      <c r="D2151" s="36"/>
      <c r="E2151" s="37"/>
      <c r="F2151" s="7"/>
      <c r="G2151" s="65"/>
      <c r="H2151" s="9"/>
    </row>
    <row r="2152" spans="2:8" ht="15.75" hidden="1" customHeight="1" thickBot="1" x14ac:dyDescent="0.3">
      <c r="B2152" s="10" t="s">
        <v>45</v>
      </c>
      <c r="C2152" s="35" t="str">
        <f t="shared" si="27"/>
        <v/>
      </c>
      <c r="D2152" s="36"/>
      <c r="E2152" s="37"/>
      <c r="F2152" s="7"/>
      <c r="G2152" s="65"/>
      <c r="H2152" s="9"/>
    </row>
    <row r="2153" spans="2:8" ht="15.75" hidden="1" customHeight="1" thickBot="1" x14ac:dyDescent="0.3">
      <c r="B2153" s="10" t="s">
        <v>45</v>
      </c>
      <c r="C2153" s="35" t="str">
        <f t="shared" si="27"/>
        <v/>
      </c>
      <c r="D2153" s="36"/>
      <c r="E2153" s="37"/>
      <c r="F2153" s="7"/>
      <c r="G2153" s="65"/>
      <c r="H2153" s="9"/>
    </row>
    <row r="2154" spans="2:8" ht="15.75" hidden="1" customHeight="1" thickBot="1" x14ac:dyDescent="0.3">
      <c r="B2154" s="10" t="s">
        <v>45</v>
      </c>
      <c r="C2154" s="35" t="str">
        <f t="shared" si="27"/>
        <v/>
      </c>
      <c r="D2154" s="36"/>
      <c r="E2154" s="37"/>
      <c r="F2154" s="7"/>
      <c r="G2154" s="65"/>
      <c r="H2154" s="9"/>
    </row>
    <row r="2155" spans="2:8" ht="15.75" hidden="1" customHeight="1" thickBot="1" x14ac:dyDescent="0.3">
      <c r="B2155" s="10" t="s">
        <v>45</v>
      </c>
      <c r="C2155" s="35" t="str">
        <f t="shared" si="27"/>
        <v/>
      </c>
      <c r="D2155" s="36"/>
      <c r="E2155" s="37"/>
      <c r="F2155" s="7"/>
      <c r="G2155" s="65"/>
      <c r="H2155" s="9"/>
    </row>
    <row r="2156" spans="2:8" ht="15.75" hidden="1" customHeight="1" thickBot="1" x14ac:dyDescent="0.3">
      <c r="B2156" s="10" t="s">
        <v>45</v>
      </c>
      <c r="C2156" s="35" t="str">
        <f t="shared" si="27"/>
        <v/>
      </c>
      <c r="D2156" s="36"/>
      <c r="E2156" s="37"/>
      <c r="F2156" s="7"/>
      <c r="G2156" s="65"/>
      <c r="H2156" s="9"/>
    </row>
    <row r="2157" spans="2:8" ht="15.75" hidden="1" customHeight="1" thickBot="1" x14ac:dyDescent="0.3">
      <c r="B2157" s="10" t="s">
        <v>45</v>
      </c>
      <c r="C2157" s="35" t="str">
        <f t="shared" si="27"/>
        <v/>
      </c>
      <c r="D2157" s="36"/>
      <c r="E2157" s="37"/>
      <c r="F2157" s="7"/>
      <c r="G2157" s="65"/>
      <c r="H2157" s="9"/>
    </row>
    <row r="2158" spans="2:8" ht="15.75" hidden="1" customHeight="1" thickBot="1" x14ac:dyDescent="0.3">
      <c r="B2158" s="10" t="s">
        <v>45</v>
      </c>
      <c r="C2158" s="35" t="str">
        <f t="shared" si="27"/>
        <v/>
      </c>
      <c r="D2158" s="36"/>
      <c r="E2158" s="37"/>
      <c r="F2158" s="7"/>
      <c r="G2158" s="65"/>
      <c r="H2158" s="9"/>
    </row>
    <row r="2159" spans="2:8" ht="15.75" hidden="1" customHeight="1" thickBot="1" x14ac:dyDescent="0.3">
      <c r="B2159" s="10" t="s">
        <v>45</v>
      </c>
      <c r="C2159" s="35" t="str">
        <f t="shared" si="27"/>
        <v/>
      </c>
      <c r="D2159" s="36"/>
      <c r="E2159" s="37"/>
      <c r="F2159" s="7"/>
      <c r="G2159" s="65"/>
      <c r="H2159" s="9"/>
    </row>
    <row r="2160" spans="2:8" ht="15.75" hidden="1" customHeight="1" thickBot="1" x14ac:dyDescent="0.3">
      <c r="B2160" s="10" t="s">
        <v>45</v>
      </c>
      <c r="C2160" s="35" t="str">
        <f t="shared" si="27"/>
        <v/>
      </c>
      <c r="D2160" s="36"/>
      <c r="E2160" s="37"/>
      <c r="F2160" s="7"/>
      <c r="G2160" s="65"/>
      <c r="H2160" s="9"/>
    </row>
    <row r="2161" spans="2:8" ht="15.75" hidden="1" customHeight="1" thickBot="1" x14ac:dyDescent="0.3">
      <c r="B2161" s="10" t="s">
        <v>45</v>
      </c>
      <c r="C2161" s="35" t="str">
        <f t="shared" si="27"/>
        <v/>
      </c>
      <c r="D2161" s="36"/>
      <c r="E2161" s="37"/>
      <c r="F2161" s="7"/>
      <c r="G2161" s="65"/>
      <c r="H2161" s="9"/>
    </row>
    <row r="2162" spans="2:8" ht="15.75" hidden="1" customHeight="1" thickBot="1" x14ac:dyDescent="0.3">
      <c r="B2162" s="10" t="s">
        <v>45</v>
      </c>
      <c r="C2162" s="35" t="str">
        <f t="shared" si="27"/>
        <v/>
      </c>
      <c r="D2162" s="36"/>
      <c r="E2162" s="37"/>
      <c r="F2162" s="7"/>
      <c r="G2162" s="65"/>
      <c r="H2162" s="9"/>
    </row>
    <row r="2163" spans="2:8" ht="15.75" hidden="1" customHeight="1" thickBot="1" x14ac:dyDescent="0.3">
      <c r="B2163" s="10" t="s">
        <v>45</v>
      </c>
      <c r="C2163" s="35" t="str">
        <f t="shared" si="27"/>
        <v/>
      </c>
      <c r="D2163" s="36"/>
      <c r="E2163" s="37"/>
      <c r="F2163" s="7"/>
      <c r="G2163" s="65"/>
      <c r="H2163" s="9"/>
    </row>
    <row r="2164" spans="2:8" ht="15.75" hidden="1" customHeight="1" thickBot="1" x14ac:dyDescent="0.3">
      <c r="B2164" s="10" t="s">
        <v>45</v>
      </c>
      <c r="C2164" s="35" t="str">
        <f t="shared" si="27"/>
        <v/>
      </c>
      <c r="D2164" s="36"/>
      <c r="E2164" s="37"/>
      <c r="F2164" s="7"/>
      <c r="G2164" s="65"/>
      <c r="H2164" s="9"/>
    </row>
    <row r="2165" spans="2:8" ht="15.75" hidden="1" customHeight="1" thickBot="1" x14ac:dyDescent="0.3">
      <c r="B2165" s="10" t="s">
        <v>45</v>
      </c>
      <c r="C2165" s="35" t="str">
        <f t="shared" si="27"/>
        <v/>
      </c>
      <c r="D2165" s="36"/>
      <c r="E2165" s="37"/>
      <c r="F2165" s="7"/>
      <c r="G2165" s="65"/>
      <c r="H2165" s="9"/>
    </row>
    <row r="2166" spans="2:8" ht="15.75" hidden="1" customHeight="1" thickBot="1" x14ac:dyDescent="0.3">
      <c r="B2166" s="10" t="s">
        <v>45</v>
      </c>
      <c r="C2166" s="35" t="str">
        <f t="shared" si="27"/>
        <v/>
      </c>
      <c r="D2166" s="36"/>
      <c r="E2166" s="37"/>
      <c r="F2166" s="7"/>
      <c r="G2166" s="65"/>
      <c r="H2166" s="9"/>
    </row>
    <row r="2167" spans="2:8" ht="15.75" hidden="1" customHeight="1" thickBot="1" x14ac:dyDescent="0.3">
      <c r="B2167" s="10" t="s">
        <v>45</v>
      </c>
      <c r="C2167" s="35" t="str">
        <f t="shared" si="27"/>
        <v/>
      </c>
      <c r="D2167" s="36"/>
      <c r="E2167" s="37"/>
      <c r="F2167" s="7"/>
      <c r="G2167" s="65"/>
      <c r="H2167" s="9"/>
    </row>
    <row r="2168" spans="2:8" ht="15.75" hidden="1" customHeight="1" thickBot="1" x14ac:dyDescent="0.3">
      <c r="B2168" s="10" t="s">
        <v>45</v>
      </c>
      <c r="C2168" s="35" t="str">
        <f t="shared" si="27"/>
        <v/>
      </c>
      <c r="D2168" s="36"/>
      <c r="E2168" s="37"/>
      <c r="F2168" s="7"/>
      <c r="G2168" s="65"/>
      <c r="H2168" s="9"/>
    </row>
    <row r="2169" spans="2:8" ht="15.75" hidden="1" customHeight="1" thickBot="1" x14ac:dyDescent="0.3">
      <c r="B2169" s="10" t="s">
        <v>45</v>
      </c>
      <c r="C2169" s="35" t="str">
        <f t="shared" si="27"/>
        <v/>
      </c>
      <c r="D2169" s="36"/>
      <c r="E2169" s="37"/>
      <c r="F2169" s="7"/>
      <c r="G2169" s="65"/>
      <c r="H2169" s="9"/>
    </row>
    <row r="2170" spans="2:8" ht="15.75" hidden="1" customHeight="1" thickBot="1" x14ac:dyDescent="0.3">
      <c r="B2170" s="10" t="s">
        <v>45</v>
      </c>
      <c r="C2170" s="35" t="str">
        <f t="shared" si="27"/>
        <v/>
      </c>
      <c r="D2170" s="36"/>
      <c r="E2170" s="37"/>
      <c r="F2170" s="7"/>
      <c r="G2170" s="65"/>
      <c r="H2170" s="9"/>
    </row>
    <row r="2171" spans="2:8" ht="15.75" hidden="1" customHeight="1" thickBot="1" x14ac:dyDescent="0.3">
      <c r="B2171" s="10" t="s">
        <v>45</v>
      </c>
      <c r="C2171" s="35" t="str">
        <f t="shared" si="27"/>
        <v/>
      </c>
      <c r="D2171" s="36"/>
      <c r="E2171" s="37"/>
      <c r="F2171" s="7"/>
      <c r="G2171" s="65"/>
      <c r="H2171" s="9"/>
    </row>
    <row r="2172" spans="2:8" ht="15.75" hidden="1" customHeight="1" thickBot="1" x14ac:dyDescent="0.3">
      <c r="B2172" s="10" t="s">
        <v>45</v>
      </c>
      <c r="C2172" s="35" t="str">
        <f t="shared" si="27"/>
        <v/>
      </c>
      <c r="D2172" s="36"/>
      <c r="E2172" s="37"/>
      <c r="F2172" s="7"/>
      <c r="G2172" s="65"/>
      <c r="H2172" s="9"/>
    </row>
    <row r="2173" spans="2:8" ht="15.75" hidden="1" customHeight="1" thickBot="1" x14ac:dyDescent="0.3">
      <c r="B2173" s="10" t="s">
        <v>45</v>
      </c>
      <c r="C2173" s="35" t="str">
        <f t="shared" si="27"/>
        <v/>
      </c>
      <c r="D2173" s="36"/>
      <c r="E2173" s="37"/>
      <c r="F2173" s="7"/>
      <c r="G2173" s="65"/>
      <c r="H2173" s="9"/>
    </row>
    <row r="2174" spans="2:8" ht="15.75" hidden="1" customHeight="1" thickBot="1" x14ac:dyDescent="0.3">
      <c r="B2174" s="10" t="s">
        <v>45</v>
      </c>
      <c r="C2174" s="35" t="str">
        <f t="shared" si="27"/>
        <v/>
      </c>
      <c r="D2174" s="36"/>
      <c r="E2174" s="37"/>
      <c r="F2174" s="7"/>
      <c r="G2174" s="65"/>
      <c r="H2174" s="9"/>
    </row>
    <row r="2175" spans="2:8" ht="15.75" hidden="1" customHeight="1" thickBot="1" x14ac:dyDescent="0.3">
      <c r="B2175" s="10" t="s">
        <v>45</v>
      </c>
      <c r="C2175" s="35" t="str">
        <f t="shared" si="27"/>
        <v/>
      </c>
      <c r="D2175" s="36"/>
      <c r="E2175" s="37"/>
      <c r="F2175" s="7"/>
      <c r="G2175" s="65"/>
      <c r="H2175" s="9"/>
    </row>
    <row r="2176" spans="2:8" ht="15.75" hidden="1" customHeight="1" thickBot="1" x14ac:dyDescent="0.3">
      <c r="B2176" s="10" t="s">
        <v>45</v>
      </c>
      <c r="C2176" s="35" t="str">
        <f t="shared" si="27"/>
        <v/>
      </c>
      <c r="D2176" s="36"/>
      <c r="E2176" s="37"/>
      <c r="F2176" s="7"/>
      <c r="G2176" s="65"/>
      <c r="H2176" s="9"/>
    </row>
    <row r="2177" spans="2:8" ht="15.75" hidden="1" customHeight="1" thickBot="1" x14ac:dyDescent="0.3">
      <c r="B2177" s="10" t="s">
        <v>45</v>
      </c>
      <c r="C2177" s="35" t="str">
        <f t="shared" si="27"/>
        <v/>
      </c>
      <c r="D2177" s="36"/>
      <c r="E2177" s="37"/>
      <c r="F2177" s="7"/>
      <c r="G2177" s="65"/>
      <c r="H2177" s="9"/>
    </row>
    <row r="2178" spans="2:8" ht="15.75" hidden="1" customHeight="1" thickBot="1" x14ac:dyDescent="0.3">
      <c r="B2178" s="10" t="s">
        <v>45</v>
      </c>
      <c r="C2178" s="35" t="str">
        <f t="shared" si="27"/>
        <v/>
      </c>
      <c r="D2178" s="36"/>
      <c r="E2178" s="37"/>
      <c r="F2178" s="7"/>
      <c r="G2178" s="65"/>
      <c r="H2178" s="9"/>
    </row>
    <row r="2179" spans="2:8" ht="15.75" hidden="1" customHeight="1" thickBot="1" x14ac:dyDescent="0.3">
      <c r="B2179" s="10" t="s">
        <v>45</v>
      </c>
      <c r="C2179" s="35" t="str">
        <f t="shared" si="27"/>
        <v/>
      </c>
      <c r="D2179" s="36"/>
      <c r="E2179" s="37"/>
      <c r="F2179" s="7"/>
      <c r="G2179" s="65"/>
      <c r="H2179" s="9"/>
    </row>
    <row r="2180" spans="2:8" ht="15.75" hidden="1" customHeight="1" thickBot="1" x14ac:dyDescent="0.3">
      <c r="B2180" s="10" t="s">
        <v>45</v>
      </c>
      <c r="C2180" s="35" t="str">
        <f t="shared" ref="C2180:C2243" si="28">IF(E2180="","",IF(ISERROR(VLOOKUP(E2180,rTimeZoneTable,8,0)),"Update Contacts",VLOOKUP(E2180,rTimeZoneTable,8,0)))</f>
        <v/>
      </c>
      <c r="D2180" s="36"/>
      <c r="E2180" s="37"/>
      <c r="F2180" s="7"/>
      <c r="G2180" s="65"/>
      <c r="H2180" s="9"/>
    </row>
    <row r="2181" spans="2:8" ht="15.75" hidden="1" customHeight="1" thickBot="1" x14ac:dyDescent="0.3">
      <c r="B2181" s="10" t="s">
        <v>45</v>
      </c>
      <c r="C2181" s="35" t="str">
        <f t="shared" si="28"/>
        <v/>
      </c>
      <c r="D2181" s="36"/>
      <c r="E2181" s="37"/>
      <c r="F2181" s="7"/>
      <c r="G2181" s="65"/>
      <c r="H2181" s="9"/>
    </row>
    <row r="2182" spans="2:8" ht="15.75" hidden="1" customHeight="1" thickBot="1" x14ac:dyDescent="0.3">
      <c r="B2182" s="10" t="s">
        <v>45</v>
      </c>
      <c r="C2182" s="35" t="str">
        <f t="shared" si="28"/>
        <v/>
      </c>
      <c r="D2182" s="36"/>
      <c r="E2182" s="37"/>
      <c r="F2182" s="7"/>
      <c r="G2182" s="65"/>
      <c r="H2182" s="9"/>
    </row>
    <row r="2183" spans="2:8" ht="15.75" hidden="1" customHeight="1" thickBot="1" x14ac:dyDescent="0.3">
      <c r="B2183" s="10" t="s">
        <v>45</v>
      </c>
      <c r="C2183" s="35" t="str">
        <f t="shared" si="28"/>
        <v/>
      </c>
      <c r="D2183" s="36"/>
      <c r="E2183" s="37"/>
      <c r="F2183" s="7"/>
      <c r="G2183" s="65"/>
      <c r="H2183" s="9"/>
    </row>
    <row r="2184" spans="2:8" ht="15.75" hidden="1" customHeight="1" thickBot="1" x14ac:dyDescent="0.3">
      <c r="B2184" s="10" t="s">
        <v>45</v>
      </c>
      <c r="C2184" s="35" t="str">
        <f t="shared" si="28"/>
        <v/>
      </c>
      <c r="D2184" s="36"/>
      <c r="E2184" s="37"/>
      <c r="F2184" s="7"/>
      <c r="G2184" s="65"/>
      <c r="H2184" s="9"/>
    </row>
    <row r="2185" spans="2:8" ht="15.75" hidden="1" customHeight="1" thickBot="1" x14ac:dyDescent="0.3">
      <c r="B2185" s="10" t="s">
        <v>45</v>
      </c>
      <c r="C2185" s="35" t="str">
        <f t="shared" si="28"/>
        <v/>
      </c>
      <c r="D2185" s="36"/>
      <c r="E2185" s="37"/>
      <c r="F2185" s="7"/>
      <c r="G2185" s="65"/>
      <c r="H2185" s="9"/>
    </row>
    <row r="2186" spans="2:8" ht="15.75" hidden="1" customHeight="1" thickBot="1" x14ac:dyDescent="0.3">
      <c r="B2186" s="10" t="s">
        <v>45</v>
      </c>
      <c r="C2186" s="35" t="str">
        <f t="shared" si="28"/>
        <v/>
      </c>
      <c r="D2186" s="36"/>
      <c r="E2186" s="37"/>
      <c r="F2186" s="7"/>
      <c r="G2186" s="65"/>
      <c r="H2186" s="9"/>
    </row>
    <row r="2187" spans="2:8" ht="15.75" hidden="1" customHeight="1" thickBot="1" x14ac:dyDescent="0.3">
      <c r="B2187" s="10" t="s">
        <v>45</v>
      </c>
      <c r="C2187" s="35" t="str">
        <f t="shared" si="28"/>
        <v/>
      </c>
      <c r="D2187" s="36"/>
      <c r="E2187" s="37"/>
      <c r="F2187" s="7"/>
      <c r="G2187" s="65"/>
      <c r="H2187" s="9"/>
    </row>
    <row r="2188" spans="2:8" ht="15.75" hidden="1" customHeight="1" thickBot="1" x14ac:dyDescent="0.3">
      <c r="B2188" s="10" t="s">
        <v>45</v>
      </c>
      <c r="C2188" s="35" t="str">
        <f t="shared" si="28"/>
        <v/>
      </c>
      <c r="D2188" s="36"/>
      <c r="E2188" s="37"/>
      <c r="F2188" s="7"/>
      <c r="G2188" s="65"/>
      <c r="H2188" s="9"/>
    </row>
    <row r="2189" spans="2:8" ht="15.75" hidden="1" customHeight="1" thickBot="1" x14ac:dyDescent="0.3">
      <c r="B2189" s="10" t="s">
        <v>45</v>
      </c>
      <c r="C2189" s="35" t="str">
        <f t="shared" si="28"/>
        <v/>
      </c>
      <c r="D2189" s="36"/>
      <c r="E2189" s="37"/>
      <c r="F2189" s="7"/>
      <c r="G2189" s="65"/>
      <c r="H2189" s="9"/>
    </row>
    <row r="2190" spans="2:8" ht="15.75" hidden="1" customHeight="1" thickBot="1" x14ac:dyDescent="0.3">
      <c r="B2190" s="10" t="s">
        <v>45</v>
      </c>
      <c r="C2190" s="35" t="str">
        <f t="shared" si="28"/>
        <v/>
      </c>
      <c r="D2190" s="36"/>
      <c r="E2190" s="37"/>
      <c r="F2190" s="7"/>
      <c r="G2190" s="65"/>
      <c r="H2190" s="9"/>
    </row>
    <row r="2191" spans="2:8" ht="15.75" hidden="1" customHeight="1" thickBot="1" x14ac:dyDescent="0.3">
      <c r="B2191" s="10" t="s">
        <v>45</v>
      </c>
      <c r="C2191" s="35" t="str">
        <f t="shared" si="28"/>
        <v/>
      </c>
      <c r="D2191" s="36"/>
      <c r="E2191" s="37"/>
      <c r="F2191" s="7"/>
      <c r="G2191" s="65"/>
      <c r="H2191" s="9"/>
    </row>
    <row r="2192" spans="2:8" ht="15.75" hidden="1" customHeight="1" thickBot="1" x14ac:dyDescent="0.3">
      <c r="B2192" s="10" t="s">
        <v>45</v>
      </c>
      <c r="C2192" s="35" t="str">
        <f t="shared" si="28"/>
        <v/>
      </c>
      <c r="D2192" s="36"/>
      <c r="E2192" s="37"/>
      <c r="F2192" s="7"/>
      <c r="G2192" s="65"/>
      <c r="H2192" s="9"/>
    </row>
    <row r="2193" spans="2:8" ht="15.75" hidden="1" customHeight="1" thickBot="1" x14ac:dyDescent="0.3">
      <c r="B2193" s="10" t="s">
        <v>45</v>
      </c>
      <c r="C2193" s="35" t="str">
        <f t="shared" si="28"/>
        <v/>
      </c>
      <c r="D2193" s="36"/>
      <c r="E2193" s="37"/>
      <c r="F2193" s="7"/>
      <c r="G2193" s="65"/>
      <c r="H2193" s="9"/>
    </row>
    <row r="2194" spans="2:8" ht="15.75" hidden="1" customHeight="1" thickBot="1" x14ac:dyDescent="0.3">
      <c r="B2194" s="10" t="s">
        <v>45</v>
      </c>
      <c r="C2194" s="35" t="str">
        <f t="shared" si="28"/>
        <v/>
      </c>
      <c r="D2194" s="36"/>
      <c r="E2194" s="37"/>
      <c r="F2194" s="7"/>
      <c r="G2194" s="65"/>
      <c r="H2194" s="9"/>
    </row>
    <row r="2195" spans="2:8" ht="15.75" hidden="1" customHeight="1" thickBot="1" x14ac:dyDescent="0.3">
      <c r="B2195" s="10" t="s">
        <v>45</v>
      </c>
      <c r="C2195" s="35" t="str">
        <f t="shared" si="28"/>
        <v/>
      </c>
      <c r="D2195" s="36"/>
      <c r="E2195" s="37"/>
      <c r="F2195" s="7"/>
      <c r="G2195" s="65"/>
      <c r="H2195" s="9"/>
    </row>
    <row r="2196" spans="2:8" ht="15.75" hidden="1" customHeight="1" thickBot="1" x14ac:dyDescent="0.3">
      <c r="B2196" s="10" t="s">
        <v>45</v>
      </c>
      <c r="C2196" s="35" t="str">
        <f t="shared" si="28"/>
        <v/>
      </c>
      <c r="D2196" s="36"/>
      <c r="E2196" s="37"/>
      <c r="F2196" s="7"/>
      <c r="G2196" s="65"/>
      <c r="H2196" s="9"/>
    </row>
    <row r="2197" spans="2:8" ht="15.75" hidden="1" customHeight="1" thickBot="1" x14ac:dyDescent="0.3">
      <c r="B2197" s="10" t="s">
        <v>45</v>
      </c>
      <c r="C2197" s="35" t="str">
        <f t="shared" si="28"/>
        <v/>
      </c>
      <c r="D2197" s="36"/>
      <c r="E2197" s="37"/>
      <c r="F2197" s="7"/>
      <c r="G2197" s="65"/>
      <c r="H2197" s="9"/>
    </row>
    <row r="2198" spans="2:8" ht="15.75" hidden="1" customHeight="1" thickBot="1" x14ac:dyDescent="0.3">
      <c r="B2198" s="10" t="s">
        <v>45</v>
      </c>
      <c r="C2198" s="35" t="str">
        <f t="shared" si="28"/>
        <v/>
      </c>
      <c r="D2198" s="36"/>
      <c r="E2198" s="37"/>
      <c r="F2198" s="7"/>
      <c r="G2198" s="65"/>
      <c r="H2198" s="9"/>
    </row>
    <row r="2199" spans="2:8" ht="15.75" hidden="1" customHeight="1" thickBot="1" x14ac:dyDescent="0.3">
      <c r="B2199" s="10" t="s">
        <v>45</v>
      </c>
      <c r="C2199" s="35" t="str">
        <f t="shared" si="28"/>
        <v/>
      </c>
      <c r="D2199" s="36"/>
      <c r="E2199" s="37"/>
      <c r="F2199" s="7"/>
      <c r="G2199" s="65"/>
      <c r="H2199" s="9"/>
    </row>
    <row r="2200" spans="2:8" ht="15.75" hidden="1" customHeight="1" thickBot="1" x14ac:dyDescent="0.3">
      <c r="B2200" s="10" t="s">
        <v>45</v>
      </c>
      <c r="C2200" s="35" t="str">
        <f t="shared" si="28"/>
        <v/>
      </c>
      <c r="D2200" s="36"/>
      <c r="E2200" s="37"/>
      <c r="F2200" s="7"/>
      <c r="G2200" s="65"/>
      <c r="H2200" s="9"/>
    </row>
    <row r="2201" spans="2:8" ht="15.75" hidden="1" customHeight="1" thickBot="1" x14ac:dyDescent="0.3">
      <c r="B2201" s="10" t="s">
        <v>45</v>
      </c>
      <c r="C2201" s="35" t="str">
        <f t="shared" si="28"/>
        <v/>
      </c>
      <c r="D2201" s="36"/>
      <c r="E2201" s="37"/>
      <c r="F2201" s="7"/>
      <c r="G2201" s="65"/>
      <c r="H2201" s="9"/>
    </row>
    <row r="2202" spans="2:8" ht="15.75" hidden="1" customHeight="1" thickBot="1" x14ac:dyDescent="0.3">
      <c r="B2202" s="10" t="s">
        <v>45</v>
      </c>
      <c r="C2202" s="35" t="str">
        <f t="shared" si="28"/>
        <v/>
      </c>
      <c r="D2202" s="36"/>
      <c r="E2202" s="37"/>
      <c r="F2202" s="7"/>
      <c r="G2202" s="65"/>
      <c r="H2202" s="9"/>
    </row>
    <row r="2203" spans="2:8" ht="15.75" hidden="1" customHeight="1" thickBot="1" x14ac:dyDescent="0.3">
      <c r="B2203" s="10" t="s">
        <v>45</v>
      </c>
      <c r="C2203" s="35" t="str">
        <f t="shared" si="28"/>
        <v/>
      </c>
      <c r="D2203" s="36"/>
      <c r="E2203" s="37"/>
      <c r="F2203" s="7"/>
      <c r="G2203" s="65"/>
      <c r="H2203" s="9"/>
    </row>
    <row r="2204" spans="2:8" ht="15.75" hidden="1" customHeight="1" thickBot="1" x14ac:dyDescent="0.3">
      <c r="B2204" s="10" t="s">
        <v>45</v>
      </c>
      <c r="C2204" s="35" t="str">
        <f t="shared" si="28"/>
        <v/>
      </c>
      <c r="D2204" s="36"/>
      <c r="E2204" s="37"/>
      <c r="F2204" s="7"/>
      <c r="G2204" s="65"/>
      <c r="H2204" s="9"/>
    </row>
    <row r="2205" spans="2:8" ht="15.75" hidden="1" customHeight="1" thickBot="1" x14ac:dyDescent="0.3">
      <c r="B2205" s="10" t="s">
        <v>45</v>
      </c>
      <c r="C2205" s="35" t="str">
        <f t="shared" si="28"/>
        <v/>
      </c>
      <c r="D2205" s="36"/>
      <c r="E2205" s="37"/>
      <c r="F2205" s="7"/>
      <c r="G2205" s="65"/>
      <c r="H2205" s="9"/>
    </row>
    <row r="2206" spans="2:8" ht="15.75" hidden="1" customHeight="1" thickBot="1" x14ac:dyDescent="0.3">
      <c r="B2206" s="10" t="s">
        <v>45</v>
      </c>
      <c r="C2206" s="35" t="str">
        <f t="shared" si="28"/>
        <v/>
      </c>
      <c r="D2206" s="36"/>
      <c r="E2206" s="37"/>
      <c r="F2206" s="7"/>
      <c r="G2206" s="65"/>
      <c r="H2206" s="9"/>
    </row>
    <row r="2207" spans="2:8" ht="15.75" hidden="1" customHeight="1" thickBot="1" x14ac:dyDescent="0.3">
      <c r="B2207" s="10" t="s">
        <v>45</v>
      </c>
      <c r="C2207" s="35" t="str">
        <f t="shared" si="28"/>
        <v/>
      </c>
      <c r="D2207" s="36"/>
      <c r="E2207" s="37"/>
      <c r="F2207" s="7"/>
      <c r="G2207" s="65"/>
      <c r="H2207" s="9"/>
    </row>
    <row r="2208" spans="2:8" ht="15.75" hidden="1" customHeight="1" thickBot="1" x14ac:dyDescent="0.3">
      <c r="B2208" s="10" t="s">
        <v>45</v>
      </c>
      <c r="C2208" s="35" t="str">
        <f t="shared" si="28"/>
        <v/>
      </c>
      <c r="D2208" s="36"/>
      <c r="E2208" s="37"/>
      <c r="F2208" s="7"/>
      <c r="G2208" s="65"/>
      <c r="H2208" s="9"/>
    </row>
    <row r="2209" spans="2:8" ht="15.75" hidden="1" customHeight="1" thickBot="1" x14ac:dyDescent="0.3">
      <c r="B2209" s="10" t="s">
        <v>45</v>
      </c>
      <c r="C2209" s="35" t="str">
        <f t="shared" si="28"/>
        <v/>
      </c>
      <c r="D2209" s="36"/>
      <c r="E2209" s="37"/>
      <c r="F2209" s="7"/>
      <c r="G2209" s="65"/>
      <c r="H2209" s="9"/>
    </row>
    <row r="2210" spans="2:8" ht="15.75" hidden="1" customHeight="1" thickBot="1" x14ac:dyDescent="0.3">
      <c r="B2210" s="10" t="s">
        <v>45</v>
      </c>
      <c r="C2210" s="35" t="str">
        <f t="shared" si="28"/>
        <v/>
      </c>
      <c r="D2210" s="36"/>
      <c r="E2210" s="37"/>
      <c r="F2210" s="7"/>
      <c r="G2210" s="65"/>
      <c r="H2210" s="9"/>
    </row>
    <row r="2211" spans="2:8" ht="15.75" hidden="1" customHeight="1" thickBot="1" x14ac:dyDescent="0.3">
      <c r="B2211" s="10" t="s">
        <v>45</v>
      </c>
      <c r="C2211" s="35" t="str">
        <f t="shared" si="28"/>
        <v/>
      </c>
      <c r="D2211" s="36"/>
      <c r="E2211" s="37"/>
      <c r="F2211" s="7"/>
      <c r="G2211" s="65"/>
      <c r="H2211" s="9"/>
    </row>
    <row r="2212" spans="2:8" ht="15.75" hidden="1" customHeight="1" thickBot="1" x14ac:dyDescent="0.3">
      <c r="B2212" s="10" t="s">
        <v>45</v>
      </c>
      <c r="C2212" s="35" t="str">
        <f t="shared" si="28"/>
        <v/>
      </c>
      <c r="D2212" s="36"/>
      <c r="E2212" s="37"/>
      <c r="F2212" s="7"/>
      <c r="G2212" s="65"/>
      <c r="H2212" s="9"/>
    </row>
    <row r="2213" spans="2:8" ht="15.75" hidden="1" customHeight="1" thickBot="1" x14ac:dyDescent="0.3">
      <c r="B2213" s="10" t="s">
        <v>45</v>
      </c>
      <c r="C2213" s="35" t="str">
        <f t="shared" si="28"/>
        <v/>
      </c>
      <c r="D2213" s="36"/>
      <c r="E2213" s="37"/>
      <c r="F2213" s="7"/>
      <c r="G2213" s="65"/>
      <c r="H2213" s="9"/>
    </row>
    <row r="2214" spans="2:8" ht="15.75" hidden="1" customHeight="1" thickBot="1" x14ac:dyDescent="0.3">
      <c r="B2214" s="10" t="s">
        <v>45</v>
      </c>
      <c r="C2214" s="35" t="str">
        <f t="shared" si="28"/>
        <v/>
      </c>
      <c r="D2214" s="36"/>
      <c r="E2214" s="37"/>
      <c r="F2214" s="7"/>
      <c r="G2214" s="65"/>
      <c r="H2214" s="9"/>
    </row>
    <row r="2215" spans="2:8" ht="15.75" hidden="1" customHeight="1" thickBot="1" x14ac:dyDescent="0.3">
      <c r="B2215" s="10" t="s">
        <v>45</v>
      </c>
      <c r="C2215" s="35" t="str">
        <f t="shared" si="28"/>
        <v/>
      </c>
      <c r="D2215" s="36"/>
      <c r="E2215" s="37"/>
      <c r="F2215" s="7"/>
      <c r="G2215" s="65"/>
      <c r="H2215" s="9"/>
    </row>
    <row r="2216" spans="2:8" ht="15.75" hidden="1" customHeight="1" thickBot="1" x14ac:dyDescent="0.3">
      <c r="B2216" s="10" t="s">
        <v>45</v>
      </c>
      <c r="C2216" s="35" t="str">
        <f t="shared" si="28"/>
        <v/>
      </c>
      <c r="D2216" s="36"/>
      <c r="E2216" s="37"/>
      <c r="F2216" s="7"/>
      <c r="G2216" s="65"/>
      <c r="H2216" s="9"/>
    </row>
    <row r="2217" spans="2:8" ht="15.75" hidden="1" customHeight="1" thickBot="1" x14ac:dyDescent="0.3">
      <c r="B2217" s="10" t="s">
        <v>45</v>
      </c>
      <c r="C2217" s="35" t="str">
        <f t="shared" si="28"/>
        <v/>
      </c>
      <c r="D2217" s="36"/>
      <c r="E2217" s="37"/>
      <c r="F2217" s="7"/>
      <c r="G2217" s="65"/>
      <c r="H2217" s="9"/>
    </row>
    <row r="2218" spans="2:8" ht="15.75" hidden="1" customHeight="1" thickBot="1" x14ac:dyDescent="0.3">
      <c r="B2218" s="10" t="s">
        <v>45</v>
      </c>
      <c r="C2218" s="35" t="str">
        <f t="shared" si="28"/>
        <v/>
      </c>
      <c r="D2218" s="36"/>
      <c r="E2218" s="37"/>
      <c r="F2218" s="7"/>
      <c r="G2218" s="65"/>
      <c r="H2218" s="9"/>
    </row>
    <row r="2219" spans="2:8" ht="15.75" hidden="1" customHeight="1" thickBot="1" x14ac:dyDescent="0.3">
      <c r="B2219" s="10" t="s">
        <v>45</v>
      </c>
      <c r="C2219" s="35" t="str">
        <f t="shared" si="28"/>
        <v/>
      </c>
      <c r="D2219" s="36"/>
      <c r="E2219" s="37"/>
      <c r="F2219" s="7"/>
      <c r="G2219" s="65"/>
      <c r="H2219" s="9"/>
    </row>
    <row r="2220" spans="2:8" ht="15.75" hidden="1" customHeight="1" thickBot="1" x14ac:dyDescent="0.3">
      <c r="B2220" s="10" t="s">
        <v>45</v>
      </c>
      <c r="C2220" s="35" t="str">
        <f t="shared" si="28"/>
        <v/>
      </c>
      <c r="D2220" s="36"/>
      <c r="E2220" s="37"/>
      <c r="F2220" s="7"/>
      <c r="G2220" s="65"/>
      <c r="H2220" s="9"/>
    </row>
    <row r="2221" spans="2:8" ht="15.75" hidden="1" customHeight="1" thickBot="1" x14ac:dyDescent="0.3">
      <c r="B2221" s="10" t="s">
        <v>45</v>
      </c>
      <c r="C2221" s="35" t="str">
        <f t="shared" si="28"/>
        <v/>
      </c>
      <c r="D2221" s="36"/>
      <c r="E2221" s="37"/>
      <c r="F2221" s="7"/>
      <c r="G2221" s="65"/>
      <c r="H2221" s="9"/>
    </row>
    <row r="2222" spans="2:8" ht="15.75" hidden="1" customHeight="1" thickBot="1" x14ac:dyDescent="0.3">
      <c r="B2222" s="10" t="s">
        <v>45</v>
      </c>
      <c r="C2222" s="35" t="str">
        <f t="shared" si="28"/>
        <v/>
      </c>
      <c r="D2222" s="36"/>
      <c r="E2222" s="37"/>
      <c r="F2222" s="7"/>
      <c r="G2222" s="65"/>
      <c r="H2222" s="9"/>
    </row>
    <row r="2223" spans="2:8" ht="15.75" hidden="1" customHeight="1" thickBot="1" x14ac:dyDescent="0.3">
      <c r="B2223" s="10" t="s">
        <v>45</v>
      </c>
      <c r="C2223" s="35" t="str">
        <f t="shared" si="28"/>
        <v/>
      </c>
      <c r="D2223" s="36"/>
      <c r="E2223" s="37"/>
      <c r="F2223" s="7"/>
      <c r="G2223" s="65"/>
      <c r="H2223" s="9"/>
    </row>
    <row r="2224" spans="2:8" ht="15.75" hidden="1" customHeight="1" thickBot="1" x14ac:dyDescent="0.3">
      <c r="B2224" s="10" t="s">
        <v>45</v>
      </c>
      <c r="C2224" s="35" t="str">
        <f t="shared" si="28"/>
        <v/>
      </c>
      <c r="D2224" s="36"/>
      <c r="E2224" s="37"/>
      <c r="F2224" s="7"/>
      <c r="G2224" s="65"/>
      <c r="H2224" s="9"/>
    </row>
    <row r="2225" spans="2:8" ht="15.75" hidden="1" customHeight="1" thickBot="1" x14ac:dyDescent="0.3">
      <c r="B2225" s="10" t="s">
        <v>45</v>
      </c>
      <c r="C2225" s="35" t="str">
        <f t="shared" si="28"/>
        <v/>
      </c>
      <c r="D2225" s="36"/>
      <c r="E2225" s="37"/>
      <c r="F2225" s="7"/>
      <c r="G2225" s="65"/>
      <c r="H2225" s="9"/>
    </row>
    <row r="2226" spans="2:8" ht="15.75" hidden="1" customHeight="1" thickBot="1" x14ac:dyDescent="0.3">
      <c r="B2226" s="10" t="s">
        <v>45</v>
      </c>
      <c r="C2226" s="35" t="str">
        <f t="shared" si="28"/>
        <v/>
      </c>
      <c r="D2226" s="36"/>
      <c r="E2226" s="37"/>
      <c r="F2226" s="7"/>
      <c r="G2226" s="65"/>
      <c r="H2226" s="9"/>
    </row>
    <row r="2227" spans="2:8" ht="15.75" hidden="1" customHeight="1" thickBot="1" x14ac:dyDescent="0.3">
      <c r="B2227" s="10" t="s">
        <v>45</v>
      </c>
      <c r="C2227" s="35" t="str">
        <f t="shared" si="28"/>
        <v/>
      </c>
      <c r="D2227" s="36"/>
      <c r="E2227" s="37"/>
      <c r="F2227" s="7"/>
      <c r="G2227" s="65"/>
      <c r="H2227" s="9"/>
    </row>
    <row r="2228" spans="2:8" ht="15.75" hidden="1" customHeight="1" thickBot="1" x14ac:dyDescent="0.3">
      <c r="B2228" s="10" t="s">
        <v>45</v>
      </c>
      <c r="C2228" s="35" t="str">
        <f t="shared" si="28"/>
        <v/>
      </c>
      <c r="D2228" s="36"/>
      <c r="E2228" s="37"/>
      <c r="F2228" s="7"/>
      <c r="G2228" s="65"/>
      <c r="H2228" s="9"/>
    </row>
    <row r="2229" spans="2:8" ht="15.75" hidden="1" customHeight="1" thickBot="1" x14ac:dyDescent="0.3">
      <c r="B2229" s="10" t="s">
        <v>45</v>
      </c>
      <c r="C2229" s="35" t="str">
        <f t="shared" si="28"/>
        <v/>
      </c>
      <c r="D2229" s="36"/>
      <c r="E2229" s="37"/>
      <c r="F2229" s="7"/>
      <c r="G2229" s="65"/>
      <c r="H2229" s="9"/>
    </row>
    <row r="2230" spans="2:8" ht="15.75" hidden="1" customHeight="1" thickBot="1" x14ac:dyDescent="0.3">
      <c r="B2230" s="10" t="s">
        <v>45</v>
      </c>
      <c r="C2230" s="35" t="str">
        <f t="shared" si="28"/>
        <v/>
      </c>
      <c r="D2230" s="36"/>
      <c r="E2230" s="37"/>
      <c r="F2230" s="7"/>
      <c r="G2230" s="65"/>
      <c r="H2230" s="9"/>
    </row>
    <row r="2231" spans="2:8" ht="15.75" hidden="1" customHeight="1" thickBot="1" x14ac:dyDescent="0.3">
      <c r="B2231" s="10" t="s">
        <v>45</v>
      </c>
      <c r="C2231" s="35" t="str">
        <f t="shared" si="28"/>
        <v/>
      </c>
      <c r="D2231" s="36"/>
      <c r="E2231" s="37"/>
      <c r="F2231" s="7"/>
      <c r="G2231" s="65"/>
      <c r="H2231" s="9"/>
    </row>
    <row r="2232" spans="2:8" ht="15.75" hidden="1" customHeight="1" thickBot="1" x14ac:dyDescent="0.3">
      <c r="B2232" s="10" t="s">
        <v>45</v>
      </c>
      <c r="C2232" s="35" t="str">
        <f t="shared" si="28"/>
        <v/>
      </c>
      <c r="D2232" s="36"/>
      <c r="E2232" s="37"/>
      <c r="F2232" s="7"/>
      <c r="G2232" s="65"/>
      <c r="H2232" s="9"/>
    </row>
    <row r="2233" spans="2:8" ht="15.75" hidden="1" customHeight="1" thickBot="1" x14ac:dyDescent="0.3">
      <c r="B2233" s="10" t="s">
        <v>45</v>
      </c>
      <c r="C2233" s="35" t="str">
        <f t="shared" si="28"/>
        <v/>
      </c>
      <c r="D2233" s="36"/>
      <c r="E2233" s="37"/>
      <c r="F2233" s="7"/>
      <c r="G2233" s="65"/>
      <c r="H2233" s="9"/>
    </row>
    <row r="2234" spans="2:8" ht="15.75" hidden="1" customHeight="1" thickBot="1" x14ac:dyDescent="0.3">
      <c r="B2234" s="10" t="s">
        <v>45</v>
      </c>
      <c r="C2234" s="35" t="str">
        <f t="shared" si="28"/>
        <v/>
      </c>
      <c r="D2234" s="36"/>
      <c r="E2234" s="37"/>
      <c r="F2234" s="7"/>
      <c r="G2234" s="65"/>
      <c r="H2234" s="9"/>
    </row>
    <row r="2235" spans="2:8" ht="15.75" hidden="1" customHeight="1" thickBot="1" x14ac:dyDescent="0.3">
      <c r="B2235" s="10" t="s">
        <v>45</v>
      </c>
      <c r="C2235" s="35" t="str">
        <f t="shared" si="28"/>
        <v/>
      </c>
      <c r="D2235" s="36"/>
      <c r="E2235" s="37"/>
      <c r="F2235" s="7"/>
      <c r="G2235" s="65"/>
      <c r="H2235" s="9"/>
    </row>
    <row r="2236" spans="2:8" ht="15.75" hidden="1" customHeight="1" thickBot="1" x14ac:dyDescent="0.3">
      <c r="B2236" s="10" t="s">
        <v>45</v>
      </c>
      <c r="C2236" s="35" t="str">
        <f t="shared" si="28"/>
        <v/>
      </c>
      <c r="D2236" s="36"/>
      <c r="E2236" s="37"/>
      <c r="F2236" s="7"/>
      <c r="G2236" s="65"/>
      <c r="H2236" s="9"/>
    </row>
    <row r="2237" spans="2:8" ht="15.75" hidden="1" customHeight="1" thickBot="1" x14ac:dyDescent="0.3">
      <c r="B2237" s="10" t="s">
        <v>45</v>
      </c>
      <c r="C2237" s="35" t="str">
        <f t="shared" si="28"/>
        <v/>
      </c>
      <c r="D2237" s="36"/>
      <c r="E2237" s="37"/>
      <c r="F2237" s="7"/>
      <c r="G2237" s="65"/>
      <c r="H2237" s="9"/>
    </row>
    <row r="2238" spans="2:8" ht="15.75" hidden="1" customHeight="1" thickBot="1" x14ac:dyDescent="0.3">
      <c r="B2238" s="10" t="s">
        <v>45</v>
      </c>
      <c r="C2238" s="35" t="str">
        <f t="shared" si="28"/>
        <v/>
      </c>
      <c r="D2238" s="36"/>
      <c r="E2238" s="37"/>
      <c r="F2238" s="7"/>
      <c r="G2238" s="65"/>
      <c r="H2238" s="9"/>
    </row>
    <row r="2239" spans="2:8" ht="15.75" hidden="1" customHeight="1" thickBot="1" x14ac:dyDescent="0.3">
      <c r="B2239" s="10" t="s">
        <v>45</v>
      </c>
      <c r="C2239" s="35" t="str">
        <f t="shared" si="28"/>
        <v/>
      </c>
      <c r="D2239" s="36"/>
      <c r="E2239" s="37"/>
      <c r="F2239" s="7"/>
      <c r="G2239" s="65"/>
      <c r="H2239" s="9"/>
    </row>
    <row r="2240" spans="2:8" ht="15.75" hidden="1" customHeight="1" thickBot="1" x14ac:dyDescent="0.3">
      <c r="B2240" s="10" t="s">
        <v>45</v>
      </c>
      <c r="C2240" s="35" t="str">
        <f t="shared" si="28"/>
        <v/>
      </c>
      <c r="D2240" s="36"/>
      <c r="E2240" s="37"/>
      <c r="F2240" s="7"/>
      <c r="G2240" s="65"/>
      <c r="H2240" s="9"/>
    </row>
    <row r="2241" spans="2:8" ht="15.75" hidden="1" customHeight="1" thickBot="1" x14ac:dyDescent="0.3">
      <c r="B2241" s="10" t="s">
        <v>45</v>
      </c>
      <c r="C2241" s="35" t="str">
        <f t="shared" si="28"/>
        <v/>
      </c>
      <c r="D2241" s="36"/>
      <c r="E2241" s="37"/>
      <c r="F2241" s="7"/>
      <c r="G2241" s="65"/>
      <c r="H2241" s="9"/>
    </row>
    <row r="2242" spans="2:8" ht="15.75" hidden="1" customHeight="1" thickBot="1" x14ac:dyDescent="0.3">
      <c r="B2242" s="10" t="s">
        <v>45</v>
      </c>
      <c r="C2242" s="35" t="str">
        <f t="shared" si="28"/>
        <v/>
      </c>
      <c r="D2242" s="36"/>
      <c r="E2242" s="37"/>
      <c r="F2242" s="7"/>
      <c r="G2242" s="65"/>
      <c r="H2242" s="9"/>
    </row>
    <row r="2243" spans="2:8" ht="15.75" hidden="1" customHeight="1" thickBot="1" x14ac:dyDescent="0.3">
      <c r="B2243" s="10" t="s">
        <v>45</v>
      </c>
      <c r="C2243" s="35" t="str">
        <f t="shared" si="28"/>
        <v/>
      </c>
      <c r="D2243" s="36"/>
      <c r="E2243" s="37"/>
      <c r="F2243" s="7"/>
      <c r="G2243" s="65"/>
      <c r="H2243" s="9"/>
    </row>
    <row r="2244" spans="2:8" ht="15.75" hidden="1" customHeight="1" thickBot="1" x14ac:dyDescent="0.3">
      <c r="B2244" s="10" t="s">
        <v>45</v>
      </c>
      <c r="C2244" s="35" t="str">
        <f t="shared" ref="C2244:C2307" si="29">IF(E2244="","",IF(ISERROR(VLOOKUP(E2244,rTimeZoneTable,8,0)),"Update Contacts",VLOOKUP(E2244,rTimeZoneTable,8,0)))</f>
        <v/>
      </c>
      <c r="D2244" s="36"/>
      <c r="E2244" s="37"/>
      <c r="F2244" s="7"/>
      <c r="G2244" s="65"/>
      <c r="H2244" s="9"/>
    </row>
    <row r="2245" spans="2:8" ht="15.75" hidden="1" customHeight="1" thickBot="1" x14ac:dyDescent="0.3">
      <c r="B2245" s="10" t="s">
        <v>45</v>
      </c>
      <c r="C2245" s="35" t="str">
        <f t="shared" si="29"/>
        <v/>
      </c>
      <c r="D2245" s="36"/>
      <c r="E2245" s="37"/>
      <c r="F2245" s="7"/>
      <c r="G2245" s="65"/>
      <c r="H2245" s="9"/>
    </row>
    <row r="2246" spans="2:8" ht="15.75" hidden="1" customHeight="1" thickBot="1" x14ac:dyDescent="0.3">
      <c r="B2246" s="10" t="s">
        <v>45</v>
      </c>
      <c r="C2246" s="35" t="str">
        <f t="shared" si="29"/>
        <v/>
      </c>
      <c r="D2246" s="36"/>
      <c r="E2246" s="37"/>
      <c r="F2246" s="7"/>
      <c r="G2246" s="65"/>
      <c r="H2246" s="9"/>
    </row>
    <row r="2247" spans="2:8" ht="15.75" hidden="1" customHeight="1" thickBot="1" x14ac:dyDescent="0.3">
      <c r="B2247" s="10" t="s">
        <v>45</v>
      </c>
      <c r="C2247" s="35" t="str">
        <f t="shared" si="29"/>
        <v/>
      </c>
      <c r="D2247" s="36"/>
      <c r="E2247" s="37"/>
      <c r="F2247" s="7"/>
      <c r="G2247" s="65"/>
      <c r="H2247" s="9"/>
    </row>
    <row r="2248" spans="2:8" ht="15.75" hidden="1" customHeight="1" thickBot="1" x14ac:dyDescent="0.3">
      <c r="B2248" s="10" t="s">
        <v>45</v>
      </c>
      <c r="C2248" s="35" t="str">
        <f t="shared" si="29"/>
        <v/>
      </c>
      <c r="D2248" s="36"/>
      <c r="E2248" s="37"/>
      <c r="F2248" s="7"/>
      <c r="G2248" s="65"/>
      <c r="H2248" s="9"/>
    </row>
    <row r="2249" spans="2:8" ht="15.75" hidden="1" customHeight="1" thickBot="1" x14ac:dyDescent="0.3">
      <c r="B2249" s="10" t="s">
        <v>45</v>
      </c>
      <c r="C2249" s="35" t="str">
        <f t="shared" si="29"/>
        <v/>
      </c>
      <c r="D2249" s="36"/>
      <c r="E2249" s="37"/>
      <c r="F2249" s="7"/>
      <c r="G2249" s="65"/>
      <c r="H2249" s="9"/>
    </row>
    <row r="2250" spans="2:8" ht="15.75" hidden="1" customHeight="1" thickBot="1" x14ac:dyDescent="0.3">
      <c r="B2250" s="10" t="s">
        <v>45</v>
      </c>
      <c r="C2250" s="35" t="str">
        <f t="shared" si="29"/>
        <v/>
      </c>
      <c r="D2250" s="36"/>
      <c r="E2250" s="37"/>
      <c r="F2250" s="7"/>
      <c r="G2250" s="65"/>
      <c r="H2250" s="9"/>
    </row>
    <row r="2251" spans="2:8" ht="15.75" hidden="1" customHeight="1" thickBot="1" x14ac:dyDescent="0.3">
      <c r="B2251" s="10" t="s">
        <v>45</v>
      </c>
      <c r="C2251" s="35" t="str">
        <f t="shared" si="29"/>
        <v/>
      </c>
      <c r="D2251" s="36"/>
      <c r="E2251" s="37"/>
      <c r="F2251" s="7"/>
      <c r="G2251" s="65"/>
      <c r="H2251" s="9"/>
    </row>
    <row r="2252" spans="2:8" ht="15.75" hidden="1" customHeight="1" thickBot="1" x14ac:dyDescent="0.3">
      <c r="B2252" s="10" t="s">
        <v>45</v>
      </c>
      <c r="C2252" s="35" t="str">
        <f t="shared" si="29"/>
        <v/>
      </c>
      <c r="D2252" s="36"/>
      <c r="E2252" s="37"/>
      <c r="F2252" s="7"/>
      <c r="G2252" s="65"/>
      <c r="H2252" s="9"/>
    </row>
    <row r="2253" spans="2:8" ht="15.75" hidden="1" customHeight="1" thickBot="1" x14ac:dyDescent="0.3">
      <c r="B2253" s="10" t="s">
        <v>45</v>
      </c>
      <c r="C2253" s="35" t="str">
        <f t="shared" si="29"/>
        <v/>
      </c>
      <c r="D2253" s="36"/>
      <c r="E2253" s="37"/>
      <c r="F2253" s="7"/>
      <c r="G2253" s="65"/>
      <c r="H2253" s="9"/>
    </row>
    <row r="2254" spans="2:8" ht="15.75" hidden="1" customHeight="1" thickBot="1" x14ac:dyDescent="0.3">
      <c r="B2254" s="10" t="s">
        <v>45</v>
      </c>
      <c r="C2254" s="35" t="str">
        <f t="shared" si="29"/>
        <v/>
      </c>
      <c r="D2254" s="36"/>
      <c r="E2254" s="37"/>
      <c r="F2254" s="7"/>
      <c r="G2254" s="65"/>
      <c r="H2254" s="9"/>
    </row>
    <row r="2255" spans="2:8" ht="15.75" hidden="1" customHeight="1" thickBot="1" x14ac:dyDescent="0.3">
      <c r="B2255" s="10" t="s">
        <v>45</v>
      </c>
      <c r="C2255" s="35" t="str">
        <f t="shared" si="29"/>
        <v/>
      </c>
      <c r="D2255" s="36"/>
      <c r="E2255" s="37"/>
      <c r="F2255" s="7"/>
      <c r="G2255" s="65"/>
      <c r="H2255" s="9"/>
    </row>
    <row r="2256" spans="2:8" ht="15.75" hidden="1" customHeight="1" thickBot="1" x14ac:dyDescent="0.3">
      <c r="B2256" s="10" t="s">
        <v>45</v>
      </c>
      <c r="C2256" s="35" t="str">
        <f t="shared" si="29"/>
        <v/>
      </c>
      <c r="D2256" s="36"/>
      <c r="E2256" s="37"/>
      <c r="F2256" s="7"/>
      <c r="G2256" s="65"/>
      <c r="H2256" s="9"/>
    </row>
    <row r="2257" spans="2:8" ht="15.75" hidden="1" customHeight="1" thickBot="1" x14ac:dyDescent="0.3">
      <c r="B2257" s="10" t="s">
        <v>45</v>
      </c>
      <c r="C2257" s="35" t="str">
        <f t="shared" si="29"/>
        <v/>
      </c>
      <c r="D2257" s="36"/>
      <c r="E2257" s="37"/>
      <c r="F2257" s="7"/>
      <c r="G2257" s="65"/>
      <c r="H2257" s="9"/>
    </row>
    <row r="2258" spans="2:8" ht="15.75" hidden="1" customHeight="1" thickBot="1" x14ac:dyDescent="0.3">
      <c r="B2258" s="10" t="s">
        <v>45</v>
      </c>
      <c r="C2258" s="35" t="str">
        <f t="shared" si="29"/>
        <v/>
      </c>
      <c r="D2258" s="36"/>
      <c r="E2258" s="37"/>
      <c r="F2258" s="7"/>
      <c r="G2258" s="65"/>
      <c r="H2258" s="9"/>
    </row>
    <row r="2259" spans="2:8" ht="15.75" hidden="1" customHeight="1" thickBot="1" x14ac:dyDescent="0.3">
      <c r="B2259" s="10" t="s">
        <v>45</v>
      </c>
      <c r="C2259" s="35" t="str">
        <f t="shared" si="29"/>
        <v/>
      </c>
      <c r="D2259" s="36"/>
      <c r="E2259" s="37"/>
      <c r="F2259" s="7"/>
      <c r="G2259" s="65"/>
      <c r="H2259" s="9"/>
    </row>
    <row r="2260" spans="2:8" ht="15.75" hidden="1" customHeight="1" thickBot="1" x14ac:dyDescent="0.3">
      <c r="B2260" s="10" t="s">
        <v>45</v>
      </c>
      <c r="C2260" s="35" t="str">
        <f t="shared" si="29"/>
        <v/>
      </c>
      <c r="D2260" s="36"/>
      <c r="E2260" s="37"/>
      <c r="F2260" s="7"/>
      <c r="G2260" s="65"/>
      <c r="H2260" s="9"/>
    </row>
    <row r="2261" spans="2:8" ht="15.75" hidden="1" customHeight="1" thickBot="1" x14ac:dyDescent="0.3">
      <c r="B2261" s="10" t="s">
        <v>45</v>
      </c>
      <c r="C2261" s="35" t="str">
        <f t="shared" si="29"/>
        <v/>
      </c>
      <c r="D2261" s="36"/>
      <c r="E2261" s="37"/>
      <c r="F2261" s="7"/>
      <c r="G2261" s="65"/>
      <c r="H2261" s="9"/>
    </row>
    <row r="2262" spans="2:8" ht="15.75" hidden="1" customHeight="1" thickBot="1" x14ac:dyDescent="0.3">
      <c r="B2262" s="10" t="s">
        <v>45</v>
      </c>
      <c r="C2262" s="35" t="str">
        <f t="shared" si="29"/>
        <v/>
      </c>
      <c r="D2262" s="36"/>
      <c r="E2262" s="37"/>
      <c r="F2262" s="7"/>
      <c r="G2262" s="65"/>
      <c r="H2262" s="9"/>
    </row>
    <row r="2263" spans="2:8" ht="15.75" hidden="1" customHeight="1" thickBot="1" x14ac:dyDescent="0.3">
      <c r="B2263" s="10" t="s">
        <v>45</v>
      </c>
      <c r="C2263" s="35" t="str">
        <f t="shared" si="29"/>
        <v/>
      </c>
      <c r="D2263" s="36"/>
      <c r="E2263" s="37"/>
      <c r="F2263" s="7"/>
      <c r="G2263" s="65"/>
      <c r="H2263" s="9"/>
    </row>
    <row r="2264" spans="2:8" ht="15.75" hidden="1" customHeight="1" thickBot="1" x14ac:dyDescent="0.3">
      <c r="B2264" s="10" t="s">
        <v>45</v>
      </c>
      <c r="C2264" s="35" t="str">
        <f t="shared" si="29"/>
        <v/>
      </c>
      <c r="D2264" s="36"/>
      <c r="E2264" s="37"/>
      <c r="F2264" s="7"/>
      <c r="G2264" s="65"/>
      <c r="H2264" s="9"/>
    </row>
    <row r="2265" spans="2:8" ht="15.75" hidden="1" customHeight="1" thickBot="1" x14ac:dyDescent="0.3">
      <c r="B2265" s="10" t="s">
        <v>45</v>
      </c>
      <c r="C2265" s="35" t="str">
        <f t="shared" si="29"/>
        <v/>
      </c>
      <c r="D2265" s="36"/>
      <c r="E2265" s="37"/>
      <c r="F2265" s="7"/>
      <c r="G2265" s="65"/>
      <c r="H2265" s="9"/>
    </row>
    <row r="2266" spans="2:8" ht="15.75" hidden="1" customHeight="1" thickBot="1" x14ac:dyDescent="0.3">
      <c r="B2266" s="10" t="s">
        <v>45</v>
      </c>
      <c r="C2266" s="35" t="str">
        <f t="shared" si="29"/>
        <v/>
      </c>
      <c r="D2266" s="36"/>
      <c r="E2266" s="37"/>
      <c r="F2266" s="7"/>
      <c r="G2266" s="65"/>
      <c r="H2266" s="9"/>
    </row>
    <row r="2267" spans="2:8" ht="15.75" hidden="1" customHeight="1" thickBot="1" x14ac:dyDescent="0.3">
      <c r="B2267" s="10" t="s">
        <v>45</v>
      </c>
      <c r="C2267" s="35" t="str">
        <f t="shared" si="29"/>
        <v/>
      </c>
      <c r="D2267" s="36"/>
      <c r="E2267" s="37"/>
      <c r="F2267" s="7"/>
      <c r="G2267" s="65"/>
      <c r="H2267" s="9"/>
    </row>
    <row r="2268" spans="2:8" ht="15.75" hidden="1" customHeight="1" thickBot="1" x14ac:dyDescent="0.3">
      <c r="B2268" s="10" t="s">
        <v>45</v>
      </c>
      <c r="C2268" s="35" t="str">
        <f t="shared" si="29"/>
        <v/>
      </c>
      <c r="D2268" s="36"/>
      <c r="E2268" s="37"/>
      <c r="F2268" s="7"/>
      <c r="G2268" s="65"/>
      <c r="H2268" s="9"/>
    </row>
    <row r="2269" spans="2:8" ht="15.75" hidden="1" customHeight="1" thickBot="1" x14ac:dyDescent="0.3">
      <c r="B2269" s="10" t="s">
        <v>45</v>
      </c>
      <c r="C2269" s="35" t="str">
        <f t="shared" si="29"/>
        <v/>
      </c>
      <c r="D2269" s="36"/>
      <c r="E2269" s="37"/>
      <c r="F2269" s="7"/>
      <c r="G2269" s="65"/>
      <c r="H2269" s="9"/>
    </row>
    <row r="2270" spans="2:8" ht="15.75" hidden="1" customHeight="1" thickBot="1" x14ac:dyDescent="0.3">
      <c r="B2270" s="10" t="s">
        <v>45</v>
      </c>
      <c r="C2270" s="35" t="str">
        <f t="shared" si="29"/>
        <v/>
      </c>
      <c r="D2270" s="36"/>
      <c r="E2270" s="37"/>
      <c r="F2270" s="7"/>
      <c r="G2270" s="65"/>
      <c r="H2270" s="9"/>
    </row>
    <row r="2271" spans="2:8" ht="15.75" hidden="1" customHeight="1" thickBot="1" x14ac:dyDescent="0.3">
      <c r="B2271" s="10" t="s">
        <v>45</v>
      </c>
      <c r="C2271" s="35" t="str">
        <f t="shared" si="29"/>
        <v/>
      </c>
      <c r="D2271" s="36"/>
      <c r="E2271" s="37"/>
      <c r="F2271" s="7"/>
      <c r="G2271" s="65"/>
      <c r="H2271" s="9"/>
    </row>
    <row r="2272" spans="2:8" ht="15.75" hidden="1" customHeight="1" thickBot="1" x14ac:dyDescent="0.3">
      <c r="B2272" s="10" t="s">
        <v>45</v>
      </c>
      <c r="C2272" s="35" t="str">
        <f t="shared" si="29"/>
        <v/>
      </c>
      <c r="D2272" s="36"/>
      <c r="E2272" s="37"/>
      <c r="F2272" s="7"/>
      <c r="G2272" s="65"/>
      <c r="H2272" s="9"/>
    </row>
    <row r="2273" spans="2:8" ht="15.75" hidden="1" customHeight="1" thickBot="1" x14ac:dyDescent="0.3">
      <c r="B2273" s="10" t="s">
        <v>45</v>
      </c>
      <c r="C2273" s="35" t="str">
        <f t="shared" si="29"/>
        <v/>
      </c>
      <c r="D2273" s="36"/>
      <c r="E2273" s="37"/>
      <c r="F2273" s="7"/>
      <c r="G2273" s="65"/>
      <c r="H2273" s="9"/>
    </row>
    <row r="2274" spans="2:8" ht="15.75" hidden="1" customHeight="1" thickBot="1" x14ac:dyDescent="0.3">
      <c r="B2274" s="10" t="s">
        <v>45</v>
      </c>
      <c r="C2274" s="35" t="str">
        <f t="shared" si="29"/>
        <v/>
      </c>
      <c r="D2274" s="36"/>
      <c r="E2274" s="37"/>
      <c r="F2274" s="7"/>
      <c r="G2274" s="65"/>
      <c r="H2274" s="9"/>
    </row>
    <row r="2275" spans="2:8" ht="15.75" hidden="1" customHeight="1" thickBot="1" x14ac:dyDescent="0.3">
      <c r="B2275" s="10" t="s">
        <v>45</v>
      </c>
      <c r="C2275" s="35" t="str">
        <f t="shared" si="29"/>
        <v/>
      </c>
      <c r="D2275" s="36"/>
      <c r="E2275" s="37"/>
      <c r="F2275" s="7"/>
      <c r="G2275" s="65"/>
      <c r="H2275" s="9"/>
    </row>
    <row r="2276" spans="2:8" ht="15.75" hidden="1" customHeight="1" thickBot="1" x14ac:dyDescent="0.3">
      <c r="B2276" s="10" t="s">
        <v>45</v>
      </c>
      <c r="C2276" s="35" t="str">
        <f t="shared" si="29"/>
        <v/>
      </c>
      <c r="D2276" s="36"/>
      <c r="E2276" s="37"/>
      <c r="F2276" s="7"/>
      <c r="G2276" s="65"/>
      <c r="H2276" s="9"/>
    </row>
    <row r="2277" spans="2:8" ht="15.75" hidden="1" customHeight="1" thickBot="1" x14ac:dyDescent="0.3">
      <c r="B2277" s="10" t="s">
        <v>45</v>
      </c>
      <c r="C2277" s="35" t="str">
        <f t="shared" si="29"/>
        <v/>
      </c>
      <c r="D2277" s="36"/>
      <c r="E2277" s="37"/>
      <c r="F2277" s="7"/>
      <c r="G2277" s="65"/>
      <c r="H2277" s="9"/>
    </row>
    <row r="2278" spans="2:8" ht="15.75" hidden="1" customHeight="1" thickBot="1" x14ac:dyDescent="0.3">
      <c r="B2278" s="10" t="s">
        <v>45</v>
      </c>
      <c r="C2278" s="35" t="str">
        <f t="shared" si="29"/>
        <v/>
      </c>
      <c r="D2278" s="36"/>
      <c r="E2278" s="37"/>
      <c r="F2278" s="7"/>
      <c r="G2278" s="65"/>
      <c r="H2278" s="9"/>
    </row>
    <row r="2279" spans="2:8" ht="15.75" hidden="1" customHeight="1" thickBot="1" x14ac:dyDescent="0.3">
      <c r="B2279" s="10" t="s">
        <v>45</v>
      </c>
      <c r="C2279" s="35" t="str">
        <f t="shared" si="29"/>
        <v/>
      </c>
      <c r="D2279" s="36"/>
      <c r="E2279" s="37"/>
      <c r="F2279" s="7"/>
      <c r="G2279" s="65"/>
      <c r="H2279" s="9"/>
    </row>
    <row r="2280" spans="2:8" ht="15.75" hidden="1" customHeight="1" thickBot="1" x14ac:dyDescent="0.3">
      <c r="B2280" s="10" t="s">
        <v>45</v>
      </c>
      <c r="C2280" s="35" t="str">
        <f t="shared" si="29"/>
        <v/>
      </c>
      <c r="D2280" s="36"/>
      <c r="E2280" s="37"/>
      <c r="F2280" s="7"/>
      <c r="G2280" s="65"/>
      <c r="H2280" s="9"/>
    </row>
    <row r="2281" spans="2:8" ht="15.75" hidden="1" customHeight="1" thickBot="1" x14ac:dyDescent="0.3">
      <c r="B2281" s="10" t="s">
        <v>45</v>
      </c>
      <c r="C2281" s="35" t="str">
        <f t="shared" si="29"/>
        <v/>
      </c>
      <c r="D2281" s="36"/>
      <c r="E2281" s="37"/>
      <c r="F2281" s="7"/>
      <c r="G2281" s="65"/>
      <c r="H2281" s="9"/>
    </row>
    <row r="2282" spans="2:8" ht="15.75" hidden="1" customHeight="1" thickBot="1" x14ac:dyDescent="0.3">
      <c r="B2282" s="10" t="s">
        <v>45</v>
      </c>
      <c r="C2282" s="35" t="str">
        <f t="shared" si="29"/>
        <v/>
      </c>
      <c r="D2282" s="36"/>
      <c r="E2282" s="37"/>
      <c r="F2282" s="7"/>
      <c r="G2282" s="65"/>
      <c r="H2282" s="9"/>
    </row>
    <row r="2283" spans="2:8" ht="15.75" hidden="1" customHeight="1" thickBot="1" x14ac:dyDescent="0.3">
      <c r="B2283" s="10" t="s">
        <v>45</v>
      </c>
      <c r="C2283" s="35" t="str">
        <f t="shared" si="29"/>
        <v/>
      </c>
      <c r="D2283" s="36"/>
      <c r="E2283" s="37"/>
      <c r="F2283" s="7"/>
      <c r="G2283" s="65"/>
      <c r="H2283" s="9"/>
    </row>
    <row r="2284" spans="2:8" ht="15.75" hidden="1" customHeight="1" thickBot="1" x14ac:dyDescent="0.3">
      <c r="B2284" s="10" t="s">
        <v>45</v>
      </c>
      <c r="C2284" s="35" t="str">
        <f t="shared" si="29"/>
        <v/>
      </c>
      <c r="D2284" s="36"/>
      <c r="E2284" s="37"/>
      <c r="F2284" s="7"/>
      <c r="G2284" s="65"/>
      <c r="H2284" s="9"/>
    </row>
    <row r="2285" spans="2:8" ht="15.75" hidden="1" customHeight="1" thickBot="1" x14ac:dyDescent="0.3">
      <c r="B2285" s="10" t="s">
        <v>45</v>
      </c>
      <c r="C2285" s="35" t="str">
        <f t="shared" si="29"/>
        <v/>
      </c>
      <c r="D2285" s="36"/>
      <c r="E2285" s="37"/>
      <c r="F2285" s="7"/>
      <c r="G2285" s="65"/>
      <c r="H2285" s="9"/>
    </row>
    <row r="2286" spans="2:8" ht="15.75" hidden="1" customHeight="1" thickBot="1" x14ac:dyDescent="0.3">
      <c r="B2286" s="10" t="s">
        <v>45</v>
      </c>
      <c r="C2286" s="35" t="str">
        <f t="shared" si="29"/>
        <v/>
      </c>
      <c r="D2286" s="36"/>
      <c r="E2286" s="37"/>
      <c r="F2286" s="7"/>
      <c r="G2286" s="65"/>
      <c r="H2286" s="9"/>
    </row>
    <row r="2287" spans="2:8" ht="15.75" hidden="1" customHeight="1" thickBot="1" x14ac:dyDescent="0.3">
      <c r="B2287" s="10" t="s">
        <v>45</v>
      </c>
      <c r="C2287" s="35" t="str">
        <f t="shared" si="29"/>
        <v/>
      </c>
      <c r="D2287" s="36"/>
      <c r="E2287" s="37"/>
      <c r="F2287" s="7"/>
      <c r="G2287" s="65"/>
      <c r="H2287" s="9"/>
    </row>
    <row r="2288" spans="2:8" ht="15.75" hidden="1" customHeight="1" thickBot="1" x14ac:dyDescent="0.3">
      <c r="B2288" s="10" t="s">
        <v>45</v>
      </c>
      <c r="C2288" s="35" t="str">
        <f t="shared" si="29"/>
        <v/>
      </c>
      <c r="D2288" s="36"/>
      <c r="E2288" s="37"/>
      <c r="F2288" s="7"/>
      <c r="G2288" s="65"/>
      <c r="H2288" s="9"/>
    </row>
    <row r="2289" spans="2:8" ht="15.75" hidden="1" customHeight="1" thickBot="1" x14ac:dyDescent="0.3">
      <c r="B2289" s="10" t="s">
        <v>45</v>
      </c>
      <c r="C2289" s="35" t="str">
        <f t="shared" si="29"/>
        <v/>
      </c>
      <c r="D2289" s="36"/>
      <c r="E2289" s="37"/>
      <c r="F2289" s="7"/>
      <c r="G2289" s="65"/>
      <c r="H2289" s="9"/>
    </row>
    <row r="2290" spans="2:8" ht="15.75" hidden="1" customHeight="1" thickBot="1" x14ac:dyDescent="0.3">
      <c r="B2290" s="10" t="s">
        <v>45</v>
      </c>
      <c r="C2290" s="35" t="str">
        <f t="shared" si="29"/>
        <v/>
      </c>
      <c r="D2290" s="36"/>
      <c r="E2290" s="37"/>
      <c r="F2290" s="7"/>
      <c r="G2290" s="65"/>
      <c r="H2290" s="9"/>
    </row>
    <row r="2291" spans="2:8" ht="15.75" hidden="1" customHeight="1" thickBot="1" x14ac:dyDescent="0.3">
      <c r="B2291" s="10" t="s">
        <v>45</v>
      </c>
      <c r="C2291" s="35" t="str">
        <f t="shared" si="29"/>
        <v/>
      </c>
      <c r="D2291" s="36"/>
      <c r="E2291" s="37"/>
      <c r="F2291" s="7"/>
      <c r="G2291" s="65"/>
      <c r="H2291" s="9"/>
    </row>
    <row r="2292" spans="2:8" ht="15.75" hidden="1" customHeight="1" thickBot="1" x14ac:dyDescent="0.3">
      <c r="B2292" s="10" t="s">
        <v>45</v>
      </c>
      <c r="C2292" s="35" t="str">
        <f t="shared" si="29"/>
        <v/>
      </c>
      <c r="D2292" s="36"/>
      <c r="E2292" s="37"/>
      <c r="F2292" s="7"/>
      <c r="G2292" s="65"/>
      <c r="H2292" s="9"/>
    </row>
    <row r="2293" spans="2:8" ht="15.75" hidden="1" customHeight="1" thickBot="1" x14ac:dyDescent="0.3">
      <c r="B2293" s="10" t="s">
        <v>45</v>
      </c>
      <c r="C2293" s="35" t="str">
        <f t="shared" si="29"/>
        <v/>
      </c>
      <c r="D2293" s="36"/>
      <c r="E2293" s="37"/>
      <c r="F2293" s="7"/>
      <c r="G2293" s="65"/>
      <c r="H2293" s="9"/>
    </row>
    <row r="2294" spans="2:8" ht="15.75" hidden="1" customHeight="1" thickBot="1" x14ac:dyDescent="0.3">
      <c r="B2294" s="10" t="s">
        <v>45</v>
      </c>
      <c r="C2294" s="35" t="str">
        <f t="shared" si="29"/>
        <v/>
      </c>
      <c r="D2294" s="36"/>
      <c r="E2294" s="37"/>
      <c r="F2294" s="7"/>
      <c r="G2294" s="65"/>
      <c r="H2294" s="9"/>
    </row>
    <row r="2295" spans="2:8" ht="15.75" hidden="1" customHeight="1" thickBot="1" x14ac:dyDescent="0.3">
      <c r="B2295" s="10" t="s">
        <v>45</v>
      </c>
      <c r="C2295" s="35" t="str">
        <f t="shared" si="29"/>
        <v/>
      </c>
      <c r="D2295" s="36"/>
      <c r="E2295" s="37"/>
      <c r="F2295" s="7"/>
      <c r="G2295" s="65"/>
      <c r="H2295" s="9"/>
    </row>
    <row r="2296" spans="2:8" ht="15.75" hidden="1" customHeight="1" thickBot="1" x14ac:dyDescent="0.3">
      <c r="B2296" s="10" t="s">
        <v>45</v>
      </c>
      <c r="C2296" s="35" t="str">
        <f t="shared" si="29"/>
        <v/>
      </c>
      <c r="D2296" s="36"/>
      <c r="E2296" s="37"/>
      <c r="F2296" s="7"/>
      <c r="G2296" s="65"/>
      <c r="H2296" s="9"/>
    </row>
    <row r="2297" spans="2:8" ht="15.75" hidden="1" customHeight="1" thickBot="1" x14ac:dyDescent="0.3">
      <c r="B2297" s="10" t="s">
        <v>45</v>
      </c>
      <c r="C2297" s="35" t="str">
        <f t="shared" si="29"/>
        <v/>
      </c>
      <c r="D2297" s="36"/>
      <c r="E2297" s="37"/>
      <c r="F2297" s="7"/>
      <c r="G2297" s="65"/>
      <c r="H2297" s="9"/>
    </row>
    <row r="2298" spans="2:8" ht="15.75" hidden="1" customHeight="1" thickBot="1" x14ac:dyDescent="0.3">
      <c r="B2298" s="10" t="s">
        <v>45</v>
      </c>
      <c r="C2298" s="35" t="str">
        <f t="shared" si="29"/>
        <v/>
      </c>
      <c r="D2298" s="36"/>
      <c r="E2298" s="37"/>
      <c r="F2298" s="7"/>
      <c r="G2298" s="65"/>
      <c r="H2298" s="9"/>
    </row>
    <row r="2299" spans="2:8" ht="15.75" hidden="1" customHeight="1" thickBot="1" x14ac:dyDescent="0.3">
      <c r="B2299" s="10" t="s">
        <v>45</v>
      </c>
      <c r="C2299" s="35" t="str">
        <f t="shared" si="29"/>
        <v/>
      </c>
      <c r="D2299" s="36"/>
      <c r="E2299" s="37"/>
      <c r="F2299" s="7"/>
      <c r="G2299" s="65"/>
      <c r="H2299" s="9"/>
    </row>
    <row r="2300" spans="2:8" ht="15.75" hidden="1" customHeight="1" thickBot="1" x14ac:dyDescent="0.3">
      <c r="B2300" s="10" t="s">
        <v>45</v>
      </c>
      <c r="C2300" s="35" t="str">
        <f t="shared" si="29"/>
        <v/>
      </c>
      <c r="D2300" s="36"/>
      <c r="E2300" s="37"/>
      <c r="F2300" s="7"/>
      <c r="G2300" s="65"/>
      <c r="H2300" s="9"/>
    </row>
    <row r="2301" spans="2:8" ht="15.75" hidden="1" customHeight="1" thickBot="1" x14ac:dyDescent="0.3">
      <c r="B2301" s="10" t="s">
        <v>45</v>
      </c>
      <c r="C2301" s="35" t="str">
        <f t="shared" si="29"/>
        <v/>
      </c>
      <c r="D2301" s="36"/>
      <c r="E2301" s="37"/>
      <c r="F2301" s="7"/>
      <c r="G2301" s="65"/>
      <c r="H2301" s="9"/>
    </row>
    <row r="2302" spans="2:8" ht="15.75" hidden="1" customHeight="1" thickBot="1" x14ac:dyDescent="0.3">
      <c r="B2302" s="10" t="s">
        <v>45</v>
      </c>
      <c r="C2302" s="35" t="str">
        <f t="shared" si="29"/>
        <v/>
      </c>
      <c r="D2302" s="36"/>
      <c r="E2302" s="37"/>
      <c r="F2302" s="7"/>
      <c r="G2302" s="65"/>
      <c r="H2302" s="9"/>
    </row>
    <row r="2303" spans="2:8" ht="15.75" hidden="1" customHeight="1" thickBot="1" x14ac:dyDescent="0.3">
      <c r="B2303" s="10" t="s">
        <v>45</v>
      </c>
      <c r="C2303" s="35" t="str">
        <f t="shared" si="29"/>
        <v/>
      </c>
      <c r="D2303" s="36"/>
      <c r="E2303" s="37"/>
      <c r="F2303" s="7"/>
      <c r="G2303" s="65"/>
      <c r="H2303" s="9"/>
    </row>
    <row r="2304" spans="2:8" ht="15.75" hidden="1" customHeight="1" thickBot="1" x14ac:dyDescent="0.3">
      <c r="B2304" s="10" t="s">
        <v>45</v>
      </c>
      <c r="C2304" s="35" t="str">
        <f t="shared" si="29"/>
        <v/>
      </c>
      <c r="D2304" s="36"/>
      <c r="E2304" s="37"/>
      <c r="F2304" s="7"/>
      <c r="G2304" s="65"/>
      <c r="H2304" s="9"/>
    </row>
    <row r="2305" spans="2:8" ht="15.75" hidden="1" customHeight="1" thickBot="1" x14ac:dyDescent="0.3">
      <c r="B2305" s="10" t="s">
        <v>45</v>
      </c>
      <c r="C2305" s="35" t="str">
        <f t="shared" si="29"/>
        <v/>
      </c>
      <c r="D2305" s="36"/>
      <c r="E2305" s="37"/>
      <c r="F2305" s="7"/>
      <c r="G2305" s="65"/>
      <c r="H2305" s="9"/>
    </row>
    <row r="2306" spans="2:8" ht="15.75" hidden="1" customHeight="1" thickBot="1" x14ac:dyDescent="0.3">
      <c r="B2306" s="10" t="s">
        <v>45</v>
      </c>
      <c r="C2306" s="35" t="str">
        <f t="shared" si="29"/>
        <v/>
      </c>
      <c r="D2306" s="36"/>
      <c r="E2306" s="37"/>
      <c r="F2306" s="7"/>
      <c r="G2306" s="65"/>
      <c r="H2306" s="9"/>
    </row>
    <row r="2307" spans="2:8" ht="15.75" hidden="1" customHeight="1" thickBot="1" x14ac:dyDescent="0.3">
      <c r="B2307" s="10" t="s">
        <v>45</v>
      </c>
      <c r="C2307" s="35" t="str">
        <f t="shared" si="29"/>
        <v/>
      </c>
      <c r="D2307" s="36"/>
      <c r="E2307" s="37"/>
      <c r="F2307" s="7"/>
      <c r="G2307" s="65"/>
      <c r="H2307" s="9"/>
    </row>
    <row r="2308" spans="2:8" ht="15.75" hidden="1" customHeight="1" thickBot="1" x14ac:dyDescent="0.3">
      <c r="B2308" s="10" t="s">
        <v>45</v>
      </c>
      <c r="C2308" s="35" t="str">
        <f t="shared" ref="C2308:C2371" si="30">IF(E2308="","",IF(ISERROR(VLOOKUP(E2308,rTimeZoneTable,8,0)),"Update Contacts",VLOOKUP(E2308,rTimeZoneTable,8,0)))</f>
        <v/>
      </c>
      <c r="D2308" s="36"/>
      <c r="E2308" s="37"/>
      <c r="F2308" s="7"/>
      <c r="G2308" s="65"/>
      <c r="H2308" s="9"/>
    </row>
    <row r="2309" spans="2:8" ht="15.75" hidden="1" customHeight="1" thickBot="1" x14ac:dyDescent="0.3">
      <c r="B2309" s="10" t="s">
        <v>45</v>
      </c>
      <c r="C2309" s="35" t="str">
        <f t="shared" si="30"/>
        <v/>
      </c>
      <c r="D2309" s="36"/>
      <c r="E2309" s="37"/>
      <c r="F2309" s="7"/>
      <c r="G2309" s="65"/>
      <c r="H2309" s="9"/>
    </row>
    <row r="2310" spans="2:8" ht="15.75" hidden="1" customHeight="1" thickBot="1" x14ac:dyDescent="0.3">
      <c r="B2310" s="10" t="s">
        <v>45</v>
      </c>
      <c r="C2310" s="35" t="str">
        <f t="shared" si="30"/>
        <v/>
      </c>
      <c r="D2310" s="36"/>
      <c r="E2310" s="37"/>
      <c r="F2310" s="7"/>
      <c r="G2310" s="65"/>
      <c r="H2310" s="9"/>
    </row>
    <row r="2311" spans="2:8" ht="15.75" hidden="1" customHeight="1" thickBot="1" x14ac:dyDescent="0.3">
      <c r="B2311" s="10" t="s">
        <v>45</v>
      </c>
      <c r="C2311" s="35" t="str">
        <f t="shared" si="30"/>
        <v/>
      </c>
      <c r="D2311" s="36"/>
      <c r="E2311" s="37"/>
      <c r="F2311" s="7"/>
      <c r="G2311" s="65"/>
      <c r="H2311" s="9"/>
    </row>
    <row r="2312" spans="2:8" ht="15.75" hidden="1" customHeight="1" thickBot="1" x14ac:dyDescent="0.3">
      <c r="B2312" s="10" t="s">
        <v>45</v>
      </c>
      <c r="C2312" s="35" t="str">
        <f t="shared" si="30"/>
        <v/>
      </c>
      <c r="D2312" s="36"/>
      <c r="E2312" s="37"/>
      <c r="F2312" s="7"/>
      <c r="G2312" s="65"/>
      <c r="H2312" s="9"/>
    </row>
    <row r="2313" spans="2:8" ht="15.75" hidden="1" customHeight="1" thickBot="1" x14ac:dyDescent="0.3">
      <c r="B2313" s="10" t="s">
        <v>45</v>
      </c>
      <c r="C2313" s="35" t="str">
        <f t="shared" si="30"/>
        <v/>
      </c>
      <c r="D2313" s="36"/>
      <c r="E2313" s="37"/>
      <c r="F2313" s="7"/>
      <c r="G2313" s="65"/>
      <c r="H2313" s="9"/>
    </row>
    <row r="2314" spans="2:8" ht="15.75" hidden="1" customHeight="1" thickBot="1" x14ac:dyDescent="0.3">
      <c r="B2314" s="10" t="s">
        <v>45</v>
      </c>
      <c r="C2314" s="35" t="str">
        <f t="shared" si="30"/>
        <v/>
      </c>
      <c r="D2314" s="36"/>
      <c r="E2314" s="37"/>
      <c r="F2314" s="7"/>
      <c r="G2314" s="65"/>
      <c r="H2314" s="9"/>
    </row>
    <row r="2315" spans="2:8" ht="15.75" hidden="1" customHeight="1" thickBot="1" x14ac:dyDescent="0.3">
      <c r="B2315" s="10" t="s">
        <v>45</v>
      </c>
      <c r="C2315" s="35" t="str">
        <f t="shared" si="30"/>
        <v/>
      </c>
      <c r="D2315" s="36"/>
      <c r="E2315" s="37"/>
      <c r="F2315" s="7"/>
      <c r="G2315" s="65"/>
      <c r="H2315" s="9"/>
    </row>
    <row r="2316" spans="2:8" ht="15.75" hidden="1" customHeight="1" thickBot="1" x14ac:dyDescent="0.3">
      <c r="B2316" s="10" t="s">
        <v>45</v>
      </c>
      <c r="C2316" s="35" t="str">
        <f t="shared" si="30"/>
        <v/>
      </c>
      <c r="D2316" s="36"/>
      <c r="E2316" s="37"/>
      <c r="F2316" s="7"/>
      <c r="G2316" s="65"/>
      <c r="H2316" s="9"/>
    </row>
    <row r="2317" spans="2:8" ht="15.75" hidden="1" customHeight="1" thickBot="1" x14ac:dyDescent="0.3">
      <c r="B2317" s="10" t="s">
        <v>45</v>
      </c>
      <c r="C2317" s="35" t="str">
        <f t="shared" si="30"/>
        <v/>
      </c>
      <c r="D2317" s="36"/>
      <c r="E2317" s="37"/>
      <c r="F2317" s="7"/>
      <c r="G2317" s="65"/>
      <c r="H2317" s="9"/>
    </row>
    <row r="2318" spans="2:8" ht="15.75" hidden="1" customHeight="1" thickBot="1" x14ac:dyDescent="0.3">
      <c r="B2318" s="10" t="s">
        <v>45</v>
      </c>
      <c r="C2318" s="35" t="str">
        <f t="shared" si="30"/>
        <v/>
      </c>
      <c r="D2318" s="36"/>
      <c r="E2318" s="37"/>
      <c r="F2318" s="7"/>
      <c r="G2318" s="65"/>
      <c r="H2318" s="9"/>
    </row>
    <row r="2319" spans="2:8" ht="15.75" hidden="1" customHeight="1" thickBot="1" x14ac:dyDescent="0.3">
      <c r="B2319" s="10" t="s">
        <v>45</v>
      </c>
      <c r="C2319" s="35" t="str">
        <f t="shared" si="30"/>
        <v/>
      </c>
      <c r="D2319" s="36"/>
      <c r="E2319" s="37"/>
      <c r="F2319" s="7"/>
      <c r="G2319" s="65"/>
      <c r="H2319" s="9"/>
    </row>
    <row r="2320" spans="2:8" ht="15.75" hidden="1" customHeight="1" thickBot="1" x14ac:dyDescent="0.3">
      <c r="B2320" s="10" t="s">
        <v>45</v>
      </c>
      <c r="C2320" s="35" t="str">
        <f t="shared" si="30"/>
        <v/>
      </c>
      <c r="D2320" s="36"/>
      <c r="E2320" s="37"/>
      <c r="F2320" s="7"/>
      <c r="G2320" s="65"/>
      <c r="H2320" s="9"/>
    </row>
    <row r="2321" spans="2:8" ht="15.75" hidden="1" customHeight="1" thickBot="1" x14ac:dyDescent="0.3">
      <c r="B2321" s="10" t="s">
        <v>45</v>
      </c>
      <c r="C2321" s="35" t="str">
        <f t="shared" si="30"/>
        <v/>
      </c>
      <c r="D2321" s="36"/>
      <c r="E2321" s="37"/>
      <c r="F2321" s="7"/>
      <c r="G2321" s="65"/>
      <c r="H2321" s="9"/>
    </row>
    <row r="2322" spans="2:8" ht="15.75" hidden="1" customHeight="1" thickBot="1" x14ac:dyDescent="0.3">
      <c r="B2322" s="10" t="s">
        <v>45</v>
      </c>
      <c r="C2322" s="35" t="str">
        <f t="shared" si="30"/>
        <v/>
      </c>
      <c r="D2322" s="36"/>
      <c r="E2322" s="37"/>
      <c r="F2322" s="7"/>
      <c r="G2322" s="65"/>
      <c r="H2322" s="9"/>
    </row>
    <row r="2323" spans="2:8" ht="15.75" hidden="1" customHeight="1" thickBot="1" x14ac:dyDescent="0.3">
      <c r="B2323" s="10" t="s">
        <v>45</v>
      </c>
      <c r="C2323" s="35" t="str">
        <f t="shared" si="30"/>
        <v/>
      </c>
      <c r="D2323" s="36"/>
      <c r="E2323" s="37"/>
      <c r="F2323" s="7"/>
      <c r="G2323" s="65"/>
      <c r="H2323" s="9"/>
    </row>
    <row r="2324" spans="2:8" ht="15.75" hidden="1" customHeight="1" thickBot="1" x14ac:dyDescent="0.3">
      <c r="B2324" s="10" t="s">
        <v>45</v>
      </c>
      <c r="C2324" s="35" t="str">
        <f t="shared" si="30"/>
        <v/>
      </c>
      <c r="D2324" s="36"/>
      <c r="E2324" s="37"/>
      <c r="F2324" s="7"/>
      <c r="G2324" s="65"/>
      <c r="H2324" s="9"/>
    </row>
    <row r="2325" spans="2:8" ht="15.75" hidden="1" customHeight="1" thickBot="1" x14ac:dyDescent="0.3">
      <c r="B2325" s="10" t="s">
        <v>45</v>
      </c>
      <c r="C2325" s="35" t="str">
        <f t="shared" si="30"/>
        <v/>
      </c>
      <c r="D2325" s="36"/>
      <c r="E2325" s="37"/>
      <c r="F2325" s="7"/>
      <c r="G2325" s="65"/>
      <c r="H2325" s="9"/>
    </row>
    <row r="2326" spans="2:8" ht="15.75" hidden="1" customHeight="1" thickBot="1" x14ac:dyDescent="0.3">
      <c r="B2326" s="10" t="s">
        <v>45</v>
      </c>
      <c r="C2326" s="35" t="str">
        <f t="shared" si="30"/>
        <v/>
      </c>
      <c r="D2326" s="36"/>
      <c r="E2326" s="37"/>
      <c r="F2326" s="7"/>
      <c r="G2326" s="65"/>
      <c r="H2326" s="9"/>
    </row>
    <row r="2327" spans="2:8" ht="15.75" hidden="1" customHeight="1" thickBot="1" x14ac:dyDescent="0.3">
      <c r="B2327" s="10" t="s">
        <v>45</v>
      </c>
      <c r="C2327" s="35" t="str">
        <f t="shared" si="30"/>
        <v/>
      </c>
      <c r="D2327" s="36"/>
      <c r="E2327" s="37"/>
      <c r="F2327" s="7"/>
      <c r="G2327" s="65"/>
      <c r="H2327" s="9"/>
    </row>
    <row r="2328" spans="2:8" ht="15.75" hidden="1" customHeight="1" thickBot="1" x14ac:dyDescent="0.3">
      <c r="B2328" s="10" t="s">
        <v>45</v>
      </c>
      <c r="C2328" s="35" t="str">
        <f t="shared" si="30"/>
        <v/>
      </c>
      <c r="D2328" s="36"/>
      <c r="E2328" s="37"/>
      <c r="F2328" s="7"/>
      <c r="G2328" s="65"/>
      <c r="H2328" s="9"/>
    </row>
    <row r="2329" spans="2:8" ht="15.75" hidden="1" customHeight="1" thickBot="1" x14ac:dyDescent="0.3">
      <c r="B2329" s="10" t="s">
        <v>45</v>
      </c>
      <c r="C2329" s="35" t="str">
        <f t="shared" si="30"/>
        <v/>
      </c>
      <c r="D2329" s="36"/>
      <c r="E2329" s="37"/>
      <c r="F2329" s="7"/>
      <c r="G2329" s="65"/>
      <c r="H2329" s="9"/>
    </row>
    <row r="2330" spans="2:8" ht="15.75" hidden="1" customHeight="1" thickBot="1" x14ac:dyDescent="0.3">
      <c r="B2330" s="10" t="s">
        <v>45</v>
      </c>
      <c r="C2330" s="35" t="str">
        <f t="shared" si="30"/>
        <v/>
      </c>
      <c r="D2330" s="36"/>
      <c r="E2330" s="37"/>
      <c r="F2330" s="7"/>
      <c r="G2330" s="65"/>
      <c r="H2330" s="9"/>
    </row>
    <row r="2331" spans="2:8" ht="15.75" hidden="1" customHeight="1" thickBot="1" x14ac:dyDescent="0.3">
      <c r="B2331" s="10" t="s">
        <v>45</v>
      </c>
      <c r="C2331" s="35" t="str">
        <f t="shared" si="30"/>
        <v/>
      </c>
      <c r="D2331" s="36"/>
      <c r="E2331" s="37"/>
      <c r="F2331" s="7"/>
      <c r="G2331" s="65"/>
      <c r="H2331" s="9"/>
    </row>
    <row r="2332" spans="2:8" ht="15.75" hidden="1" customHeight="1" thickBot="1" x14ac:dyDescent="0.3">
      <c r="B2332" s="10" t="s">
        <v>45</v>
      </c>
      <c r="C2332" s="35" t="str">
        <f t="shared" si="30"/>
        <v/>
      </c>
      <c r="D2332" s="36"/>
      <c r="E2332" s="37"/>
      <c r="F2332" s="7"/>
      <c r="G2332" s="65"/>
      <c r="H2332" s="9"/>
    </row>
    <row r="2333" spans="2:8" ht="15.75" hidden="1" customHeight="1" thickBot="1" x14ac:dyDescent="0.3">
      <c r="B2333" s="10" t="s">
        <v>45</v>
      </c>
      <c r="C2333" s="35" t="str">
        <f t="shared" si="30"/>
        <v/>
      </c>
      <c r="D2333" s="36"/>
      <c r="E2333" s="37"/>
      <c r="F2333" s="7"/>
      <c r="G2333" s="65"/>
      <c r="H2333" s="9"/>
    </row>
    <row r="2334" spans="2:8" ht="15.75" hidden="1" customHeight="1" thickBot="1" x14ac:dyDescent="0.3">
      <c r="B2334" s="10" t="s">
        <v>45</v>
      </c>
      <c r="C2334" s="35" t="str">
        <f t="shared" si="30"/>
        <v/>
      </c>
      <c r="D2334" s="36"/>
      <c r="E2334" s="37"/>
      <c r="F2334" s="7"/>
      <c r="G2334" s="65"/>
      <c r="H2334" s="9"/>
    </row>
    <row r="2335" spans="2:8" ht="15.75" hidden="1" customHeight="1" thickBot="1" x14ac:dyDescent="0.3">
      <c r="B2335" s="10" t="s">
        <v>45</v>
      </c>
      <c r="C2335" s="35" t="str">
        <f t="shared" si="30"/>
        <v/>
      </c>
      <c r="D2335" s="36"/>
      <c r="E2335" s="37"/>
      <c r="F2335" s="7"/>
      <c r="G2335" s="65"/>
      <c r="H2335" s="9"/>
    </row>
    <row r="2336" spans="2:8" ht="15.75" hidden="1" customHeight="1" thickBot="1" x14ac:dyDescent="0.3">
      <c r="B2336" s="10" t="s">
        <v>45</v>
      </c>
      <c r="C2336" s="35" t="str">
        <f t="shared" si="30"/>
        <v/>
      </c>
      <c r="D2336" s="36"/>
      <c r="E2336" s="37"/>
      <c r="F2336" s="7"/>
      <c r="G2336" s="65"/>
      <c r="H2336" s="9"/>
    </row>
    <row r="2337" spans="2:8" ht="15.75" hidden="1" customHeight="1" thickBot="1" x14ac:dyDescent="0.3">
      <c r="B2337" s="10" t="s">
        <v>45</v>
      </c>
      <c r="C2337" s="35" t="str">
        <f t="shared" si="30"/>
        <v/>
      </c>
      <c r="D2337" s="36"/>
      <c r="E2337" s="37"/>
      <c r="F2337" s="7"/>
      <c r="G2337" s="65"/>
      <c r="H2337" s="9"/>
    </row>
    <row r="2338" spans="2:8" ht="15.75" hidden="1" customHeight="1" thickBot="1" x14ac:dyDescent="0.3">
      <c r="B2338" s="10" t="s">
        <v>45</v>
      </c>
      <c r="C2338" s="35" t="str">
        <f t="shared" si="30"/>
        <v/>
      </c>
      <c r="D2338" s="36"/>
      <c r="E2338" s="37"/>
      <c r="F2338" s="7"/>
      <c r="G2338" s="65"/>
      <c r="H2338" s="9"/>
    </row>
    <row r="2339" spans="2:8" ht="15.75" hidden="1" customHeight="1" thickBot="1" x14ac:dyDescent="0.3">
      <c r="B2339" s="10" t="s">
        <v>45</v>
      </c>
      <c r="C2339" s="35" t="str">
        <f t="shared" si="30"/>
        <v/>
      </c>
      <c r="D2339" s="36"/>
      <c r="E2339" s="37"/>
      <c r="F2339" s="7"/>
      <c r="G2339" s="65"/>
      <c r="H2339" s="9"/>
    </row>
    <row r="2340" spans="2:8" ht="15.75" hidden="1" customHeight="1" thickBot="1" x14ac:dyDescent="0.3">
      <c r="B2340" s="10" t="s">
        <v>45</v>
      </c>
      <c r="C2340" s="35" t="str">
        <f t="shared" si="30"/>
        <v/>
      </c>
      <c r="D2340" s="36"/>
      <c r="E2340" s="37"/>
      <c r="F2340" s="7"/>
      <c r="G2340" s="65"/>
      <c r="H2340" s="9"/>
    </row>
    <row r="2341" spans="2:8" ht="15.75" hidden="1" customHeight="1" thickBot="1" x14ac:dyDescent="0.3">
      <c r="B2341" s="10" t="s">
        <v>45</v>
      </c>
      <c r="C2341" s="35" t="str">
        <f t="shared" si="30"/>
        <v/>
      </c>
      <c r="D2341" s="36"/>
      <c r="E2341" s="37"/>
      <c r="F2341" s="7"/>
      <c r="G2341" s="65"/>
      <c r="H2341" s="9"/>
    </row>
    <row r="2342" spans="2:8" ht="15.75" hidden="1" customHeight="1" thickBot="1" x14ac:dyDescent="0.3">
      <c r="B2342" s="10" t="s">
        <v>45</v>
      </c>
      <c r="C2342" s="35" t="str">
        <f t="shared" si="30"/>
        <v/>
      </c>
      <c r="D2342" s="36"/>
      <c r="E2342" s="37"/>
      <c r="F2342" s="7"/>
      <c r="G2342" s="65"/>
      <c r="H2342" s="9"/>
    </row>
    <row r="2343" spans="2:8" ht="15.75" hidden="1" customHeight="1" thickBot="1" x14ac:dyDescent="0.3">
      <c r="B2343" s="10" t="s">
        <v>45</v>
      </c>
      <c r="C2343" s="35" t="str">
        <f t="shared" si="30"/>
        <v/>
      </c>
      <c r="D2343" s="36"/>
      <c r="E2343" s="37"/>
      <c r="F2343" s="7"/>
      <c r="G2343" s="65"/>
      <c r="H2343" s="9"/>
    </row>
    <row r="2344" spans="2:8" ht="15.75" hidden="1" customHeight="1" thickBot="1" x14ac:dyDescent="0.3">
      <c r="B2344" s="10" t="s">
        <v>45</v>
      </c>
      <c r="C2344" s="35" t="str">
        <f t="shared" si="30"/>
        <v/>
      </c>
      <c r="D2344" s="36"/>
      <c r="E2344" s="37"/>
      <c r="F2344" s="7"/>
      <c r="G2344" s="65"/>
      <c r="H2344" s="9"/>
    </row>
    <row r="2345" spans="2:8" ht="15.75" hidden="1" customHeight="1" thickBot="1" x14ac:dyDescent="0.3">
      <c r="B2345" s="10" t="s">
        <v>45</v>
      </c>
      <c r="C2345" s="35" t="str">
        <f t="shared" si="30"/>
        <v/>
      </c>
      <c r="D2345" s="36"/>
      <c r="E2345" s="37"/>
      <c r="F2345" s="7"/>
      <c r="G2345" s="65"/>
      <c r="H2345" s="9"/>
    </row>
    <row r="2346" spans="2:8" ht="15.75" hidden="1" customHeight="1" thickBot="1" x14ac:dyDescent="0.3">
      <c r="B2346" s="10" t="s">
        <v>45</v>
      </c>
      <c r="C2346" s="35" t="str">
        <f t="shared" si="30"/>
        <v/>
      </c>
      <c r="D2346" s="36"/>
      <c r="E2346" s="37"/>
      <c r="F2346" s="7"/>
      <c r="G2346" s="65"/>
      <c r="H2346" s="9"/>
    </row>
    <row r="2347" spans="2:8" ht="15.75" hidden="1" customHeight="1" thickBot="1" x14ac:dyDescent="0.3">
      <c r="B2347" s="10" t="s">
        <v>45</v>
      </c>
      <c r="C2347" s="35" t="str">
        <f t="shared" si="30"/>
        <v/>
      </c>
      <c r="D2347" s="36"/>
      <c r="E2347" s="37"/>
      <c r="F2347" s="7"/>
      <c r="G2347" s="65"/>
      <c r="H2347" s="9"/>
    </row>
    <row r="2348" spans="2:8" ht="15.75" hidden="1" customHeight="1" thickBot="1" x14ac:dyDescent="0.3">
      <c r="B2348" s="10" t="s">
        <v>45</v>
      </c>
      <c r="C2348" s="35" t="str">
        <f t="shared" si="30"/>
        <v/>
      </c>
      <c r="D2348" s="36"/>
      <c r="E2348" s="37"/>
      <c r="F2348" s="7"/>
      <c r="G2348" s="65"/>
      <c r="H2348" s="9"/>
    </row>
    <row r="2349" spans="2:8" ht="15.75" hidden="1" customHeight="1" thickBot="1" x14ac:dyDescent="0.3">
      <c r="B2349" s="10" t="s">
        <v>45</v>
      </c>
      <c r="C2349" s="35" t="str">
        <f t="shared" si="30"/>
        <v/>
      </c>
      <c r="D2349" s="36"/>
      <c r="E2349" s="37"/>
      <c r="F2349" s="7"/>
      <c r="G2349" s="65"/>
      <c r="H2349" s="9"/>
    </row>
    <row r="2350" spans="2:8" ht="15.75" hidden="1" customHeight="1" thickBot="1" x14ac:dyDescent="0.3">
      <c r="B2350" s="10" t="s">
        <v>45</v>
      </c>
      <c r="C2350" s="35" t="str">
        <f t="shared" si="30"/>
        <v/>
      </c>
      <c r="D2350" s="36"/>
      <c r="E2350" s="37"/>
      <c r="F2350" s="7"/>
      <c r="G2350" s="65"/>
      <c r="H2350" s="9"/>
    </row>
    <row r="2351" spans="2:8" ht="15.75" hidden="1" customHeight="1" thickBot="1" x14ac:dyDescent="0.3">
      <c r="B2351" s="10" t="s">
        <v>45</v>
      </c>
      <c r="C2351" s="35" t="str">
        <f t="shared" si="30"/>
        <v/>
      </c>
      <c r="D2351" s="36"/>
      <c r="E2351" s="37"/>
      <c r="F2351" s="7"/>
      <c r="G2351" s="65"/>
      <c r="H2351" s="9"/>
    </row>
    <row r="2352" spans="2:8" ht="15.75" hidden="1" customHeight="1" thickBot="1" x14ac:dyDescent="0.3">
      <c r="B2352" s="10" t="s">
        <v>45</v>
      </c>
      <c r="C2352" s="35" t="str">
        <f t="shared" si="30"/>
        <v/>
      </c>
      <c r="D2352" s="36"/>
      <c r="E2352" s="37"/>
      <c r="F2352" s="7"/>
      <c r="G2352" s="65"/>
      <c r="H2352" s="9"/>
    </row>
    <row r="2353" spans="2:8" ht="15.75" hidden="1" customHeight="1" thickBot="1" x14ac:dyDescent="0.3">
      <c r="B2353" s="10" t="s">
        <v>45</v>
      </c>
      <c r="C2353" s="35" t="str">
        <f t="shared" si="30"/>
        <v/>
      </c>
      <c r="D2353" s="36"/>
      <c r="E2353" s="37"/>
      <c r="F2353" s="7"/>
      <c r="G2353" s="65"/>
      <c r="H2353" s="9"/>
    </row>
    <row r="2354" spans="2:8" ht="15.75" hidden="1" customHeight="1" thickBot="1" x14ac:dyDescent="0.3">
      <c r="B2354" s="10" t="s">
        <v>45</v>
      </c>
      <c r="C2354" s="35" t="str">
        <f t="shared" si="30"/>
        <v/>
      </c>
      <c r="D2354" s="36"/>
      <c r="E2354" s="37"/>
      <c r="F2354" s="7"/>
      <c r="G2354" s="65"/>
      <c r="H2354" s="9"/>
    </row>
    <row r="2355" spans="2:8" ht="15.75" hidden="1" customHeight="1" thickBot="1" x14ac:dyDescent="0.3">
      <c r="B2355" s="10" t="s">
        <v>45</v>
      </c>
      <c r="C2355" s="35" t="str">
        <f t="shared" si="30"/>
        <v/>
      </c>
      <c r="D2355" s="36"/>
      <c r="E2355" s="37"/>
      <c r="F2355" s="7"/>
      <c r="G2355" s="65"/>
      <c r="H2355" s="9"/>
    </row>
    <row r="2356" spans="2:8" ht="15.75" hidden="1" customHeight="1" thickBot="1" x14ac:dyDescent="0.3">
      <c r="B2356" s="10" t="s">
        <v>45</v>
      </c>
      <c r="C2356" s="35" t="str">
        <f t="shared" si="30"/>
        <v/>
      </c>
      <c r="D2356" s="36"/>
      <c r="E2356" s="37"/>
      <c r="F2356" s="7"/>
      <c r="G2356" s="65"/>
      <c r="H2356" s="9"/>
    </row>
    <row r="2357" spans="2:8" ht="15.75" hidden="1" customHeight="1" thickBot="1" x14ac:dyDescent="0.3">
      <c r="B2357" s="10" t="s">
        <v>45</v>
      </c>
      <c r="C2357" s="35" t="str">
        <f t="shared" si="30"/>
        <v/>
      </c>
      <c r="D2357" s="36"/>
      <c r="E2357" s="37"/>
      <c r="F2357" s="7"/>
      <c r="G2357" s="65"/>
      <c r="H2357" s="9"/>
    </row>
    <row r="2358" spans="2:8" ht="15.75" hidden="1" customHeight="1" thickBot="1" x14ac:dyDescent="0.3">
      <c r="B2358" s="10" t="s">
        <v>45</v>
      </c>
      <c r="C2358" s="35" t="str">
        <f t="shared" si="30"/>
        <v/>
      </c>
      <c r="D2358" s="36"/>
      <c r="E2358" s="37"/>
      <c r="F2358" s="7"/>
      <c r="G2358" s="65"/>
      <c r="H2358" s="9"/>
    </row>
    <row r="2359" spans="2:8" ht="15.75" hidden="1" customHeight="1" thickBot="1" x14ac:dyDescent="0.3">
      <c r="B2359" s="10" t="s">
        <v>45</v>
      </c>
      <c r="C2359" s="35" t="str">
        <f t="shared" si="30"/>
        <v/>
      </c>
      <c r="D2359" s="36"/>
      <c r="E2359" s="37"/>
      <c r="F2359" s="7"/>
      <c r="G2359" s="65"/>
      <c r="H2359" s="9"/>
    </row>
    <row r="2360" spans="2:8" ht="15.75" hidden="1" customHeight="1" thickBot="1" x14ac:dyDescent="0.3">
      <c r="B2360" s="10" t="s">
        <v>45</v>
      </c>
      <c r="C2360" s="35" t="str">
        <f t="shared" si="30"/>
        <v/>
      </c>
      <c r="D2360" s="36"/>
      <c r="E2360" s="37"/>
      <c r="F2360" s="7"/>
      <c r="G2360" s="65"/>
      <c r="H2360" s="9"/>
    </row>
    <row r="2361" spans="2:8" ht="15.75" hidden="1" customHeight="1" thickBot="1" x14ac:dyDescent="0.3">
      <c r="B2361" s="10" t="s">
        <v>45</v>
      </c>
      <c r="C2361" s="35" t="str">
        <f t="shared" si="30"/>
        <v/>
      </c>
      <c r="D2361" s="36"/>
      <c r="E2361" s="37"/>
      <c r="F2361" s="7"/>
      <c r="G2361" s="65"/>
      <c r="H2361" s="9"/>
    </row>
    <row r="2362" spans="2:8" ht="15.75" hidden="1" customHeight="1" thickBot="1" x14ac:dyDescent="0.3">
      <c r="B2362" s="10" t="s">
        <v>45</v>
      </c>
      <c r="C2362" s="35" t="str">
        <f t="shared" si="30"/>
        <v/>
      </c>
      <c r="D2362" s="36"/>
      <c r="E2362" s="37"/>
      <c r="F2362" s="7"/>
      <c r="G2362" s="65"/>
      <c r="H2362" s="9"/>
    </row>
    <row r="2363" spans="2:8" ht="15.75" hidden="1" customHeight="1" thickBot="1" x14ac:dyDescent="0.3">
      <c r="B2363" s="10" t="s">
        <v>45</v>
      </c>
      <c r="C2363" s="35" t="str">
        <f t="shared" si="30"/>
        <v/>
      </c>
      <c r="D2363" s="36"/>
      <c r="E2363" s="37"/>
      <c r="F2363" s="7"/>
      <c r="G2363" s="65"/>
      <c r="H2363" s="9"/>
    </row>
    <row r="2364" spans="2:8" ht="15.75" hidden="1" customHeight="1" thickBot="1" x14ac:dyDescent="0.3">
      <c r="B2364" s="10" t="s">
        <v>45</v>
      </c>
      <c r="C2364" s="35" t="str">
        <f t="shared" si="30"/>
        <v/>
      </c>
      <c r="D2364" s="36"/>
      <c r="E2364" s="37"/>
      <c r="F2364" s="7"/>
      <c r="G2364" s="65"/>
      <c r="H2364" s="9"/>
    </row>
    <row r="2365" spans="2:8" ht="15.75" hidden="1" customHeight="1" thickBot="1" x14ac:dyDescent="0.3">
      <c r="B2365" s="10" t="s">
        <v>45</v>
      </c>
      <c r="C2365" s="35" t="str">
        <f t="shared" si="30"/>
        <v/>
      </c>
      <c r="D2365" s="36"/>
      <c r="E2365" s="37"/>
      <c r="F2365" s="7"/>
      <c r="G2365" s="65"/>
      <c r="H2365" s="9"/>
    </row>
    <row r="2366" spans="2:8" ht="15.75" hidden="1" customHeight="1" thickBot="1" x14ac:dyDescent="0.3">
      <c r="B2366" s="10" t="s">
        <v>45</v>
      </c>
      <c r="C2366" s="35" t="str">
        <f t="shared" si="30"/>
        <v/>
      </c>
      <c r="D2366" s="36"/>
      <c r="E2366" s="37"/>
      <c r="F2366" s="7"/>
      <c r="G2366" s="65"/>
      <c r="H2366" s="9"/>
    </row>
    <row r="2367" spans="2:8" ht="15.75" hidden="1" customHeight="1" thickBot="1" x14ac:dyDescent="0.3">
      <c r="B2367" s="10" t="s">
        <v>45</v>
      </c>
      <c r="C2367" s="35" t="str">
        <f t="shared" si="30"/>
        <v/>
      </c>
      <c r="D2367" s="36"/>
      <c r="E2367" s="37"/>
      <c r="F2367" s="7"/>
      <c r="G2367" s="65"/>
      <c r="H2367" s="9"/>
    </row>
    <row r="2368" spans="2:8" ht="15.75" hidden="1" customHeight="1" thickBot="1" x14ac:dyDescent="0.3">
      <c r="B2368" s="10" t="s">
        <v>45</v>
      </c>
      <c r="C2368" s="35" t="str">
        <f t="shared" si="30"/>
        <v/>
      </c>
      <c r="D2368" s="36"/>
      <c r="E2368" s="37"/>
      <c r="F2368" s="7"/>
      <c r="G2368" s="65"/>
      <c r="H2368" s="9"/>
    </row>
    <row r="2369" spans="2:8" ht="15.75" hidden="1" customHeight="1" thickBot="1" x14ac:dyDescent="0.3">
      <c r="B2369" s="10" t="s">
        <v>45</v>
      </c>
      <c r="C2369" s="35" t="str">
        <f t="shared" si="30"/>
        <v/>
      </c>
      <c r="D2369" s="36"/>
      <c r="E2369" s="37"/>
      <c r="F2369" s="7"/>
      <c r="G2369" s="65"/>
      <c r="H2369" s="9"/>
    </row>
    <row r="2370" spans="2:8" ht="15.75" hidden="1" customHeight="1" thickBot="1" x14ac:dyDescent="0.3">
      <c r="B2370" s="10" t="s">
        <v>45</v>
      </c>
      <c r="C2370" s="35" t="str">
        <f t="shared" si="30"/>
        <v/>
      </c>
      <c r="D2370" s="36"/>
      <c r="E2370" s="37"/>
      <c r="F2370" s="7"/>
      <c r="G2370" s="65"/>
      <c r="H2370" s="9"/>
    </row>
    <row r="2371" spans="2:8" ht="15.75" hidden="1" customHeight="1" thickBot="1" x14ac:dyDescent="0.3">
      <c r="B2371" s="10" t="s">
        <v>45</v>
      </c>
      <c r="C2371" s="35" t="str">
        <f t="shared" si="30"/>
        <v/>
      </c>
      <c r="D2371" s="36"/>
      <c r="E2371" s="37"/>
      <c r="F2371" s="7"/>
      <c r="G2371" s="65"/>
      <c r="H2371" s="9"/>
    </row>
    <row r="2372" spans="2:8" ht="15.75" hidden="1" customHeight="1" thickBot="1" x14ac:dyDescent="0.3">
      <c r="B2372" s="10" t="s">
        <v>45</v>
      </c>
      <c r="C2372" s="35" t="str">
        <f t="shared" ref="C2372:C2411" si="31">IF(E2372="","",IF(ISERROR(VLOOKUP(E2372,rTimeZoneTable,8,0)),"Update Contacts",VLOOKUP(E2372,rTimeZoneTable,8,0)))</f>
        <v/>
      </c>
      <c r="D2372" s="36"/>
      <c r="E2372" s="37"/>
      <c r="F2372" s="7"/>
      <c r="G2372" s="65"/>
      <c r="H2372" s="9"/>
    </row>
    <row r="2373" spans="2:8" ht="15.75" hidden="1" customHeight="1" thickBot="1" x14ac:dyDescent="0.3">
      <c r="B2373" s="10" t="s">
        <v>45</v>
      </c>
      <c r="C2373" s="35" t="str">
        <f t="shared" si="31"/>
        <v/>
      </c>
      <c r="D2373" s="36"/>
      <c r="E2373" s="37"/>
      <c r="F2373" s="7"/>
      <c r="G2373" s="65"/>
      <c r="H2373" s="9"/>
    </row>
    <row r="2374" spans="2:8" ht="15.75" hidden="1" customHeight="1" thickBot="1" x14ac:dyDescent="0.3">
      <c r="B2374" s="10" t="s">
        <v>45</v>
      </c>
      <c r="C2374" s="35" t="str">
        <f t="shared" si="31"/>
        <v/>
      </c>
      <c r="D2374" s="36"/>
      <c r="E2374" s="37"/>
      <c r="F2374" s="7"/>
      <c r="G2374" s="65"/>
      <c r="H2374" s="9"/>
    </row>
    <row r="2375" spans="2:8" ht="15.75" hidden="1" customHeight="1" thickBot="1" x14ac:dyDescent="0.3">
      <c r="B2375" s="10" t="s">
        <v>45</v>
      </c>
      <c r="C2375" s="35" t="str">
        <f t="shared" si="31"/>
        <v/>
      </c>
      <c r="D2375" s="36"/>
      <c r="E2375" s="37"/>
      <c r="F2375" s="7"/>
      <c r="G2375" s="65"/>
      <c r="H2375" s="9"/>
    </row>
    <row r="2376" spans="2:8" ht="15.75" hidden="1" customHeight="1" thickBot="1" x14ac:dyDescent="0.3">
      <c r="B2376" s="10" t="s">
        <v>45</v>
      </c>
      <c r="C2376" s="35" t="str">
        <f t="shared" si="31"/>
        <v/>
      </c>
      <c r="D2376" s="36"/>
      <c r="E2376" s="37"/>
      <c r="F2376" s="7"/>
      <c r="G2376" s="65"/>
      <c r="H2376" s="9"/>
    </row>
    <row r="2377" spans="2:8" ht="15.75" hidden="1" customHeight="1" thickBot="1" x14ac:dyDescent="0.3">
      <c r="B2377" s="10" t="s">
        <v>45</v>
      </c>
      <c r="C2377" s="35" t="str">
        <f t="shared" si="31"/>
        <v/>
      </c>
      <c r="D2377" s="36"/>
      <c r="E2377" s="37"/>
      <c r="F2377" s="7"/>
      <c r="G2377" s="65"/>
      <c r="H2377" s="9"/>
    </row>
    <row r="2378" spans="2:8" ht="15.75" hidden="1" customHeight="1" thickBot="1" x14ac:dyDescent="0.3">
      <c r="B2378" s="10" t="s">
        <v>45</v>
      </c>
      <c r="C2378" s="35" t="str">
        <f t="shared" si="31"/>
        <v/>
      </c>
      <c r="D2378" s="36"/>
      <c r="E2378" s="37"/>
      <c r="F2378" s="7"/>
      <c r="G2378" s="65"/>
      <c r="H2378" s="9"/>
    </row>
    <row r="2379" spans="2:8" ht="15.75" hidden="1" customHeight="1" thickBot="1" x14ac:dyDescent="0.3">
      <c r="B2379" s="10" t="s">
        <v>45</v>
      </c>
      <c r="C2379" s="35" t="str">
        <f t="shared" si="31"/>
        <v/>
      </c>
      <c r="D2379" s="36"/>
      <c r="E2379" s="37"/>
      <c r="F2379" s="7"/>
      <c r="G2379" s="65"/>
      <c r="H2379" s="9"/>
    </row>
    <row r="2380" spans="2:8" ht="15.75" hidden="1" customHeight="1" thickBot="1" x14ac:dyDescent="0.3">
      <c r="B2380" s="10" t="s">
        <v>45</v>
      </c>
      <c r="C2380" s="35" t="str">
        <f t="shared" si="31"/>
        <v/>
      </c>
      <c r="D2380" s="36"/>
      <c r="E2380" s="37"/>
      <c r="F2380" s="7"/>
      <c r="G2380" s="65"/>
      <c r="H2380" s="9"/>
    </row>
    <row r="2381" spans="2:8" ht="15.75" hidden="1" customHeight="1" thickBot="1" x14ac:dyDescent="0.3">
      <c r="B2381" s="10" t="s">
        <v>45</v>
      </c>
      <c r="C2381" s="35" t="str">
        <f t="shared" si="31"/>
        <v/>
      </c>
      <c r="D2381" s="36"/>
      <c r="E2381" s="37"/>
      <c r="F2381" s="7"/>
      <c r="G2381" s="65"/>
      <c r="H2381" s="9"/>
    </row>
    <row r="2382" spans="2:8" ht="15.75" hidden="1" customHeight="1" thickBot="1" x14ac:dyDescent="0.3">
      <c r="B2382" s="10" t="s">
        <v>45</v>
      </c>
      <c r="C2382" s="35" t="str">
        <f t="shared" si="31"/>
        <v/>
      </c>
      <c r="D2382" s="36"/>
      <c r="E2382" s="37"/>
      <c r="F2382" s="7"/>
      <c r="G2382" s="65"/>
      <c r="H2382" s="9"/>
    </row>
    <row r="2383" spans="2:8" ht="15.75" hidden="1" customHeight="1" thickBot="1" x14ac:dyDescent="0.3">
      <c r="B2383" s="10" t="s">
        <v>45</v>
      </c>
      <c r="C2383" s="35" t="str">
        <f t="shared" si="31"/>
        <v/>
      </c>
      <c r="D2383" s="36"/>
      <c r="E2383" s="37"/>
      <c r="F2383" s="7"/>
      <c r="G2383" s="65"/>
      <c r="H2383" s="9"/>
    </row>
    <row r="2384" spans="2:8" ht="15.75" hidden="1" customHeight="1" thickBot="1" x14ac:dyDescent="0.3">
      <c r="B2384" s="10" t="s">
        <v>45</v>
      </c>
      <c r="C2384" s="35" t="str">
        <f t="shared" si="31"/>
        <v/>
      </c>
      <c r="D2384" s="36"/>
      <c r="E2384" s="37"/>
      <c r="F2384" s="7"/>
      <c r="G2384" s="65"/>
      <c r="H2384" s="9"/>
    </row>
    <row r="2385" spans="2:8" ht="15.75" hidden="1" customHeight="1" thickBot="1" x14ac:dyDescent="0.3">
      <c r="B2385" s="10" t="s">
        <v>45</v>
      </c>
      <c r="C2385" s="35" t="str">
        <f t="shared" si="31"/>
        <v/>
      </c>
      <c r="D2385" s="36"/>
      <c r="E2385" s="37"/>
      <c r="F2385" s="7"/>
      <c r="G2385" s="65"/>
      <c r="H2385" s="9"/>
    </row>
    <row r="2386" spans="2:8" ht="15.75" hidden="1" customHeight="1" thickBot="1" x14ac:dyDescent="0.3">
      <c r="B2386" s="10" t="s">
        <v>45</v>
      </c>
      <c r="C2386" s="35" t="str">
        <f t="shared" si="31"/>
        <v/>
      </c>
      <c r="D2386" s="36"/>
      <c r="E2386" s="37"/>
      <c r="F2386" s="7"/>
      <c r="G2386" s="65"/>
      <c r="H2386" s="9"/>
    </row>
    <row r="2387" spans="2:8" ht="15.75" hidden="1" customHeight="1" thickBot="1" x14ac:dyDescent="0.3">
      <c r="B2387" s="10" t="s">
        <v>45</v>
      </c>
      <c r="C2387" s="35" t="str">
        <f t="shared" si="31"/>
        <v/>
      </c>
      <c r="D2387" s="36"/>
      <c r="E2387" s="37"/>
      <c r="F2387" s="7"/>
      <c r="G2387" s="65"/>
      <c r="H2387" s="9"/>
    </row>
    <row r="2388" spans="2:8" ht="15.75" hidden="1" customHeight="1" thickBot="1" x14ac:dyDescent="0.3">
      <c r="B2388" s="10" t="s">
        <v>45</v>
      </c>
      <c r="C2388" s="35" t="str">
        <f t="shared" si="31"/>
        <v/>
      </c>
      <c r="D2388" s="36"/>
      <c r="E2388" s="37"/>
      <c r="F2388" s="7"/>
      <c r="G2388" s="65"/>
      <c r="H2388" s="9"/>
    </row>
    <row r="2389" spans="2:8" ht="15.75" hidden="1" customHeight="1" thickBot="1" x14ac:dyDescent="0.3">
      <c r="B2389" s="10" t="s">
        <v>45</v>
      </c>
      <c r="C2389" s="35" t="str">
        <f t="shared" si="31"/>
        <v/>
      </c>
      <c r="D2389" s="36"/>
      <c r="E2389" s="37"/>
      <c r="F2389" s="7"/>
      <c r="G2389" s="65"/>
      <c r="H2389" s="9"/>
    </row>
    <row r="2390" spans="2:8" ht="15.75" hidden="1" customHeight="1" thickBot="1" x14ac:dyDescent="0.3">
      <c r="B2390" s="10" t="s">
        <v>45</v>
      </c>
      <c r="C2390" s="35" t="str">
        <f t="shared" si="31"/>
        <v/>
      </c>
      <c r="D2390" s="36"/>
      <c r="E2390" s="37"/>
      <c r="F2390" s="7"/>
      <c r="G2390" s="65"/>
      <c r="H2390" s="9"/>
    </row>
    <row r="2391" spans="2:8" ht="15.75" hidden="1" customHeight="1" thickBot="1" x14ac:dyDescent="0.3">
      <c r="B2391" s="10" t="s">
        <v>45</v>
      </c>
      <c r="C2391" s="35" t="str">
        <f t="shared" si="31"/>
        <v/>
      </c>
      <c r="D2391" s="36"/>
      <c r="E2391" s="37"/>
      <c r="F2391" s="7"/>
      <c r="G2391" s="65"/>
      <c r="H2391" s="9"/>
    </row>
    <row r="2392" spans="2:8" ht="15.75" hidden="1" customHeight="1" thickBot="1" x14ac:dyDescent="0.3">
      <c r="B2392" s="10" t="s">
        <v>45</v>
      </c>
      <c r="C2392" s="35" t="str">
        <f t="shared" si="31"/>
        <v/>
      </c>
      <c r="D2392" s="36"/>
      <c r="E2392" s="37"/>
      <c r="F2392" s="7"/>
      <c r="G2392" s="65"/>
      <c r="H2392" s="9"/>
    </row>
    <row r="2393" spans="2:8" ht="15.75" hidden="1" customHeight="1" thickBot="1" x14ac:dyDescent="0.3">
      <c r="B2393" s="10" t="s">
        <v>45</v>
      </c>
      <c r="C2393" s="35" t="str">
        <f t="shared" si="31"/>
        <v/>
      </c>
      <c r="D2393" s="36"/>
      <c r="E2393" s="37"/>
      <c r="F2393" s="7"/>
      <c r="G2393" s="65"/>
      <c r="H2393" s="9"/>
    </row>
    <row r="2394" spans="2:8" ht="15.75" hidden="1" customHeight="1" thickBot="1" x14ac:dyDescent="0.3">
      <c r="B2394" s="10" t="s">
        <v>45</v>
      </c>
      <c r="C2394" s="35" t="str">
        <f t="shared" si="31"/>
        <v/>
      </c>
      <c r="D2394" s="36"/>
      <c r="E2394" s="37"/>
      <c r="F2394" s="7"/>
      <c r="G2394" s="65"/>
      <c r="H2394" s="9"/>
    </row>
    <row r="2395" spans="2:8" ht="15.75" hidden="1" customHeight="1" thickBot="1" x14ac:dyDescent="0.3">
      <c r="B2395" s="10" t="s">
        <v>45</v>
      </c>
      <c r="C2395" s="35" t="str">
        <f t="shared" si="31"/>
        <v/>
      </c>
      <c r="D2395" s="36"/>
      <c r="E2395" s="37"/>
      <c r="F2395" s="7"/>
      <c r="G2395" s="65"/>
      <c r="H2395" s="9"/>
    </row>
    <row r="2396" spans="2:8" ht="15.75" hidden="1" customHeight="1" thickBot="1" x14ac:dyDescent="0.3">
      <c r="B2396" s="10" t="s">
        <v>45</v>
      </c>
      <c r="C2396" s="35" t="str">
        <f t="shared" si="31"/>
        <v/>
      </c>
      <c r="D2396" s="36"/>
      <c r="E2396" s="37"/>
      <c r="F2396" s="7"/>
      <c r="G2396" s="65"/>
      <c r="H2396" s="9"/>
    </row>
    <row r="2397" spans="2:8" ht="15.75" hidden="1" customHeight="1" thickBot="1" x14ac:dyDescent="0.3">
      <c r="B2397" s="10" t="s">
        <v>45</v>
      </c>
      <c r="C2397" s="35" t="str">
        <f t="shared" si="31"/>
        <v/>
      </c>
      <c r="D2397" s="36"/>
      <c r="E2397" s="37"/>
      <c r="F2397" s="7"/>
      <c r="G2397" s="65"/>
      <c r="H2397" s="9"/>
    </row>
    <row r="2398" spans="2:8" ht="15.75" hidden="1" customHeight="1" thickBot="1" x14ac:dyDescent="0.3">
      <c r="B2398" s="10" t="s">
        <v>45</v>
      </c>
      <c r="C2398" s="35" t="str">
        <f t="shared" si="31"/>
        <v/>
      </c>
      <c r="D2398" s="36"/>
      <c r="E2398" s="37"/>
      <c r="F2398" s="7"/>
      <c r="G2398" s="65"/>
      <c r="H2398" s="9"/>
    </row>
    <row r="2399" spans="2:8" ht="15.75" hidden="1" customHeight="1" thickBot="1" x14ac:dyDescent="0.3">
      <c r="B2399" s="10" t="s">
        <v>45</v>
      </c>
      <c r="C2399" s="35" t="str">
        <f t="shared" si="31"/>
        <v/>
      </c>
      <c r="D2399" s="36"/>
      <c r="E2399" s="37"/>
      <c r="F2399" s="7"/>
      <c r="G2399" s="65"/>
      <c r="H2399" s="9"/>
    </row>
    <row r="2400" spans="2:8" ht="15.75" hidden="1" customHeight="1" thickBot="1" x14ac:dyDescent="0.3">
      <c r="B2400" s="10" t="s">
        <v>45</v>
      </c>
      <c r="C2400" s="35" t="str">
        <f t="shared" si="31"/>
        <v/>
      </c>
      <c r="D2400" s="36"/>
      <c r="E2400" s="37"/>
      <c r="F2400" s="7"/>
      <c r="G2400" s="65"/>
      <c r="H2400" s="9"/>
    </row>
    <row r="2401" spans="2:8" ht="15.75" hidden="1" customHeight="1" thickBot="1" x14ac:dyDescent="0.3">
      <c r="B2401" s="10" t="s">
        <v>45</v>
      </c>
      <c r="C2401" s="35" t="str">
        <f t="shared" si="31"/>
        <v/>
      </c>
      <c r="D2401" s="36"/>
      <c r="E2401" s="37"/>
      <c r="F2401" s="7"/>
      <c r="G2401" s="65"/>
      <c r="H2401" s="9"/>
    </row>
    <row r="2402" spans="2:8" ht="15.75" hidden="1" customHeight="1" thickBot="1" x14ac:dyDescent="0.3">
      <c r="B2402" s="10" t="s">
        <v>45</v>
      </c>
      <c r="C2402" s="35" t="str">
        <f t="shared" si="31"/>
        <v/>
      </c>
      <c r="D2402" s="36"/>
      <c r="E2402" s="37"/>
      <c r="F2402" s="7"/>
      <c r="G2402" s="65"/>
      <c r="H2402" s="9"/>
    </row>
    <row r="2403" spans="2:8" ht="15.75" hidden="1" customHeight="1" thickBot="1" x14ac:dyDescent="0.3">
      <c r="B2403" s="10" t="s">
        <v>45</v>
      </c>
      <c r="C2403" s="35" t="str">
        <f t="shared" si="31"/>
        <v/>
      </c>
      <c r="D2403" s="36"/>
      <c r="E2403" s="37"/>
      <c r="F2403" s="7"/>
      <c r="G2403" s="65"/>
      <c r="H2403" s="9"/>
    </row>
    <row r="2404" spans="2:8" ht="15.75" hidden="1" customHeight="1" thickBot="1" x14ac:dyDescent="0.3">
      <c r="B2404" s="10" t="s">
        <v>45</v>
      </c>
      <c r="C2404" s="35" t="str">
        <f t="shared" si="31"/>
        <v/>
      </c>
      <c r="D2404" s="36"/>
      <c r="E2404" s="37"/>
      <c r="F2404" s="7"/>
      <c r="G2404" s="65"/>
      <c r="H2404" s="9"/>
    </row>
    <row r="2405" spans="2:8" ht="15.75" hidden="1" customHeight="1" thickBot="1" x14ac:dyDescent="0.3">
      <c r="B2405" s="10" t="s">
        <v>45</v>
      </c>
      <c r="C2405" s="35" t="str">
        <f t="shared" si="31"/>
        <v/>
      </c>
      <c r="D2405" s="36"/>
      <c r="E2405" s="37"/>
      <c r="F2405" s="7"/>
      <c r="G2405" s="65"/>
      <c r="H2405" s="9"/>
    </row>
    <row r="2406" spans="2:8" ht="15.75" hidden="1" customHeight="1" thickBot="1" x14ac:dyDescent="0.3">
      <c r="B2406" s="10" t="s">
        <v>45</v>
      </c>
      <c r="C2406" s="35" t="str">
        <f t="shared" si="31"/>
        <v/>
      </c>
      <c r="D2406" s="36"/>
      <c r="E2406" s="37"/>
      <c r="F2406" s="7"/>
      <c r="G2406" s="65"/>
      <c r="H2406" s="9"/>
    </row>
    <row r="2407" spans="2:8" ht="15.75" hidden="1" customHeight="1" thickBot="1" x14ac:dyDescent="0.3">
      <c r="B2407" s="10" t="s">
        <v>45</v>
      </c>
      <c r="C2407" s="35" t="str">
        <f t="shared" si="31"/>
        <v/>
      </c>
      <c r="D2407" s="36"/>
      <c r="E2407" s="37"/>
      <c r="F2407" s="7"/>
      <c r="G2407" s="65"/>
      <c r="H2407" s="9"/>
    </row>
    <row r="2408" spans="2:8" ht="15.75" hidden="1" customHeight="1" thickBot="1" x14ac:dyDescent="0.3">
      <c r="B2408" s="10" t="s">
        <v>45</v>
      </c>
      <c r="C2408" s="35" t="str">
        <f t="shared" si="31"/>
        <v/>
      </c>
      <c r="D2408" s="36"/>
      <c r="E2408" s="37"/>
      <c r="F2408" s="7"/>
      <c r="G2408" s="65"/>
      <c r="H2408" s="9"/>
    </row>
    <row r="2409" spans="2:8" ht="15.75" hidden="1" customHeight="1" thickBot="1" x14ac:dyDescent="0.3">
      <c r="B2409" s="10" t="s">
        <v>45</v>
      </c>
      <c r="C2409" s="35" t="str">
        <f t="shared" si="31"/>
        <v/>
      </c>
      <c r="D2409" s="36"/>
      <c r="E2409" s="37"/>
      <c r="F2409" s="7"/>
      <c r="G2409" s="65"/>
      <c r="H2409" s="9"/>
    </row>
    <row r="2410" spans="2:8" ht="15.75" hidden="1" customHeight="1" thickBot="1" x14ac:dyDescent="0.3">
      <c r="B2410" s="10" t="s">
        <v>45</v>
      </c>
      <c r="C2410" s="35" t="str">
        <f t="shared" si="31"/>
        <v/>
      </c>
      <c r="D2410" s="36"/>
      <c r="E2410" s="37"/>
      <c r="F2410" s="7"/>
      <c r="G2410" s="65"/>
      <c r="H2410" s="9"/>
    </row>
    <row r="2411" spans="2:8" ht="15" hidden="1" customHeight="1" thickBot="1" x14ac:dyDescent="0.3">
      <c r="B2411" s="10" t="s">
        <v>45</v>
      </c>
      <c r="C2411" s="35" t="str">
        <f t="shared" si="31"/>
        <v/>
      </c>
      <c r="D2411" s="36"/>
      <c r="E2411" s="37"/>
      <c r="F2411" s="7"/>
      <c r="G2411" s="65"/>
      <c r="H2411" s="9"/>
    </row>
  </sheetData>
  <mergeCells count="1402">
    <mergeCell ref="F1006:G1006"/>
    <mergeCell ref="F1007:G1007"/>
    <mergeCell ref="F997:G997"/>
    <mergeCell ref="F998:G998"/>
    <mergeCell ref="F999:G999"/>
    <mergeCell ref="F1000:G1000"/>
    <mergeCell ref="F1001:G1001"/>
    <mergeCell ref="F1002:G1002"/>
    <mergeCell ref="F1003:G1003"/>
    <mergeCell ref="F1004:G1004"/>
    <mergeCell ref="F1005:G1005"/>
    <mergeCell ref="F988:G988"/>
    <mergeCell ref="F989:G989"/>
    <mergeCell ref="F990:G990"/>
    <mergeCell ref="F991:G991"/>
    <mergeCell ref="F992:G992"/>
    <mergeCell ref="F993:G993"/>
    <mergeCell ref="F994:G994"/>
    <mergeCell ref="F995:G995"/>
    <mergeCell ref="F996:G996"/>
    <mergeCell ref="F979:G979"/>
    <mergeCell ref="F980:G980"/>
    <mergeCell ref="F981:G981"/>
    <mergeCell ref="F982:G982"/>
    <mergeCell ref="F983:G983"/>
    <mergeCell ref="F984:G984"/>
    <mergeCell ref="F985:G985"/>
    <mergeCell ref="F986:G986"/>
    <mergeCell ref="F987:G987"/>
    <mergeCell ref="F970:G970"/>
    <mergeCell ref="F971:G971"/>
    <mergeCell ref="F972:G972"/>
    <mergeCell ref="F973:G973"/>
    <mergeCell ref="F974:G974"/>
    <mergeCell ref="F975:G975"/>
    <mergeCell ref="F976:G976"/>
    <mergeCell ref="F977:G977"/>
    <mergeCell ref="F978:G978"/>
    <mergeCell ref="F961:G961"/>
    <mergeCell ref="F962:G962"/>
    <mergeCell ref="F963:G963"/>
    <mergeCell ref="F964:G964"/>
    <mergeCell ref="F965:G965"/>
    <mergeCell ref="F966:G966"/>
    <mergeCell ref="F967:G967"/>
    <mergeCell ref="F968:G968"/>
    <mergeCell ref="F969:G969"/>
    <mergeCell ref="F952:G952"/>
    <mergeCell ref="F953:G953"/>
    <mergeCell ref="F954:G954"/>
    <mergeCell ref="F955:G955"/>
    <mergeCell ref="F956:G956"/>
    <mergeCell ref="F957:G957"/>
    <mergeCell ref="F958:G958"/>
    <mergeCell ref="F959:G959"/>
    <mergeCell ref="F960:G960"/>
    <mergeCell ref="F943:G943"/>
    <mergeCell ref="F944:G944"/>
    <mergeCell ref="F945:G945"/>
    <mergeCell ref="F946:G946"/>
    <mergeCell ref="F947:G947"/>
    <mergeCell ref="F948:G948"/>
    <mergeCell ref="F949:G949"/>
    <mergeCell ref="F950:G950"/>
    <mergeCell ref="F951:G951"/>
    <mergeCell ref="F934:G934"/>
    <mergeCell ref="F935:G935"/>
    <mergeCell ref="F936:G936"/>
    <mergeCell ref="F937:G937"/>
    <mergeCell ref="F938:G938"/>
    <mergeCell ref="F939:G939"/>
    <mergeCell ref="F940:G940"/>
    <mergeCell ref="F941:G941"/>
    <mergeCell ref="F942:G942"/>
    <mergeCell ref="F925:G925"/>
    <mergeCell ref="F926:G926"/>
    <mergeCell ref="F927:G927"/>
    <mergeCell ref="F928:G928"/>
    <mergeCell ref="F929:G929"/>
    <mergeCell ref="F930:G930"/>
    <mergeCell ref="F931:G931"/>
    <mergeCell ref="F932:G932"/>
    <mergeCell ref="F933:G933"/>
    <mergeCell ref="F916:G916"/>
    <mergeCell ref="F917:G917"/>
    <mergeCell ref="F918:G918"/>
    <mergeCell ref="F919:G919"/>
    <mergeCell ref="F920:G920"/>
    <mergeCell ref="F921:G921"/>
    <mergeCell ref="F922:G922"/>
    <mergeCell ref="F923:G923"/>
    <mergeCell ref="F924:G924"/>
    <mergeCell ref="F907:G907"/>
    <mergeCell ref="F908:G908"/>
    <mergeCell ref="F909:G909"/>
    <mergeCell ref="F910:G910"/>
    <mergeCell ref="F911:G911"/>
    <mergeCell ref="F912:G912"/>
    <mergeCell ref="F913:G913"/>
    <mergeCell ref="F914:G914"/>
    <mergeCell ref="F915:G915"/>
    <mergeCell ref="F898:G898"/>
    <mergeCell ref="F899:G899"/>
    <mergeCell ref="F900:G900"/>
    <mergeCell ref="F901:G901"/>
    <mergeCell ref="F902:G902"/>
    <mergeCell ref="F903:G903"/>
    <mergeCell ref="F904:G904"/>
    <mergeCell ref="F905:G905"/>
    <mergeCell ref="F906:G906"/>
    <mergeCell ref="F889:G889"/>
    <mergeCell ref="F890:G890"/>
    <mergeCell ref="F891:G891"/>
    <mergeCell ref="F892:G892"/>
    <mergeCell ref="F893:G893"/>
    <mergeCell ref="F894:G894"/>
    <mergeCell ref="F895:G895"/>
    <mergeCell ref="F896:G896"/>
    <mergeCell ref="F897:G897"/>
    <mergeCell ref="F880:G880"/>
    <mergeCell ref="F881:G881"/>
    <mergeCell ref="F882:G882"/>
    <mergeCell ref="F883:G883"/>
    <mergeCell ref="F884:G884"/>
    <mergeCell ref="F885:G885"/>
    <mergeCell ref="F886:G886"/>
    <mergeCell ref="F887:G887"/>
    <mergeCell ref="F888:G888"/>
    <mergeCell ref="F871:G871"/>
    <mergeCell ref="F872:G872"/>
    <mergeCell ref="F873:G873"/>
    <mergeCell ref="F874:G874"/>
    <mergeCell ref="F875:G875"/>
    <mergeCell ref="F876:G876"/>
    <mergeCell ref="F877:G877"/>
    <mergeCell ref="F878:G878"/>
    <mergeCell ref="F879:G879"/>
    <mergeCell ref="F862:G862"/>
    <mergeCell ref="F863:G863"/>
    <mergeCell ref="F864:G864"/>
    <mergeCell ref="F865:G865"/>
    <mergeCell ref="F866:G866"/>
    <mergeCell ref="F867:G867"/>
    <mergeCell ref="F868:G868"/>
    <mergeCell ref="F869:G869"/>
    <mergeCell ref="F870:G870"/>
    <mergeCell ref="F853:G853"/>
    <mergeCell ref="F854:G854"/>
    <mergeCell ref="F855:G855"/>
    <mergeCell ref="F856:G856"/>
    <mergeCell ref="F857:G857"/>
    <mergeCell ref="F858:G858"/>
    <mergeCell ref="F859:G859"/>
    <mergeCell ref="F860:G860"/>
    <mergeCell ref="F861:G861"/>
    <mergeCell ref="F844:G844"/>
    <mergeCell ref="F845:G845"/>
    <mergeCell ref="F846:G846"/>
    <mergeCell ref="F847:G847"/>
    <mergeCell ref="F848:G848"/>
    <mergeCell ref="F849:G849"/>
    <mergeCell ref="F850:G850"/>
    <mergeCell ref="F851:G851"/>
    <mergeCell ref="F852:G852"/>
    <mergeCell ref="F835:G835"/>
    <mergeCell ref="F836:G836"/>
    <mergeCell ref="F837:G837"/>
    <mergeCell ref="F838:G838"/>
    <mergeCell ref="F839:G839"/>
    <mergeCell ref="F840:G840"/>
    <mergeCell ref="F841:G841"/>
    <mergeCell ref="F842:G842"/>
    <mergeCell ref="F843:G843"/>
    <mergeCell ref="F826:G826"/>
    <mergeCell ref="F827:G827"/>
    <mergeCell ref="F828:G828"/>
    <mergeCell ref="F829:G829"/>
    <mergeCell ref="F830:G830"/>
    <mergeCell ref="F831:G831"/>
    <mergeCell ref="F832:G832"/>
    <mergeCell ref="F833:G833"/>
    <mergeCell ref="F834:G834"/>
    <mergeCell ref="F817:G817"/>
    <mergeCell ref="F818:G818"/>
    <mergeCell ref="F819:G819"/>
    <mergeCell ref="F820:G820"/>
    <mergeCell ref="F821:G821"/>
    <mergeCell ref="F822:G822"/>
    <mergeCell ref="F823:G823"/>
    <mergeCell ref="F824:G824"/>
    <mergeCell ref="F825:G825"/>
    <mergeCell ref="F808:G808"/>
    <mergeCell ref="F809:G809"/>
    <mergeCell ref="F810:G810"/>
    <mergeCell ref="F811:G811"/>
    <mergeCell ref="F812:G812"/>
    <mergeCell ref="F813:G813"/>
    <mergeCell ref="F814:G814"/>
    <mergeCell ref="F815:G815"/>
    <mergeCell ref="F816:G816"/>
    <mergeCell ref="F799:G799"/>
    <mergeCell ref="F800:G800"/>
    <mergeCell ref="F801:G801"/>
    <mergeCell ref="F802:G802"/>
    <mergeCell ref="F803:G803"/>
    <mergeCell ref="F804:G804"/>
    <mergeCell ref="F805:G805"/>
    <mergeCell ref="F806:G806"/>
    <mergeCell ref="F807:G807"/>
    <mergeCell ref="F790:G790"/>
    <mergeCell ref="F791:G791"/>
    <mergeCell ref="F792:G792"/>
    <mergeCell ref="F793:G793"/>
    <mergeCell ref="F794:G794"/>
    <mergeCell ref="F795:G795"/>
    <mergeCell ref="F796:G796"/>
    <mergeCell ref="F797:G797"/>
    <mergeCell ref="F798:G798"/>
    <mergeCell ref="F781:G781"/>
    <mergeCell ref="F782:G782"/>
    <mergeCell ref="F783:G783"/>
    <mergeCell ref="F784:G784"/>
    <mergeCell ref="F785:G785"/>
    <mergeCell ref="F786:G786"/>
    <mergeCell ref="F787:G787"/>
    <mergeCell ref="F788:G788"/>
    <mergeCell ref="F789:G789"/>
    <mergeCell ref="F772:G772"/>
    <mergeCell ref="F773:G773"/>
    <mergeCell ref="F774:G774"/>
    <mergeCell ref="F775:G775"/>
    <mergeCell ref="F776:G776"/>
    <mergeCell ref="F777:G777"/>
    <mergeCell ref="F778:G778"/>
    <mergeCell ref="F779:G779"/>
    <mergeCell ref="F780:G780"/>
    <mergeCell ref="F763:G763"/>
    <mergeCell ref="F764:G764"/>
    <mergeCell ref="F765:G765"/>
    <mergeCell ref="F766:G766"/>
    <mergeCell ref="F767:G767"/>
    <mergeCell ref="F768:G768"/>
    <mergeCell ref="F769:G769"/>
    <mergeCell ref="F770:G770"/>
    <mergeCell ref="F771:G771"/>
    <mergeCell ref="F754:G754"/>
    <mergeCell ref="F755:G755"/>
    <mergeCell ref="F756:G756"/>
    <mergeCell ref="F757:G757"/>
    <mergeCell ref="F758:G758"/>
    <mergeCell ref="F759:G759"/>
    <mergeCell ref="F760:G760"/>
    <mergeCell ref="F761:G761"/>
    <mergeCell ref="F762:G762"/>
    <mergeCell ref="F745:G745"/>
    <mergeCell ref="F746:G746"/>
    <mergeCell ref="F747:G747"/>
    <mergeCell ref="F748:G748"/>
    <mergeCell ref="F749:G749"/>
    <mergeCell ref="F750:G750"/>
    <mergeCell ref="F751:G751"/>
    <mergeCell ref="F752:G752"/>
    <mergeCell ref="F753:G753"/>
    <mergeCell ref="F736:G736"/>
    <mergeCell ref="F737:G737"/>
    <mergeCell ref="F738:G738"/>
    <mergeCell ref="F739:G739"/>
    <mergeCell ref="F740:G740"/>
    <mergeCell ref="F741:G741"/>
    <mergeCell ref="F742:G742"/>
    <mergeCell ref="F743:G743"/>
    <mergeCell ref="F744:G744"/>
    <mergeCell ref="F727:G727"/>
    <mergeCell ref="F728:G728"/>
    <mergeCell ref="F729:G729"/>
    <mergeCell ref="F730:G730"/>
    <mergeCell ref="F731:G731"/>
    <mergeCell ref="F732:G732"/>
    <mergeCell ref="F733:G733"/>
    <mergeCell ref="F734:G734"/>
    <mergeCell ref="F735:G735"/>
    <mergeCell ref="F718:G718"/>
    <mergeCell ref="F719:G719"/>
    <mergeCell ref="F720:G720"/>
    <mergeCell ref="F721:G721"/>
    <mergeCell ref="F722:G722"/>
    <mergeCell ref="F723:G723"/>
    <mergeCell ref="F724:G724"/>
    <mergeCell ref="F725:G725"/>
    <mergeCell ref="F726:G726"/>
    <mergeCell ref="F709:G709"/>
    <mergeCell ref="F710:G710"/>
    <mergeCell ref="F711:G711"/>
    <mergeCell ref="F712:G712"/>
    <mergeCell ref="F713:G713"/>
    <mergeCell ref="F714:G714"/>
    <mergeCell ref="F715:G715"/>
    <mergeCell ref="F716:G716"/>
    <mergeCell ref="F717:G717"/>
    <mergeCell ref="F700:G700"/>
    <mergeCell ref="F701:G701"/>
    <mergeCell ref="F702:G702"/>
    <mergeCell ref="F703:G703"/>
    <mergeCell ref="F704:G704"/>
    <mergeCell ref="F705:G705"/>
    <mergeCell ref="F706:G706"/>
    <mergeCell ref="F707:G707"/>
    <mergeCell ref="F708:G708"/>
    <mergeCell ref="F691:G691"/>
    <mergeCell ref="F692:G692"/>
    <mergeCell ref="F693:G693"/>
    <mergeCell ref="F694:G694"/>
    <mergeCell ref="F695:G695"/>
    <mergeCell ref="F696:G696"/>
    <mergeCell ref="F697:G697"/>
    <mergeCell ref="F698:G698"/>
    <mergeCell ref="F699:G699"/>
    <mergeCell ref="F682:G682"/>
    <mergeCell ref="F683:G683"/>
    <mergeCell ref="F684:G684"/>
    <mergeCell ref="F685:G685"/>
    <mergeCell ref="F686:G686"/>
    <mergeCell ref="F687:G687"/>
    <mergeCell ref="F688:G688"/>
    <mergeCell ref="F689:G689"/>
    <mergeCell ref="F690:G690"/>
    <mergeCell ref="F673:G673"/>
    <mergeCell ref="F674:G674"/>
    <mergeCell ref="F675:G675"/>
    <mergeCell ref="F676:G676"/>
    <mergeCell ref="F677:G677"/>
    <mergeCell ref="F678:G678"/>
    <mergeCell ref="F679:G679"/>
    <mergeCell ref="F680:G680"/>
    <mergeCell ref="F681:G681"/>
    <mergeCell ref="F664:G664"/>
    <mergeCell ref="F665:G665"/>
    <mergeCell ref="F666:G666"/>
    <mergeCell ref="F667:G667"/>
    <mergeCell ref="F668:G668"/>
    <mergeCell ref="F669:G669"/>
    <mergeCell ref="F670:G670"/>
    <mergeCell ref="F671:G671"/>
    <mergeCell ref="F672:G672"/>
    <mergeCell ref="F655:G655"/>
    <mergeCell ref="F656:G656"/>
    <mergeCell ref="F657:G657"/>
    <mergeCell ref="F658:G658"/>
    <mergeCell ref="F659:G659"/>
    <mergeCell ref="F660:G660"/>
    <mergeCell ref="F661:G661"/>
    <mergeCell ref="F662:G662"/>
    <mergeCell ref="F663:G663"/>
    <mergeCell ref="F646:G646"/>
    <mergeCell ref="F647:G647"/>
    <mergeCell ref="F648:G648"/>
    <mergeCell ref="F649:G649"/>
    <mergeCell ref="F650:G650"/>
    <mergeCell ref="F651:G651"/>
    <mergeCell ref="F652:G652"/>
    <mergeCell ref="F653:G653"/>
    <mergeCell ref="F654:G654"/>
    <mergeCell ref="F637:G637"/>
    <mergeCell ref="F638:G638"/>
    <mergeCell ref="F639:G639"/>
    <mergeCell ref="F640:G640"/>
    <mergeCell ref="F641:G641"/>
    <mergeCell ref="F642:G642"/>
    <mergeCell ref="F643:G643"/>
    <mergeCell ref="F644:G644"/>
    <mergeCell ref="F645:G645"/>
    <mergeCell ref="F628:G628"/>
    <mergeCell ref="F629:G629"/>
    <mergeCell ref="F630:G630"/>
    <mergeCell ref="F631:G631"/>
    <mergeCell ref="F632:G632"/>
    <mergeCell ref="F633:G633"/>
    <mergeCell ref="F634:G634"/>
    <mergeCell ref="F635:G635"/>
    <mergeCell ref="F636:G636"/>
    <mergeCell ref="F619:G619"/>
    <mergeCell ref="F620:G620"/>
    <mergeCell ref="F621:G621"/>
    <mergeCell ref="F622:G622"/>
    <mergeCell ref="F623:G623"/>
    <mergeCell ref="F624:G624"/>
    <mergeCell ref="F625:G625"/>
    <mergeCell ref="F626:G626"/>
    <mergeCell ref="F627:G627"/>
    <mergeCell ref="F610:G610"/>
    <mergeCell ref="F611:G611"/>
    <mergeCell ref="F612:G612"/>
    <mergeCell ref="F613:G613"/>
    <mergeCell ref="F614:G614"/>
    <mergeCell ref="F615:G615"/>
    <mergeCell ref="F616:G616"/>
    <mergeCell ref="F617:G617"/>
    <mergeCell ref="F618:G618"/>
    <mergeCell ref="F601:G601"/>
    <mergeCell ref="F602:G602"/>
    <mergeCell ref="F603:G603"/>
    <mergeCell ref="F604:G604"/>
    <mergeCell ref="F605:G605"/>
    <mergeCell ref="F606:G606"/>
    <mergeCell ref="F607:G607"/>
    <mergeCell ref="F608:G608"/>
    <mergeCell ref="F609:G609"/>
    <mergeCell ref="F592:G592"/>
    <mergeCell ref="F593:G593"/>
    <mergeCell ref="F594:G594"/>
    <mergeCell ref="F595:G595"/>
    <mergeCell ref="F596:G596"/>
    <mergeCell ref="F597:G597"/>
    <mergeCell ref="F598:G598"/>
    <mergeCell ref="F599:G599"/>
    <mergeCell ref="F600:G600"/>
    <mergeCell ref="F583:G583"/>
    <mergeCell ref="F584:G584"/>
    <mergeCell ref="F585:G585"/>
    <mergeCell ref="F586:G586"/>
    <mergeCell ref="F587:G587"/>
    <mergeCell ref="F588:G588"/>
    <mergeCell ref="F589:G589"/>
    <mergeCell ref="F590:G590"/>
    <mergeCell ref="F591:G591"/>
    <mergeCell ref="F574:G574"/>
    <mergeCell ref="F575:G575"/>
    <mergeCell ref="F576:G576"/>
    <mergeCell ref="F577:G577"/>
    <mergeCell ref="F578:G578"/>
    <mergeCell ref="F579:G579"/>
    <mergeCell ref="F580:G580"/>
    <mergeCell ref="F581:G581"/>
    <mergeCell ref="F582:G582"/>
    <mergeCell ref="F565:G565"/>
    <mergeCell ref="F566:G566"/>
    <mergeCell ref="F567:G567"/>
    <mergeCell ref="F568:G568"/>
    <mergeCell ref="F569:G569"/>
    <mergeCell ref="F570:G570"/>
    <mergeCell ref="F571:G571"/>
    <mergeCell ref="F572:G572"/>
    <mergeCell ref="F573:G573"/>
    <mergeCell ref="F556:G556"/>
    <mergeCell ref="F557:G557"/>
    <mergeCell ref="F558:G558"/>
    <mergeCell ref="F559:G559"/>
    <mergeCell ref="F560:G560"/>
    <mergeCell ref="F561:G561"/>
    <mergeCell ref="F562:G562"/>
    <mergeCell ref="F563:G563"/>
    <mergeCell ref="F564:G564"/>
    <mergeCell ref="F547:G547"/>
    <mergeCell ref="F548:G548"/>
    <mergeCell ref="F549:G549"/>
    <mergeCell ref="F550:G550"/>
    <mergeCell ref="F551:G551"/>
    <mergeCell ref="F552:G552"/>
    <mergeCell ref="F553:G553"/>
    <mergeCell ref="F554:G554"/>
    <mergeCell ref="F555:G555"/>
    <mergeCell ref="F538:G538"/>
    <mergeCell ref="F539:G539"/>
    <mergeCell ref="F540:G540"/>
    <mergeCell ref="F541:G541"/>
    <mergeCell ref="F542:G542"/>
    <mergeCell ref="F543:G543"/>
    <mergeCell ref="F544:G544"/>
    <mergeCell ref="F545:G545"/>
    <mergeCell ref="F546:G546"/>
    <mergeCell ref="F529:G529"/>
    <mergeCell ref="F530:G530"/>
    <mergeCell ref="F531:G531"/>
    <mergeCell ref="F532:G532"/>
    <mergeCell ref="F533:G533"/>
    <mergeCell ref="F534:G534"/>
    <mergeCell ref="F535:G535"/>
    <mergeCell ref="F536:G536"/>
    <mergeCell ref="F537:G537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28:G528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19:G519"/>
    <mergeCell ref="F502:G502"/>
    <mergeCell ref="F503:G503"/>
    <mergeCell ref="F504:G504"/>
    <mergeCell ref="F505:G505"/>
    <mergeCell ref="F506:G506"/>
    <mergeCell ref="F507:G507"/>
    <mergeCell ref="F508:G508"/>
    <mergeCell ref="F509:G509"/>
    <mergeCell ref="F510:G510"/>
    <mergeCell ref="F493:G493"/>
    <mergeCell ref="F494:G494"/>
    <mergeCell ref="F495:G495"/>
    <mergeCell ref="F496:G496"/>
    <mergeCell ref="F497:G497"/>
    <mergeCell ref="F498:G498"/>
    <mergeCell ref="F499:G499"/>
    <mergeCell ref="F500:G500"/>
    <mergeCell ref="F501:G501"/>
    <mergeCell ref="F484:G484"/>
    <mergeCell ref="F485:G485"/>
    <mergeCell ref="F486:G486"/>
    <mergeCell ref="F487:G487"/>
    <mergeCell ref="F488:G488"/>
    <mergeCell ref="F489:G489"/>
    <mergeCell ref="F490:G490"/>
    <mergeCell ref="F491:G491"/>
    <mergeCell ref="F492:G492"/>
    <mergeCell ref="F475:G475"/>
    <mergeCell ref="F476:G476"/>
    <mergeCell ref="F477:G477"/>
    <mergeCell ref="F478:G478"/>
    <mergeCell ref="F479:G479"/>
    <mergeCell ref="F480:G480"/>
    <mergeCell ref="F481:G481"/>
    <mergeCell ref="F482:G482"/>
    <mergeCell ref="F483:G483"/>
    <mergeCell ref="F466:G466"/>
    <mergeCell ref="F467:G467"/>
    <mergeCell ref="F468:G468"/>
    <mergeCell ref="F469:G469"/>
    <mergeCell ref="F470:G470"/>
    <mergeCell ref="F471:G471"/>
    <mergeCell ref="F472:G472"/>
    <mergeCell ref="F473:G473"/>
    <mergeCell ref="F474:G474"/>
    <mergeCell ref="F457:G457"/>
    <mergeCell ref="F458:G458"/>
    <mergeCell ref="F459:G459"/>
    <mergeCell ref="F460:G460"/>
    <mergeCell ref="F461:G461"/>
    <mergeCell ref="F462:G462"/>
    <mergeCell ref="F463:G463"/>
    <mergeCell ref="F464:G464"/>
    <mergeCell ref="F465:G465"/>
    <mergeCell ref="F448:G448"/>
    <mergeCell ref="F449:G449"/>
    <mergeCell ref="F450:G450"/>
    <mergeCell ref="F451:G451"/>
    <mergeCell ref="F452:G452"/>
    <mergeCell ref="F453:G453"/>
    <mergeCell ref="F454:G454"/>
    <mergeCell ref="F455:G455"/>
    <mergeCell ref="F456:G456"/>
    <mergeCell ref="F439:G439"/>
    <mergeCell ref="F440:G440"/>
    <mergeCell ref="F441:G441"/>
    <mergeCell ref="F442:G442"/>
    <mergeCell ref="F443:G443"/>
    <mergeCell ref="F444:G444"/>
    <mergeCell ref="F445:G445"/>
    <mergeCell ref="F446:G446"/>
    <mergeCell ref="F447:G447"/>
    <mergeCell ref="F430:G430"/>
    <mergeCell ref="F431:G431"/>
    <mergeCell ref="F432:G432"/>
    <mergeCell ref="F433:G433"/>
    <mergeCell ref="F434:G434"/>
    <mergeCell ref="F435:G435"/>
    <mergeCell ref="F436:G436"/>
    <mergeCell ref="F437:G437"/>
    <mergeCell ref="F438:G438"/>
    <mergeCell ref="F421:G421"/>
    <mergeCell ref="F422:G422"/>
    <mergeCell ref="F423:G423"/>
    <mergeCell ref="F424:G424"/>
    <mergeCell ref="F425:G425"/>
    <mergeCell ref="F426:G426"/>
    <mergeCell ref="F427:G427"/>
    <mergeCell ref="F428:G428"/>
    <mergeCell ref="F429:G429"/>
    <mergeCell ref="F412:G412"/>
    <mergeCell ref="F413:G413"/>
    <mergeCell ref="F414:G414"/>
    <mergeCell ref="F415:G415"/>
    <mergeCell ref="F416:G416"/>
    <mergeCell ref="F417:G417"/>
    <mergeCell ref="F418:G418"/>
    <mergeCell ref="F419:G419"/>
    <mergeCell ref="F420:G420"/>
    <mergeCell ref="F403:G403"/>
    <mergeCell ref="F404:G404"/>
    <mergeCell ref="F405:G405"/>
    <mergeCell ref="F406:G406"/>
    <mergeCell ref="F407:G407"/>
    <mergeCell ref="F408:G408"/>
    <mergeCell ref="F409:G409"/>
    <mergeCell ref="F410:G410"/>
    <mergeCell ref="F411:G411"/>
    <mergeCell ref="F394:G394"/>
    <mergeCell ref="F395:G395"/>
    <mergeCell ref="F396:G396"/>
    <mergeCell ref="F397:G397"/>
    <mergeCell ref="F398:G398"/>
    <mergeCell ref="F399:G399"/>
    <mergeCell ref="F400:G400"/>
    <mergeCell ref="F401:G401"/>
    <mergeCell ref="F402:G402"/>
    <mergeCell ref="F385:G385"/>
    <mergeCell ref="F386:G386"/>
    <mergeCell ref="F387:G387"/>
    <mergeCell ref="F388:G388"/>
    <mergeCell ref="F389:G389"/>
    <mergeCell ref="F390:G390"/>
    <mergeCell ref="F391:G391"/>
    <mergeCell ref="F392:G392"/>
    <mergeCell ref="F393:G393"/>
    <mergeCell ref="F376:G376"/>
    <mergeCell ref="F377:G377"/>
    <mergeCell ref="F378:G378"/>
    <mergeCell ref="F379:G379"/>
    <mergeCell ref="F380:G380"/>
    <mergeCell ref="F381:G381"/>
    <mergeCell ref="F382:G382"/>
    <mergeCell ref="F383:G383"/>
    <mergeCell ref="F384:G384"/>
    <mergeCell ref="F367:G367"/>
    <mergeCell ref="F368:G368"/>
    <mergeCell ref="F369:G369"/>
    <mergeCell ref="F370:G370"/>
    <mergeCell ref="F371:G371"/>
    <mergeCell ref="F372:G372"/>
    <mergeCell ref="F373:G373"/>
    <mergeCell ref="F374:G374"/>
    <mergeCell ref="F375:G375"/>
    <mergeCell ref="F358:G358"/>
    <mergeCell ref="F359:G359"/>
    <mergeCell ref="F360:G360"/>
    <mergeCell ref="F361:G361"/>
    <mergeCell ref="F362:G362"/>
    <mergeCell ref="F363:G363"/>
    <mergeCell ref="F364:G364"/>
    <mergeCell ref="F365:G365"/>
    <mergeCell ref="F366:G366"/>
    <mergeCell ref="F349:G349"/>
    <mergeCell ref="F350:G350"/>
    <mergeCell ref="F351:G351"/>
    <mergeCell ref="F352:G352"/>
    <mergeCell ref="F353:G353"/>
    <mergeCell ref="F354:G354"/>
    <mergeCell ref="F355:G355"/>
    <mergeCell ref="F356:G356"/>
    <mergeCell ref="F357:G357"/>
    <mergeCell ref="F340:G340"/>
    <mergeCell ref="F341:G341"/>
    <mergeCell ref="F342:G342"/>
    <mergeCell ref="F343:G343"/>
    <mergeCell ref="F344:G344"/>
    <mergeCell ref="F345:G345"/>
    <mergeCell ref="F346:G346"/>
    <mergeCell ref="F347:G347"/>
    <mergeCell ref="F348:G348"/>
    <mergeCell ref="F331:G331"/>
    <mergeCell ref="F332:G332"/>
    <mergeCell ref="F333:G333"/>
    <mergeCell ref="F334:G334"/>
    <mergeCell ref="F335:G335"/>
    <mergeCell ref="F336:G336"/>
    <mergeCell ref="F337:G337"/>
    <mergeCell ref="F338:G338"/>
    <mergeCell ref="F339:G339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F330:G330"/>
    <mergeCell ref="F313:G313"/>
    <mergeCell ref="F314:G314"/>
    <mergeCell ref="F315:G315"/>
    <mergeCell ref="F316:G316"/>
    <mergeCell ref="F317:G317"/>
    <mergeCell ref="F318:G318"/>
    <mergeCell ref="F319:G319"/>
    <mergeCell ref="F320:G320"/>
    <mergeCell ref="F321:G321"/>
    <mergeCell ref="F304:G304"/>
    <mergeCell ref="F305:G305"/>
    <mergeCell ref="F306:G306"/>
    <mergeCell ref="F307:G307"/>
    <mergeCell ref="F308:G308"/>
    <mergeCell ref="F309:G309"/>
    <mergeCell ref="F310:G310"/>
    <mergeCell ref="F311:G311"/>
    <mergeCell ref="F312:G312"/>
    <mergeCell ref="F295:G295"/>
    <mergeCell ref="F296:G296"/>
    <mergeCell ref="F297:G297"/>
    <mergeCell ref="F298:G298"/>
    <mergeCell ref="F299:G299"/>
    <mergeCell ref="F300:G300"/>
    <mergeCell ref="F301:G301"/>
    <mergeCell ref="F302:G302"/>
    <mergeCell ref="F303:G303"/>
    <mergeCell ref="F286:G286"/>
    <mergeCell ref="F287:G287"/>
    <mergeCell ref="F288:G288"/>
    <mergeCell ref="F289:G289"/>
    <mergeCell ref="F290:G290"/>
    <mergeCell ref="F291:G291"/>
    <mergeCell ref="F292:G292"/>
    <mergeCell ref="F293:G293"/>
    <mergeCell ref="F294:G294"/>
    <mergeCell ref="F277:G277"/>
    <mergeCell ref="F278:G278"/>
    <mergeCell ref="F279:G279"/>
    <mergeCell ref="F280:G280"/>
    <mergeCell ref="F281:G281"/>
    <mergeCell ref="F282:G282"/>
    <mergeCell ref="F283:G283"/>
    <mergeCell ref="F284:G284"/>
    <mergeCell ref="F285:G285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59:G259"/>
    <mergeCell ref="F260:G260"/>
    <mergeCell ref="F261:G261"/>
    <mergeCell ref="F262:G262"/>
    <mergeCell ref="F263:G263"/>
    <mergeCell ref="F264:G264"/>
    <mergeCell ref="F265:G265"/>
    <mergeCell ref="F266:G266"/>
    <mergeCell ref="F267:G267"/>
    <mergeCell ref="F250:G250"/>
    <mergeCell ref="F251:G251"/>
    <mergeCell ref="F252:G252"/>
    <mergeCell ref="F253:G253"/>
    <mergeCell ref="F254:G254"/>
    <mergeCell ref="F255:G255"/>
    <mergeCell ref="F256:G256"/>
    <mergeCell ref="F257:G257"/>
    <mergeCell ref="F258:G258"/>
    <mergeCell ref="F241:G241"/>
    <mergeCell ref="F242:G242"/>
    <mergeCell ref="F243:G243"/>
    <mergeCell ref="F244:G244"/>
    <mergeCell ref="F245:G245"/>
    <mergeCell ref="F246:G246"/>
    <mergeCell ref="F247:G247"/>
    <mergeCell ref="F248:G248"/>
    <mergeCell ref="F249:G249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23:G223"/>
    <mergeCell ref="F224:G224"/>
    <mergeCell ref="F225:G225"/>
    <mergeCell ref="F226:G226"/>
    <mergeCell ref="F227:G227"/>
    <mergeCell ref="F228:G228"/>
    <mergeCell ref="F229:G229"/>
    <mergeCell ref="F230:G230"/>
    <mergeCell ref="F231:G231"/>
    <mergeCell ref="F214:G214"/>
    <mergeCell ref="F215:G215"/>
    <mergeCell ref="F216:G216"/>
    <mergeCell ref="F217:G217"/>
    <mergeCell ref="F218:G218"/>
    <mergeCell ref="F219:G219"/>
    <mergeCell ref="F220:G220"/>
    <mergeCell ref="F221:G221"/>
    <mergeCell ref="F222:G222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97:G97"/>
    <mergeCell ref="F98:G98"/>
    <mergeCell ref="F99:G99"/>
    <mergeCell ref="F100:G100"/>
    <mergeCell ref="F101:G101"/>
    <mergeCell ref="F102:G102"/>
    <mergeCell ref="F103:G103"/>
    <mergeCell ref="F104:G104"/>
    <mergeCell ref="F105:G105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79:G79"/>
    <mergeCell ref="F80:G80"/>
    <mergeCell ref="F81:G81"/>
    <mergeCell ref="F82:G82"/>
    <mergeCell ref="F83:G83"/>
    <mergeCell ref="F84:G84"/>
    <mergeCell ref="F85:G85"/>
    <mergeCell ref="F86:G86"/>
    <mergeCell ref="F87:G87"/>
    <mergeCell ref="F70:G70"/>
    <mergeCell ref="F71:G71"/>
    <mergeCell ref="F72:G72"/>
    <mergeCell ref="F73:G73"/>
    <mergeCell ref="F74:G74"/>
    <mergeCell ref="F75:G75"/>
    <mergeCell ref="F76:G76"/>
    <mergeCell ref="F77:G77"/>
    <mergeCell ref="F78:G78"/>
    <mergeCell ref="F61:G61"/>
    <mergeCell ref="F62:G62"/>
    <mergeCell ref="F63:G63"/>
    <mergeCell ref="F64:G64"/>
    <mergeCell ref="F65:G65"/>
    <mergeCell ref="F66:G66"/>
    <mergeCell ref="F67:G67"/>
    <mergeCell ref="F68:G68"/>
    <mergeCell ref="F69:G69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34:G34"/>
    <mergeCell ref="F35:G35"/>
    <mergeCell ref="F36:G36"/>
    <mergeCell ref="F37:G37"/>
    <mergeCell ref="F38:G38"/>
    <mergeCell ref="F39:G39"/>
    <mergeCell ref="F40:G40"/>
    <mergeCell ref="F41:G41"/>
    <mergeCell ref="F42:G42"/>
    <mergeCell ref="F25:G25"/>
    <mergeCell ref="F26:G26"/>
    <mergeCell ref="F27:G27"/>
    <mergeCell ref="F28:G28"/>
    <mergeCell ref="F29:G29"/>
    <mergeCell ref="F30:G30"/>
    <mergeCell ref="F31:G31"/>
    <mergeCell ref="F32:G32"/>
    <mergeCell ref="F33:G33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D1127:G1127"/>
    <mergeCell ref="D1128:G1128"/>
    <mergeCell ref="D1129:G1129"/>
    <mergeCell ref="D1045:G1045"/>
    <mergeCell ref="D1046:G1046"/>
    <mergeCell ref="D1047:G1047"/>
    <mergeCell ref="D1048:G1048"/>
    <mergeCell ref="D1049:G1049"/>
    <mergeCell ref="D1050:G1050"/>
    <mergeCell ref="D1051:G1051"/>
    <mergeCell ref="D1052:G1052"/>
    <mergeCell ref="D1053:G1053"/>
    <mergeCell ref="D1054:G1054"/>
    <mergeCell ref="D1055:G1055"/>
    <mergeCell ref="D1056:G1056"/>
    <mergeCell ref="D1057:G1057"/>
    <mergeCell ref="D1058:G1058"/>
    <mergeCell ref="D1059:G1059"/>
    <mergeCell ref="D1060:G1060"/>
    <mergeCell ref="D1061:G1061"/>
    <mergeCell ref="D1062:G1062"/>
    <mergeCell ref="D1118:G1118"/>
    <mergeCell ref="D1119:G1119"/>
    <mergeCell ref="D1274:G1274"/>
    <mergeCell ref="D1275:G1275"/>
    <mergeCell ref="D1276:G1276"/>
    <mergeCell ref="D1277:G1277"/>
    <mergeCell ref="D1186:G1186"/>
    <mergeCell ref="D1187:G1187"/>
    <mergeCell ref="D1188:G1188"/>
    <mergeCell ref="D1189:G1189"/>
    <mergeCell ref="D1190:G1190"/>
    <mergeCell ref="D1191:G1191"/>
    <mergeCell ref="D1192:G1192"/>
    <mergeCell ref="D1193:G1193"/>
    <mergeCell ref="D1194:G1194"/>
    <mergeCell ref="D1195:G1195"/>
    <mergeCell ref="D1196:G1196"/>
    <mergeCell ref="D1197:G1197"/>
    <mergeCell ref="D1175:G1175"/>
    <mergeCell ref="D1176:G1176"/>
    <mergeCell ref="D1264:G1264"/>
    <mergeCell ref="D1265:G1265"/>
    <mergeCell ref="D1266:G1266"/>
    <mergeCell ref="D1267:G1267"/>
    <mergeCell ref="D1268:G1268"/>
    <mergeCell ref="D1269:G1269"/>
    <mergeCell ref="D1270:G1270"/>
    <mergeCell ref="D1271:G1271"/>
    <mergeCell ref="D1272:G1272"/>
    <mergeCell ref="D1120:G1120"/>
    <mergeCell ref="D1121:G1121"/>
    <mergeCell ref="D1122:G1122"/>
    <mergeCell ref="D1123:G1123"/>
    <mergeCell ref="D1124:G1124"/>
    <mergeCell ref="D1125:G1125"/>
    <mergeCell ref="D1126:G1126"/>
    <mergeCell ref="D1273:G1273"/>
    <mergeCell ref="D1169:G1169"/>
    <mergeCell ref="D1170:G1170"/>
    <mergeCell ref="D1171:G1171"/>
    <mergeCell ref="D1172:G1172"/>
    <mergeCell ref="D1173:G1173"/>
    <mergeCell ref="D1174:G1174"/>
    <mergeCell ref="D1142:G1142"/>
    <mergeCell ref="D1143:G1143"/>
    <mergeCell ref="D1144:G1144"/>
    <mergeCell ref="D1145:G1145"/>
    <mergeCell ref="D1146:G1146"/>
    <mergeCell ref="D1147:G1147"/>
    <mergeCell ref="D1103:G1103"/>
    <mergeCell ref="D1104:G1104"/>
    <mergeCell ref="D1105:G1105"/>
    <mergeCell ref="D1106:G1106"/>
    <mergeCell ref="D1107:G1107"/>
    <mergeCell ref="D1108:G1108"/>
    <mergeCell ref="D1009:F1009"/>
    <mergeCell ref="D1010:G1010"/>
    <mergeCell ref="D1011:G1011"/>
    <mergeCell ref="D1012:G1012"/>
    <mergeCell ref="D1013:G1013"/>
    <mergeCell ref="D1014:G1014"/>
    <mergeCell ref="D1015:G1015"/>
    <mergeCell ref="D1016:G1016"/>
    <mergeCell ref="D1017:G1017"/>
    <mergeCell ref="D1018:G1018"/>
    <mergeCell ref="D1019:G1019"/>
    <mergeCell ref="D1020:G1020"/>
    <mergeCell ref="D1021:G1021"/>
    <mergeCell ref="D1022:G1022"/>
    <mergeCell ref="D1023:G1023"/>
    <mergeCell ref="D1024:G1024"/>
    <mergeCell ref="D1025:G1025"/>
    <mergeCell ref="D1026:G1026"/>
    <mergeCell ref="D1081:G1081"/>
    <mergeCell ref="D1082:G1082"/>
    <mergeCell ref="D1165:G1165"/>
    <mergeCell ref="D1177:G1177"/>
    <mergeCell ref="D1178:G1178"/>
    <mergeCell ref="D1179:G1179"/>
    <mergeCell ref="D1180:G1180"/>
    <mergeCell ref="D1181:G1181"/>
    <mergeCell ref="D1182:G1182"/>
    <mergeCell ref="D1183:G1183"/>
    <mergeCell ref="D1184:G1184"/>
    <mergeCell ref="D1089:G1089"/>
    <mergeCell ref="D1090:G1090"/>
    <mergeCell ref="D1091:G1091"/>
    <mergeCell ref="D1092:G1092"/>
    <mergeCell ref="D1093:G1093"/>
    <mergeCell ref="D1094:G1094"/>
    <mergeCell ref="D1095:G1095"/>
    <mergeCell ref="D1096:G1096"/>
    <mergeCell ref="D1097:G1097"/>
    <mergeCell ref="D1098:G1098"/>
    <mergeCell ref="D1099:G1099"/>
    <mergeCell ref="D1100:G1100"/>
    <mergeCell ref="D1101:G1101"/>
    <mergeCell ref="D1102:G1102"/>
    <mergeCell ref="D1166:G1166"/>
    <mergeCell ref="D1167:G1167"/>
    <mergeCell ref="D1168:G1168"/>
    <mergeCell ref="D1136:G1136"/>
    <mergeCell ref="D1137:G1137"/>
    <mergeCell ref="D1138:G1138"/>
    <mergeCell ref="D1139:G1139"/>
    <mergeCell ref="D1140:G1140"/>
    <mergeCell ref="D1141:G1141"/>
    <mergeCell ref="D1148:G1148"/>
    <mergeCell ref="D1149:G1149"/>
    <mergeCell ref="D1150:G1150"/>
    <mergeCell ref="D1151:G1151"/>
    <mergeCell ref="D1152:G1152"/>
    <mergeCell ref="D1153:G1153"/>
    <mergeCell ref="D1154:G1154"/>
    <mergeCell ref="D1155:G1155"/>
    <mergeCell ref="D1156:G1156"/>
    <mergeCell ref="D1157:G1157"/>
    <mergeCell ref="D1158:G1158"/>
    <mergeCell ref="D1159:G1159"/>
    <mergeCell ref="D1160:G1160"/>
    <mergeCell ref="D1161:G1161"/>
    <mergeCell ref="D1162:G1162"/>
    <mergeCell ref="D1163:G1163"/>
    <mergeCell ref="D1164:G1164"/>
    <mergeCell ref="D1027:G1027"/>
    <mergeCell ref="D1028:G1028"/>
    <mergeCell ref="D1029:G1029"/>
    <mergeCell ref="D1030:G1030"/>
    <mergeCell ref="D1031:G1031"/>
    <mergeCell ref="D1032:G1032"/>
    <mergeCell ref="D1033:G1033"/>
    <mergeCell ref="D1034:G1034"/>
    <mergeCell ref="D1035:G1035"/>
    <mergeCell ref="D1036:G1036"/>
    <mergeCell ref="D1037:G1037"/>
    <mergeCell ref="D1038:G1038"/>
    <mergeCell ref="D1039:G1039"/>
    <mergeCell ref="D1040:G1040"/>
    <mergeCell ref="D1041:G1041"/>
    <mergeCell ref="D1042:G1042"/>
    <mergeCell ref="D1043:G1043"/>
    <mergeCell ref="D1044:G1044"/>
    <mergeCell ref="D1063:G1063"/>
    <mergeCell ref="D1064:G1064"/>
    <mergeCell ref="D1065:G1065"/>
    <mergeCell ref="D1066:G1066"/>
    <mergeCell ref="D1067:G1067"/>
    <mergeCell ref="D1068:G1068"/>
    <mergeCell ref="D1069:G1069"/>
    <mergeCell ref="D1070:G1070"/>
    <mergeCell ref="D1071:G1071"/>
    <mergeCell ref="D1072:G1072"/>
    <mergeCell ref="D1073:G1073"/>
    <mergeCell ref="D1074:G1074"/>
    <mergeCell ref="D1075:G1075"/>
    <mergeCell ref="D1076:G1076"/>
    <mergeCell ref="D1077:G1077"/>
    <mergeCell ref="D1078:G1078"/>
    <mergeCell ref="D1079:G1079"/>
    <mergeCell ref="D1080:G1080"/>
    <mergeCell ref="D1109:G1109"/>
    <mergeCell ref="D1110:G1110"/>
    <mergeCell ref="D1111:G1111"/>
    <mergeCell ref="D1112:G1112"/>
    <mergeCell ref="D1113:G1113"/>
    <mergeCell ref="D1114:G1114"/>
    <mergeCell ref="D1115:G1115"/>
    <mergeCell ref="D1116:G1116"/>
    <mergeCell ref="D1117:G1117"/>
    <mergeCell ref="D1130:G1130"/>
    <mergeCell ref="D1131:G1131"/>
    <mergeCell ref="D1132:G1132"/>
    <mergeCell ref="D1133:G1133"/>
    <mergeCell ref="D1134:G1134"/>
    <mergeCell ref="D1135:G1135"/>
    <mergeCell ref="D1083:G1083"/>
    <mergeCell ref="D1084:G1084"/>
    <mergeCell ref="D1085:G1085"/>
    <mergeCell ref="D1086:G1086"/>
    <mergeCell ref="D1087:G1087"/>
    <mergeCell ref="D1088:G1088"/>
    <mergeCell ref="D1185:G1185"/>
    <mergeCell ref="D1198:G1198"/>
    <mergeCell ref="D1199:G1199"/>
    <mergeCell ref="D1200:G1200"/>
    <mergeCell ref="D1201:G1201"/>
    <mergeCell ref="D1202:G1202"/>
    <mergeCell ref="D1203:G1203"/>
    <mergeCell ref="D1204:G1204"/>
    <mergeCell ref="D1205:G1205"/>
    <mergeCell ref="D1206:G1206"/>
    <mergeCell ref="D1207:G1207"/>
    <mergeCell ref="D1208:G1208"/>
    <mergeCell ref="D1209:G1209"/>
    <mergeCell ref="D1210:G1210"/>
    <mergeCell ref="D1211:G1211"/>
    <mergeCell ref="D1212:G1212"/>
    <mergeCell ref="D1213:G1213"/>
    <mergeCell ref="D1214:G1214"/>
    <mergeCell ref="D1215:G1215"/>
    <mergeCell ref="D1216:G1216"/>
    <mergeCell ref="D1217:G1217"/>
    <mergeCell ref="D1218:G1218"/>
    <mergeCell ref="D1219:G1219"/>
    <mergeCell ref="D1220:G1220"/>
    <mergeCell ref="D1221:G1221"/>
    <mergeCell ref="D1222:G1222"/>
    <mergeCell ref="D1223:G1223"/>
    <mergeCell ref="D1224:G1224"/>
    <mergeCell ref="D1225:G1225"/>
    <mergeCell ref="D1226:G1226"/>
    <mergeCell ref="D1227:G1227"/>
    <mergeCell ref="D1228:G1228"/>
    <mergeCell ref="D1229:G1229"/>
    <mergeCell ref="D1230:G1230"/>
    <mergeCell ref="D1231:G1231"/>
    <mergeCell ref="D1232:G1232"/>
    <mergeCell ref="D1233:G1233"/>
    <mergeCell ref="D1234:G1234"/>
    <mergeCell ref="D1235:G1235"/>
    <mergeCell ref="D1236:G1236"/>
    <mergeCell ref="D1237:G1237"/>
    <mergeCell ref="D1238:G1238"/>
    <mergeCell ref="D1239:G1239"/>
    <mergeCell ref="D1240:G1240"/>
    <mergeCell ref="D1241:G1241"/>
    <mergeCell ref="D1242:G1242"/>
    <mergeCell ref="D1243:G1243"/>
    <mergeCell ref="D1244:G1244"/>
    <mergeCell ref="D1245:G1245"/>
    <mergeCell ref="D1246:G1246"/>
    <mergeCell ref="D1247:G1247"/>
    <mergeCell ref="D1248:G1248"/>
    <mergeCell ref="D1249:G1249"/>
    <mergeCell ref="D1250:G1250"/>
    <mergeCell ref="D1251:G1251"/>
    <mergeCell ref="D1278:G1278"/>
    <mergeCell ref="D1279:G1279"/>
    <mergeCell ref="D1280:G1280"/>
    <mergeCell ref="D1281:G1281"/>
    <mergeCell ref="D1282:G1282"/>
    <mergeCell ref="D1283:G1283"/>
    <mergeCell ref="D1284:G1284"/>
    <mergeCell ref="D1285:G1285"/>
    <mergeCell ref="D1286:G1286"/>
    <mergeCell ref="D1290:G1290"/>
    <mergeCell ref="D1291:G1291"/>
    <mergeCell ref="D1292:G1292"/>
    <mergeCell ref="D1293:G1293"/>
    <mergeCell ref="D1287:G1287"/>
    <mergeCell ref="D1288:G1288"/>
    <mergeCell ref="D1289:G1289"/>
    <mergeCell ref="D1252:G1252"/>
    <mergeCell ref="D1253:G1253"/>
    <mergeCell ref="D1254:G1254"/>
    <mergeCell ref="D1255:G1255"/>
    <mergeCell ref="D1256:G1256"/>
    <mergeCell ref="D1257:G1257"/>
    <mergeCell ref="D1258:G1258"/>
    <mergeCell ref="D1259:G1259"/>
    <mergeCell ref="D1260:G1260"/>
    <mergeCell ref="D1261:G1261"/>
    <mergeCell ref="D1262:G1262"/>
    <mergeCell ref="D1263:G1263"/>
    <mergeCell ref="D1294:G1294"/>
    <mergeCell ref="D1295:G1295"/>
    <mergeCell ref="D1296:G1296"/>
    <mergeCell ref="D1297:G1297"/>
    <mergeCell ref="D1298:G1298"/>
    <mergeCell ref="D1299:G1299"/>
    <mergeCell ref="D1300:G1300"/>
    <mergeCell ref="D1301:G1301"/>
    <mergeCell ref="D1302:G1302"/>
    <mergeCell ref="D1303:G1303"/>
    <mergeCell ref="D1304:G1304"/>
    <mergeCell ref="D1305:G1305"/>
    <mergeCell ref="D1306:G1306"/>
    <mergeCell ref="D1307:G1307"/>
    <mergeCell ref="D1308:G1308"/>
    <mergeCell ref="D1309:G1309"/>
    <mergeCell ref="D1310:G1310"/>
    <mergeCell ref="D1311:G1311"/>
    <mergeCell ref="D1312:G1312"/>
    <mergeCell ref="D1313:G1313"/>
    <mergeCell ref="D1314:G1314"/>
    <mergeCell ref="D1315:G1315"/>
    <mergeCell ref="D1316:G1316"/>
    <mergeCell ref="D1317:G1317"/>
    <mergeCell ref="D1318:G1318"/>
    <mergeCell ref="D1319:G1319"/>
    <mergeCell ref="D1320:G1320"/>
    <mergeCell ref="D1321:G1321"/>
    <mergeCell ref="D1322:G1322"/>
    <mergeCell ref="D1323:G1323"/>
    <mergeCell ref="D1324:G1324"/>
    <mergeCell ref="D1325:G1325"/>
    <mergeCell ref="D1326:G1326"/>
    <mergeCell ref="D1327:G1327"/>
    <mergeCell ref="D1328:G1328"/>
    <mergeCell ref="D1329:G1329"/>
    <mergeCell ref="D1330:G1330"/>
    <mergeCell ref="D1331:G1331"/>
    <mergeCell ref="D1332:G1332"/>
    <mergeCell ref="D1333:G1333"/>
    <mergeCell ref="D1334:G1334"/>
    <mergeCell ref="D1341:G1341"/>
    <mergeCell ref="D1342:G1342"/>
    <mergeCell ref="D1343:G1343"/>
    <mergeCell ref="D1344:G1344"/>
    <mergeCell ref="D1345:G1345"/>
    <mergeCell ref="D1346:G1346"/>
    <mergeCell ref="D1347:G1347"/>
    <mergeCell ref="D1348:G1348"/>
    <mergeCell ref="D1349:G1349"/>
    <mergeCell ref="D1350:G1350"/>
    <mergeCell ref="D1335:G1335"/>
    <mergeCell ref="D1336:G1336"/>
    <mergeCell ref="D1337:G1337"/>
    <mergeCell ref="D1338:G1338"/>
    <mergeCell ref="D1339:G1339"/>
    <mergeCell ref="D1340:G1340"/>
    <mergeCell ref="D1351:G1351"/>
    <mergeCell ref="D1352:G1352"/>
    <mergeCell ref="D1353:G1353"/>
    <mergeCell ref="D1354:G1354"/>
    <mergeCell ref="D1355:G1355"/>
    <mergeCell ref="D1356:G1356"/>
    <mergeCell ref="D1357:G1357"/>
    <mergeCell ref="D1358:G1358"/>
    <mergeCell ref="D1359:G1359"/>
    <mergeCell ref="D1360:G1360"/>
    <mergeCell ref="D1361:G1361"/>
    <mergeCell ref="D1362:G1362"/>
    <mergeCell ref="D1363:G1363"/>
    <mergeCell ref="D1364:G1364"/>
    <mergeCell ref="D1365:G1365"/>
    <mergeCell ref="D1366:G1366"/>
    <mergeCell ref="D1367:G1367"/>
    <mergeCell ref="D1368:G1368"/>
    <mergeCell ref="D1369:G1369"/>
    <mergeCell ref="D1370:G1370"/>
    <mergeCell ref="D1371:G1371"/>
    <mergeCell ref="D1372:G1372"/>
    <mergeCell ref="D1373:G1373"/>
    <mergeCell ref="D1374:G1374"/>
    <mergeCell ref="D1375:G1375"/>
    <mergeCell ref="D1376:G1376"/>
    <mergeCell ref="D1377:G1377"/>
    <mergeCell ref="D1378:G1378"/>
    <mergeCell ref="D1379:G1379"/>
    <mergeCell ref="D1380:G1380"/>
    <mergeCell ref="D1381:G1381"/>
    <mergeCell ref="D1382:G1382"/>
    <mergeCell ref="D1383:G1383"/>
    <mergeCell ref="D1384:G1384"/>
    <mergeCell ref="D1385:G1385"/>
    <mergeCell ref="D1386:G1386"/>
    <mergeCell ref="D1387:G1387"/>
    <mergeCell ref="D1388:G1388"/>
    <mergeCell ref="D1389:G1389"/>
    <mergeCell ref="D1390:G1390"/>
    <mergeCell ref="D1391:G1391"/>
    <mergeCell ref="D1392:G1392"/>
    <mergeCell ref="D1393:G1393"/>
    <mergeCell ref="D1394:G1394"/>
    <mergeCell ref="D1409:G1409"/>
    <mergeCell ref="D1395:G1395"/>
    <mergeCell ref="D1396:G1396"/>
    <mergeCell ref="D1397:G1397"/>
    <mergeCell ref="D1398:G1398"/>
    <mergeCell ref="D1399:G1399"/>
    <mergeCell ref="D1400:G1400"/>
    <mergeCell ref="D1401:G1401"/>
    <mergeCell ref="D1402:G1402"/>
    <mergeCell ref="D1403:G1403"/>
    <mergeCell ref="D1404:G1404"/>
    <mergeCell ref="D1405:G1405"/>
    <mergeCell ref="D1406:G1406"/>
    <mergeCell ref="D1407:G1407"/>
    <mergeCell ref="D1408:G1408"/>
  </mergeCells>
  <dataValidations count="2">
    <dataValidation showInputMessage="1" sqref="D8:D1007"/>
    <dataValidation type="list" showErrorMessage="1" sqref="C8:C1007">
      <formula1>"Active,Inactive,Complete"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ddenSheet"/>
  <dimension ref="B2:Q118"/>
  <sheetViews>
    <sheetView showGridLines="0" workbookViewId="0">
      <selection activeCell="B26" sqref="B26"/>
    </sheetView>
  </sheetViews>
  <sheetFormatPr defaultRowHeight="15" x14ac:dyDescent="0.25"/>
  <cols>
    <col min="1" max="1" width="3.85546875" customWidth="1"/>
    <col min="2" max="2" width="16.85546875" customWidth="1"/>
    <col min="3" max="3" width="54" bestFit="1" customWidth="1"/>
    <col min="4" max="4" width="10.28515625" bestFit="1" customWidth="1"/>
    <col min="7" max="7" width="17.28515625" customWidth="1"/>
    <col min="10" max="10" width="22.28515625" customWidth="1"/>
    <col min="13" max="17" width="4.7109375" customWidth="1"/>
  </cols>
  <sheetData>
    <row r="2" spans="2:17" ht="23.25" x14ac:dyDescent="0.35">
      <c r="B2" s="2" t="s">
        <v>67</v>
      </c>
    </row>
    <row r="4" spans="2:17" x14ac:dyDescent="0.25">
      <c r="B4" t="s">
        <v>68</v>
      </c>
      <c r="C4" t="s">
        <v>69</v>
      </c>
      <c r="D4" t="s">
        <v>69</v>
      </c>
      <c r="F4" t="s">
        <v>70</v>
      </c>
      <c r="G4" t="s">
        <v>71</v>
      </c>
      <c r="J4" t="s">
        <v>72</v>
      </c>
    </row>
    <row r="5" spans="2:17" x14ac:dyDescent="0.25">
      <c r="B5" s="3" t="s">
        <v>73</v>
      </c>
      <c r="C5" s="13" t="s">
        <v>74</v>
      </c>
      <c r="D5" s="13" t="s">
        <v>75</v>
      </c>
      <c r="F5" s="3" t="s">
        <v>76</v>
      </c>
      <c r="G5" s="7" t="s">
        <v>3</v>
      </c>
      <c r="I5">
        <v>1</v>
      </c>
      <c r="J5" s="32" t="str">
        <f>IF(TOC!C5="","",TOC!C5)</f>
        <v/>
      </c>
      <c r="M5" s="46" t="s">
        <v>144</v>
      </c>
      <c r="N5" s="46" t="s">
        <v>170</v>
      </c>
      <c r="O5" s="46">
        <v>1</v>
      </c>
      <c r="P5" s="46" t="s">
        <v>199</v>
      </c>
      <c r="Q5" s="46" t="str">
        <f ca="1">INDEX(hidden_PasswordLower,RANDBETWEEN(1,26))</f>
        <v>n</v>
      </c>
    </row>
    <row r="6" spans="2:17" x14ac:dyDescent="0.25">
      <c r="B6" s="3" t="s">
        <v>77</v>
      </c>
      <c r="C6" s="15" t="s">
        <v>78</v>
      </c>
      <c r="D6" s="13" t="s">
        <v>79</v>
      </c>
      <c r="F6" s="3" t="s">
        <v>80</v>
      </c>
      <c r="G6" s="7" t="s">
        <v>81</v>
      </c>
      <c r="I6">
        <v>2</v>
      </c>
      <c r="J6" s="32" t="str">
        <f>IF(TOC!C6="","",TOC!C6)</f>
        <v/>
      </c>
      <c r="M6" s="46" t="s">
        <v>145</v>
      </c>
      <c r="N6" s="46" t="s">
        <v>171</v>
      </c>
      <c r="O6" s="46">
        <v>2</v>
      </c>
      <c r="P6" s="46" t="s">
        <v>201</v>
      </c>
      <c r="Q6" s="46" t="str" cm="1">
        <f t="array" aca="1" ref="Q6" ca="1">INDEX(hidden_PasswordUpper,RANDBETWEEN(1,26))</f>
        <v>Y</v>
      </c>
    </row>
    <row r="7" spans="2:17" x14ac:dyDescent="0.25">
      <c r="B7" s="3" t="s">
        <v>54</v>
      </c>
      <c r="C7" s="13" t="s">
        <v>66</v>
      </c>
      <c r="D7" s="3"/>
      <c r="G7" s="7" t="s">
        <v>53</v>
      </c>
      <c r="I7">
        <v>3</v>
      </c>
      <c r="J7" s="32" t="str">
        <f>IF(TOC!C7="","",TOC!C7)</f>
        <v/>
      </c>
      <c r="M7" s="46" t="s">
        <v>146</v>
      </c>
      <c r="N7" s="46" t="s">
        <v>172</v>
      </c>
      <c r="O7" s="46">
        <v>3</v>
      </c>
      <c r="P7" s="46" t="s">
        <v>194</v>
      </c>
      <c r="Q7" s="46" cm="1">
        <f t="array" aca="1" ref="Q7" ca="1">INDEX(hidden_PasswordNumbers,RANDBETWEEN(1,10))</f>
        <v>3</v>
      </c>
    </row>
    <row r="8" spans="2:17" x14ac:dyDescent="0.25">
      <c r="B8" s="3" t="s">
        <v>82</v>
      </c>
      <c r="C8" s="3"/>
      <c r="D8" s="3"/>
      <c r="G8" s="7" t="s">
        <v>83</v>
      </c>
      <c r="I8">
        <v>4</v>
      </c>
      <c r="J8" s="32" t="str">
        <f>IF(TOC!C8="","",TOC!C8)</f>
        <v/>
      </c>
      <c r="M8" s="46" t="s">
        <v>147</v>
      </c>
      <c r="N8" s="46" t="s">
        <v>173</v>
      </c>
      <c r="O8" s="46">
        <v>4</v>
      </c>
      <c r="P8" s="46" t="s">
        <v>195</v>
      </c>
      <c r="Q8" s="46" t="str" cm="1">
        <f t="array" aca="1" ref="Q8" ca="1">INDEX(hidden_PasswordSymbol,RANDBETWEEN(1,8))</f>
        <v>~</v>
      </c>
    </row>
    <row r="9" spans="2:17" x14ac:dyDescent="0.25">
      <c r="G9" s="7" t="s">
        <v>52</v>
      </c>
      <c r="I9">
        <v>5</v>
      </c>
      <c r="J9" s="32" t="str">
        <f>IF(TOC!C9="","",TOC!C9)</f>
        <v/>
      </c>
      <c r="M9" s="46" t="s">
        <v>148</v>
      </c>
      <c r="N9" s="46" t="s">
        <v>174</v>
      </c>
      <c r="O9" s="46">
        <v>5</v>
      </c>
      <c r="P9" s="46" t="s">
        <v>196</v>
      </c>
    </row>
    <row r="10" spans="2:17" x14ac:dyDescent="0.25">
      <c r="B10" s="3" t="s">
        <v>84</v>
      </c>
      <c r="C10" s="14" t="s">
        <v>85</v>
      </c>
      <c r="G10" s="7" t="s">
        <v>86</v>
      </c>
      <c r="I10">
        <v>6</v>
      </c>
      <c r="J10" s="32" t="str">
        <f>IF(TOC!C10="","",TOC!C10)</f>
        <v/>
      </c>
      <c r="M10" s="46" t="s">
        <v>149</v>
      </c>
      <c r="N10" s="46" t="s">
        <v>175</v>
      </c>
      <c r="O10" s="46">
        <v>6</v>
      </c>
      <c r="P10" s="46" t="s">
        <v>197</v>
      </c>
    </row>
    <row r="11" spans="2:17" x14ac:dyDescent="0.25">
      <c r="B11" s="3" t="s">
        <v>87</v>
      </c>
      <c r="C11" s="14" t="s">
        <v>88</v>
      </c>
      <c r="G11" s="7" t="s">
        <v>89</v>
      </c>
      <c r="I11">
        <v>7</v>
      </c>
      <c r="J11" s="32" t="str">
        <f>IF(TOC!C11="","",TOC!C11)</f>
        <v/>
      </c>
      <c r="M11" s="46" t="s">
        <v>150</v>
      </c>
      <c r="N11" s="46" t="s">
        <v>176</v>
      </c>
      <c r="O11" s="46">
        <v>7</v>
      </c>
      <c r="P11" s="46" t="s">
        <v>198</v>
      </c>
    </row>
    <row r="12" spans="2:17" x14ac:dyDescent="0.25">
      <c r="B12" s="3" t="s">
        <v>90</v>
      </c>
      <c r="C12" s="14" t="s">
        <v>91</v>
      </c>
      <c r="G12" s="7" t="s">
        <v>92</v>
      </c>
      <c r="I12">
        <v>8</v>
      </c>
      <c r="J12" s="32" t="str">
        <f>IF(TOC!C12="","",TOC!C12)</f>
        <v/>
      </c>
      <c r="M12" s="46" t="s">
        <v>151</v>
      </c>
      <c r="N12" s="46" t="s">
        <v>177</v>
      </c>
      <c r="O12" s="46">
        <v>8</v>
      </c>
      <c r="P12" s="46" t="s">
        <v>200</v>
      </c>
    </row>
    <row r="13" spans="2:17" x14ac:dyDescent="0.25">
      <c r="B13" s="3" t="s">
        <v>93</v>
      </c>
      <c r="C13" s="14" t="s">
        <v>94</v>
      </c>
      <c r="I13">
        <v>9</v>
      </c>
      <c r="J13" s="32" t="str">
        <f>IF(TOC!C13="","",TOC!C13)</f>
        <v/>
      </c>
      <c r="M13" s="46" t="s">
        <v>152</v>
      </c>
      <c r="N13" s="46" t="s">
        <v>178</v>
      </c>
      <c r="O13" s="46">
        <v>9</v>
      </c>
    </row>
    <row r="14" spans="2:17" x14ac:dyDescent="0.25">
      <c r="I14">
        <v>10</v>
      </c>
      <c r="J14" s="32" t="str">
        <f>IF(TOC!C14="","",TOC!C14)</f>
        <v/>
      </c>
      <c r="M14" s="46" t="s">
        <v>153</v>
      </c>
      <c r="N14" s="46" t="s">
        <v>179</v>
      </c>
      <c r="O14" s="46">
        <v>0</v>
      </c>
    </row>
    <row r="15" spans="2:17" x14ac:dyDescent="0.25">
      <c r="I15">
        <v>11</v>
      </c>
      <c r="J15" s="32" t="str">
        <f>IF(TOC!C15="","",TOC!C15)</f>
        <v/>
      </c>
      <c r="M15" s="46" t="s">
        <v>154</v>
      </c>
      <c r="N15" s="46" t="s">
        <v>180</v>
      </c>
    </row>
    <row r="16" spans="2:17" x14ac:dyDescent="0.25">
      <c r="I16">
        <v>12</v>
      </c>
      <c r="J16" s="32" t="str">
        <f>IF(TOC!C16="","",TOC!C16)</f>
        <v/>
      </c>
      <c r="M16" s="46" t="s">
        <v>155</v>
      </c>
      <c r="N16" s="46" t="s">
        <v>181</v>
      </c>
    </row>
    <row r="17" spans="2:14" x14ac:dyDescent="0.25">
      <c r="I17">
        <v>13</v>
      </c>
      <c r="J17" s="32" t="str">
        <f>IF(TOC!C17="","",TOC!C17)</f>
        <v/>
      </c>
      <c r="M17" s="46" t="s">
        <v>156</v>
      </c>
      <c r="N17" s="46" t="s">
        <v>182</v>
      </c>
    </row>
    <row r="18" spans="2:14" x14ac:dyDescent="0.25">
      <c r="B18" s="1" t="s">
        <v>68</v>
      </c>
      <c r="C18" s="1" t="s">
        <v>95</v>
      </c>
      <c r="I18">
        <v>14</v>
      </c>
      <c r="J18" s="32" t="str">
        <f>IF(TOC!C18="","",TOC!C18)</f>
        <v/>
      </c>
      <c r="M18" s="46" t="s">
        <v>157</v>
      </c>
      <c r="N18" s="46" t="s">
        <v>80</v>
      </c>
    </row>
    <row r="19" spans="2:14" x14ac:dyDescent="0.25">
      <c r="B19" s="3" t="s">
        <v>96</v>
      </c>
      <c r="C19" s="3"/>
      <c r="I19">
        <v>15</v>
      </c>
      <c r="J19" s="32" t="str">
        <f>IF(TOC!C19="","",TOC!C19)</f>
        <v/>
      </c>
      <c r="M19" s="46" t="s">
        <v>158</v>
      </c>
      <c r="N19" s="46" t="s">
        <v>183</v>
      </c>
    </row>
    <row r="20" spans="2:14" x14ac:dyDescent="0.25">
      <c r="B20" s="3" t="s">
        <v>77</v>
      </c>
      <c r="C20" s="3"/>
      <c r="I20">
        <v>16</v>
      </c>
      <c r="J20" s="32" t="str">
        <f>IF(TOC!C20="","",TOC!C20)</f>
        <v/>
      </c>
      <c r="M20" s="46" t="s">
        <v>159</v>
      </c>
      <c r="N20" s="46" t="s">
        <v>184</v>
      </c>
    </row>
    <row r="21" spans="2:14" x14ac:dyDescent="0.25">
      <c r="B21" s="3" t="s">
        <v>97</v>
      </c>
      <c r="C21" s="3"/>
      <c r="I21">
        <v>17</v>
      </c>
      <c r="J21" s="32" t="str">
        <f>IF(TOC!C21="","",TOC!C21)</f>
        <v/>
      </c>
      <c r="M21" s="46" t="s">
        <v>160</v>
      </c>
      <c r="N21" s="46" t="s">
        <v>185</v>
      </c>
    </row>
    <row r="22" spans="2:14" x14ac:dyDescent="0.25">
      <c r="B22" s="3" t="s">
        <v>98</v>
      </c>
      <c r="C22" s="3"/>
      <c r="I22">
        <v>18</v>
      </c>
      <c r="J22" s="32" t="str">
        <f>IF(TOC!C22="","",TOC!C22)</f>
        <v/>
      </c>
      <c r="M22" s="46" t="s">
        <v>161</v>
      </c>
      <c r="N22" s="46" t="s">
        <v>186</v>
      </c>
    </row>
    <row r="23" spans="2:14" x14ac:dyDescent="0.25">
      <c r="B23" s="3" t="s">
        <v>99</v>
      </c>
      <c r="C23" s="3"/>
      <c r="I23">
        <v>19</v>
      </c>
      <c r="J23" s="32" t="str">
        <f>IF(TOC!C23="","",TOC!C23)</f>
        <v/>
      </c>
      <c r="M23" s="46" t="s">
        <v>162</v>
      </c>
      <c r="N23" s="46" t="s">
        <v>187</v>
      </c>
    </row>
    <row r="24" spans="2:14" x14ac:dyDescent="0.25">
      <c r="B24" s="3" t="s">
        <v>54</v>
      </c>
      <c r="C24" s="3"/>
      <c r="I24">
        <v>20</v>
      </c>
      <c r="J24" s="32" t="str">
        <f>IF(TOC!C24="","",TOC!C24)</f>
        <v/>
      </c>
      <c r="M24" s="46" t="s">
        <v>163</v>
      </c>
      <c r="N24" s="46" t="s">
        <v>188</v>
      </c>
    </row>
    <row r="25" spans="2:14" x14ac:dyDescent="0.25">
      <c r="C25" s="3"/>
      <c r="I25">
        <v>21</v>
      </c>
      <c r="J25" s="32" t="str">
        <f>IF(TOC!C25="","",TOC!C25)</f>
        <v/>
      </c>
      <c r="M25" s="46" t="s">
        <v>164</v>
      </c>
      <c r="N25" s="46" t="s">
        <v>189</v>
      </c>
    </row>
    <row r="26" spans="2:14" x14ac:dyDescent="0.25">
      <c r="C26" s="3"/>
      <c r="I26">
        <v>22</v>
      </c>
      <c r="J26" s="32" t="str">
        <f>IF(TOC!C26="","",TOC!C26)</f>
        <v/>
      </c>
      <c r="M26" s="46" t="s">
        <v>165</v>
      </c>
      <c r="N26" s="46" t="s">
        <v>190</v>
      </c>
    </row>
    <row r="27" spans="2:14" x14ac:dyDescent="0.25">
      <c r="C27" s="3"/>
      <c r="I27">
        <v>23</v>
      </c>
      <c r="J27" s="32" t="str">
        <f>IF(TOC!C27="","",TOC!C27)</f>
        <v/>
      </c>
      <c r="M27" s="46" t="s">
        <v>166</v>
      </c>
      <c r="N27" s="46" t="s">
        <v>191</v>
      </c>
    </row>
    <row r="28" spans="2:14" x14ac:dyDescent="0.25">
      <c r="C28" s="3"/>
      <c r="I28">
        <v>24</v>
      </c>
      <c r="J28" s="32" t="str">
        <f>IF(TOC!C28="","",TOC!C28)</f>
        <v/>
      </c>
      <c r="M28" s="46" t="s">
        <v>167</v>
      </c>
      <c r="N28" s="46" t="s">
        <v>192</v>
      </c>
    </row>
    <row r="29" spans="2:14" x14ac:dyDescent="0.25">
      <c r="C29" s="3"/>
      <c r="I29">
        <v>25</v>
      </c>
      <c r="J29" s="32" t="str">
        <f>IF(TOC!C29="","",TOC!C29)</f>
        <v/>
      </c>
      <c r="M29" s="46" t="s">
        <v>168</v>
      </c>
      <c r="N29" s="46" t="s">
        <v>76</v>
      </c>
    </row>
    <row r="30" spans="2:14" x14ac:dyDescent="0.25">
      <c r="C30" s="3"/>
      <c r="I30">
        <v>26</v>
      </c>
      <c r="J30" s="32" t="str">
        <f>IF(TOC!C30="","",TOC!C30)</f>
        <v/>
      </c>
      <c r="M30" s="46" t="s">
        <v>169</v>
      </c>
      <c r="N30" s="46" t="s">
        <v>193</v>
      </c>
    </row>
    <row r="31" spans="2:14" x14ac:dyDescent="0.25">
      <c r="C31" s="3"/>
      <c r="I31">
        <v>27</v>
      </c>
      <c r="J31" s="32" t="str">
        <f>IF(TOC!C31="","",TOC!C31)</f>
        <v/>
      </c>
    </row>
    <row r="32" spans="2:14" x14ac:dyDescent="0.25">
      <c r="C32" s="3"/>
      <c r="I32">
        <v>28</v>
      </c>
      <c r="J32" s="32" t="str">
        <f>IF(TOC!C32="","",TOC!C32)</f>
        <v/>
      </c>
    </row>
    <row r="33" spans="3:10" x14ac:dyDescent="0.25">
      <c r="C33" s="3"/>
      <c r="I33">
        <v>29</v>
      </c>
      <c r="J33" s="32" t="str">
        <f>IF(TOC!C33="","",TOC!C33)</f>
        <v/>
      </c>
    </row>
    <row r="34" spans="3:10" x14ac:dyDescent="0.25">
      <c r="C34" s="3"/>
      <c r="I34">
        <v>30</v>
      </c>
      <c r="J34" s="32" t="str">
        <f>IF(TOC!C34="","",TOC!C34)</f>
        <v/>
      </c>
    </row>
    <row r="35" spans="3:10" x14ac:dyDescent="0.25">
      <c r="C35" s="3"/>
      <c r="I35">
        <v>31</v>
      </c>
      <c r="J35" s="32" t="str">
        <f>IF(TOC!C35="","",TOC!C35)</f>
        <v/>
      </c>
    </row>
    <row r="36" spans="3:10" x14ac:dyDescent="0.25">
      <c r="C36" s="3"/>
      <c r="I36">
        <v>32</v>
      </c>
      <c r="J36" s="32" t="str">
        <f>IF(TOC!C36="","",TOC!C36)</f>
        <v/>
      </c>
    </row>
    <row r="37" spans="3:10" x14ac:dyDescent="0.25">
      <c r="C37" s="3"/>
      <c r="I37">
        <v>33</v>
      </c>
      <c r="J37" s="32" t="str">
        <f>IF(TOC!C37="","",TOC!C37)</f>
        <v/>
      </c>
    </row>
    <row r="38" spans="3:10" x14ac:dyDescent="0.25">
      <c r="C38" s="3"/>
      <c r="I38">
        <v>34</v>
      </c>
      <c r="J38" s="32" t="str">
        <f>IF(TOC!C38="","",TOC!C38)</f>
        <v/>
      </c>
    </row>
    <row r="39" spans="3:10" x14ac:dyDescent="0.25">
      <c r="C39" s="3"/>
      <c r="I39">
        <v>35</v>
      </c>
      <c r="J39" s="32" t="str">
        <f>IF(TOC!C39="","",TOC!C39)</f>
        <v/>
      </c>
    </row>
    <row r="40" spans="3:10" x14ac:dyDescent="0.25">
      <c r="C40" s="3"/>
      <c r="I40">
        <v>36</v>
      </c>
      <c r="J40" s="32" t="str">
        <f>IF(TOC!C40="","",TOC!C40)</f>
        <v/>
      </c>
    </row>
    <row r="41" spans="3:10" x14ac:dyDescent="0.25">
      <c r="C41" s="3"/>
      <c r="I41">
        <v>37</v>
      </c>
      <c r="J41" s="32" t="str">
        <f>IF(TOC!C41="","",TOC!C41)</f>
        <v/>
      </c>
    </row>
    <row r="42" spans="3:10" x14ac:dyDescent="0.25">
      <c r="C42" s="3"/>
      <c r="I42">
        <v>38</v>
      </c>
      <c r="J42" s="32" t="str">
        <f>IF(TOC!C42="","",TOC!C42)</f>
        <v/>
      </c>
    </row>
    <row r="43" spans="3:10" x14ac:dyDescent="0.25">
      <c r="C43" s="3"/>
      <c r="I43">
        <v>39</v>
      </c>
      <c r="J43" s="32" t="str">
        <f>IF(TOC!C43="","",TOC!C43)</f>
        <v/>
      </c>
    </row>
    <row r="44" spans="3:10" x14ac:dyDescent="0.25">
      <c r="C44" s="3"/>
      <c r="I44">
        <v>40</v>
      </c>
      <c r="J44" s="32" t="str">
        <f>IF(TOC!C44="","",TOC!C44)</f>
        <v/>
      </c>
    </row>
    <row r="45" spans="3:10" x14ac:dyDescent="0.25">
      <c r="C45" s="3"/>
      <c r="I45">
        <v>41</v>
      </c>
      <c r="J45" s="32" t="str">
        <f>IF(TOC!C45="","",TOC!C45)</f>
        <v/>
      </c>
    </row>
    <row r="46" spans="3:10" x14ac:dyDescent="0.25">
      <c r="C46" s="3"/>
      <c r="I46">
        <v>42</v>
      </c>
      <c r="J46" s="32" t="str">
        <f>IF(TOC!C46="","",TOC!C46)</f>
        <v/>
      </c>
    </row>
    <row r="47" spans="3:10" x14ac:dyDescent="0.25">
      <c r="C47" s="3"/>
      <c r="I47">
        <v>43</v>
      </c>
      <c r="J47" s="32" t="str">
        <f>IF(TOC!C47="","",TOC!C47)</f>
        <v/>
      </c>
    </row>
    <row r="48" spans="3:10" x14ac:dyDescent="0.25">
      <c r="C48" s="3"/>
      <c r="I48">
        <v>44</v>
      </c>
      <c r="J48" s="32" t="str">
        <f>IF(TOC!C48="","",TOC!C48)</f>
        <v/>
      </c>
    </row>
    <row r="49" spans="3:10" x14ac:dyDescent="0.25">
      <c r="C49" s="3"/>
      <c r="I49">
        <v>45</v>
      </c>
      <c r="J49" s="32" t="str">
        <f>IF(TOC!C49="","",TOC!C49)</f>
        <v/>
      </c>
    </row>
    <row r="50" spans="3:10" x14ac:dyDescent="0.25">
      <c r="C50" s="3"/>
      <c r="I50">
        <v>46</v>
      </c>
      <c r="J50" s="32" t="str">
        <f>IF(TOC!C50="","",TOC!C50)</f>
        <v/>
      </c>
    </row>
    <row r="51" spans="3:10" x14ac:dyDescent="0.25">
      <c r="C51" s="3"/>
      <c r="I51">
        <v>47</v>
      </c>
      <c r="J51" s="32" t="str">
        <f>IF(TOC!C51="","",TOC!C51)</f>
        <v/>
      </c>
    </row>
    <row r="52" spans="3:10" x14ac:dyDescent="0.25">
      <c r="C52" s="3"/>
      <c r="I52">
        <v>48</v>
      </c>
      <c r="J52" s="32" t="str">
        <f>IF(TOC!C52="","",TOC!C52)</f>
        <v/>
      </c>
    </row>
    <row r="53" spans="3:10" x14ac:dyDescent="0.25">
      <c r="C53" s="3"/>
      <c r="I53">
        <v>49</v>
      </c>
      <c r="J53" s="32" t="str">
        <f>IF(TOC!C53="","",TOC!C53)</f>
        <v/>
      </c>
    </row>
    <row r="54" spans="3:10" x14ac:dyDescent="0.25">
      <c r="C54" s="3"/>
      <c r="I54">
        <v>50</v>
      </c>
      <c r="J54" s="32" t="str">
        <f>IF(TOC!C54="","",TOC!C54)</f>
        <v/>
      </c>
    </row>
    <row r="55" spans="3:10" x14ac:dyDescent="0.25">
      <c r="C55" s="3"/>
      <c r="I55">
        <v>51</v>
      </c>
      <c r="J55" s="32" t="str">
        <f>IF(TOC!C55="","",TOC!C55)</f>
        <v/>
      </c>
    </row>
    <row r="56" spans="3:10" x14ac:dyDescent="0.25">
      <c r="C56" s="3"/>
      <c r="I56">
        <v>52</v>
      </c>
      <c r="J56" s="32" t="str">
        <f>IF(TOC!C56="","",TOC!C56)</f>
        <v/>
      </c>
    </row>
    <row r="57" spans="3:10" x14ac:dyDescent="0.25">
      <c r="C57" s="3"/>
      <c r="I57">
        <v>53</v>
      </c>
      <c r="J57" s="32" t="str">
        <f>IF(TOC!C57="","",TOC!C57)</f>
        <v/>
      </c>
    </row>
    <row r="58" spans="3:10" x14ac:dyDescent="0.25">
      <c r="C58" s="3"/>
      <c r="I58">
        <v>54</v>
      </c>
      <c r="J58" s="32" t="str">
        <f>IF(TOC!C58="","",TOC!C58)</f>
        <v/>
      </c>
    </row>
    <row r="59" spans="3:10" x14ac:dyDescent="0.25">
      <c r="C59" s="3"/>
      <c r="I59">
        <v>55</v>
      </c>
      <c r="J59" s="32" t="str">
        <f>IF(TOC!C59="","",TOC!C59)</f>
        <v/>
      </c>
    </row>
    <row r="60" spans="3:10" x14ac:dyDescent="0.25">
      <c r="C60" s="3"/>
      <c r="I60">
        <v>56</v>
      </c>
      <c r="J60" s="32" t="str">
        <f>IF(TOC!C60="","",TOC!C60)</f>
        <v/>
      </c>
    </row>
    <row r="61" spans="3:10" x14ac:dyDescent="0.25">
      <c r="C61" s="3"/>
      <c r="I61">
        <v>57</v>
      </c>
      <c r="J61" s="32" t="str">
        <f>IF(TOC!C61="","",TOC!C61)</f>
        <v/>
      </c>
    </row>
    <row r="62" spans="3:10" x14ac:dyDescent="0.25">
      <c r="C62" s="3"/>
      <c r="I62">
        <v>58</v>
      </c>
      <c r="J62" s="32" t="str">
        <f>IF(TOC!C62="","",TOC!C62)</f>
        <v/>
      </c>
    </row>
    <row r="63" spans="3:10" x14ac:dyDescent="0.25">
      <c r="C63" s="3"/>
      <c r="I63">
        <v>59</v>
      </c>
      <c r="J63" s="32" t="str">
        <f>IF(TOC!C63="","",TOC!C63)</f>
        <v/>
      </c>
    </row>
    <row r="64" spans="3:10" x14ac:dyDescent="0.25">
      <c r="C64" s="3"/>
      <c r="I64">
        <v>60</v>
      </c>
      <c r="J64" s="32" t="str">
        <f>IF(TOC!C64="","",TOC!C64)</f>
        <v/>
      </c>
    </row>
    <row r="65" spans="3:10" x14ac:dyDescent="0.25">
      <c r="C65" s="3"/>
      <c r="I65">
        <v>61</v>
      </c>
      <c r="J65" s="32" t="str">
        <f>IF(TOC!C65="","",TOC!C65)</f>
        <v/>
      </c>
    </row>
    <row r="66" spans="3:10" x14ac:dyDescent="0.25">
      <c r="C66" s="3"/>
      <c r="I66">
        <v>62</v>
      </c>
      <c r="J66" s="32" t="str">
        <f>IF(TOC!C66="","",TOC!C66)</f>
        <v/>
      </c>
    </row>
    <row r="67" spans="3:10" x14ac:dyDescent="0.25">
      <c r="C67" s="3"/>
      <c r="I67">
        <v>63</v>
      </c>
      <c r="J67" s="32" t="str">
        <f>IF(TOC!C67="","",TOC!C67)</f>
        <v/>
      </c>
    </row>
    <row r="68" spans="3:10" x14ac:dyDescent="0.25">
      <c r="C68" s="3"/>
      <c r="I68">
        <v>64</v>
      </c>
      <c r="J68" s="32" t="str">
        <f>IF(TOC!C68="","",TOC!C68)</f>
        <v/>
      </c>
    </row>
    <row r="69" spans="3:10" x14ac:dyDescent="0.25">
      <c r="C69" s="3"/>
      <c r="I69">
        <v>65</v>
      </c>
      <c r="J69" s="32" t="str">
        <f>IF(TOC!C69="","",TOC!C69)</f>
        <v/>
      </c>
    </row>
    <row r="70" spans="3:10" x14ac:dyDescent="0.25">
      <c r="C70" s="3"/>
      <c r="I70">
        <v>66</v>
      </c>
      <c r="J70" s="32" t="str">
        <f>IF(TOC!C70="","",TOC!C70)</f>
        <v/>
      </c>
    </row>
    <row r="71" spans="3:10" x14ac:dyDescent="0.25">
      <c r="C71" s="3"/>
      <c r="I71">
        <v>67</v>
      </c>
      <c r="J71" s="32" t="str">
        <f>IF(TOC!C71="","",TOC!C71)</f>
        <v/>
      </c>
    </row>
    <row r="72" spans="3:10" x14ac:dyDescent="0.25">
      <c r="C72" s="3"/>
      <c r="I72">
        <v>68</v>
      </c>
      <c r="J72" s="32" t="str">
        <f>IF(TOC!C72="","",TOC!C72)</f>
        <v/>
      </c>
    </row>
    <row r="73" spans="3:10" x14ac:dyDescent="0.25">
      <c r="C73" s="3"/>
      <c r="I73">
        <v>69</v>
      </c>
      <c r="J73" s="32" t="str">
        <f>IF(TOC!C73="","",TOC!C73)</f>
        <v/>
      </c>
    </row>
    <row r="74" spans="3:10" x14ac:dyDescent="0.25">
      <c r="C74" s="3"/>
      <c r="I74">
        <v>70</v>
      </c>
      <c r="J74" s="32" t="str">
        <f>IF(TOC!C74="","",TOC!C74)</f>
        <v/>
      </c>
    </row>
    <row r="75" spans="3:10" x14ac:dyDescent="0.25">
      <c r="C75" s="3"/>
      <c r="I75">
        <v>71</v>
      </c>
      <c r="J75" s="32" t="str">
        <f>IF(TOC!C75="","",TOC!C75)</f>
        <v/>
      </c>
    </row>
    <row r="76" spans="3:10" x14ac:dyDescent="0.25">
      <c r="C76" s="3"/>
      <c r="I76">
        <v>72</v>
      </c>
      <c r="J76" s="32" t="str">
        <f>IF(TOC!C76="","",TOC!C76)</f>
        <v/>
      </c>
    </row>
    <row r="77" spans="3:10" x14ac:dyDescent="0.25">
      <c r="C77" s="3"/>
      <c r="I77">
        <v>73</v>
      </c>
      <c r="J77" s="32" t="str">
        <f>IF(TOC!C77="","",TOC!C77)</f>
        <v/>
      </c>
    </row>
    <row r="78" spans="3:10" x14ac:dyDescent="0.25">
      <c r="C78" s="3"/>
      <c r="I78">
        <v>74</v>
      </c>
      <c r="J78" s="32" t="str">
        <f>IF(TOC!C78="","",TOC!C78)</f>
        <v/>
      </c>
    </row>
    <row r="79" spans="3:10" x14ac:dyDescent="0.25">
      <c r="C79" s="3"/>
      <c r="I79">
        <v>75</v>
      </c>
      <c r="J79" s="32" t="str">
        <f>IF(TOC!C79="","",TOC!C79)</f>
        <v/>
      </c>
    </row>
    <row r="80" spans="3:10" x14ac:dyDescent="0.25">
      <c r="C80" s="3"/>
      <c r="I80">
        <v>76</v>
      </c>
      <c r="J80" s="32" t="str">
        <f>IF(TOC!C80="","",TOC!C80)</f>
        <v/>
      </c>
    </row>
    <row r="81" spans="3:10" x14ac:dyDescent="0.25">
      <c r="C81" s="3"/>
      <c r="I81">
        <v>77</v>
      </c>
      <c r="J81" s="32" t="str">
        <f>IF(TOC!C81="","",TOC!C81)</f>
        <v/>
      </c>
    </row>
    <row r="82" spans="3:10" x14ac:dyDescent="0.25">
      <c r="C82" s="3"/>
      <c r="I82">
        <v>78</v>
      </c>
      <c r="J82" s="32" t="str">
        <f>IF(TOC!C82="","",TOC!C82)</f>
        <v/>
      </c>
    </row>
    <row r="83" spans="3:10" x14ac:dyDescent="0.25">
      <c r="C83" s="3"/>
      <c r="I83">
        <v>79</v>
      </c>
      <c r="J83" s="32" t="str">
        <f>IF(TOC!C83="","",TOC!C83)</f>
        <v/>
      </c>
    </row>
    <row r="84" spans="3:10" x14ac:dyDescent="0.25">
      <c r="C84" s="3"/>
      <c r="I84">
        <v>80</v>
      </c>
      <c r="J84" s="32" t="str">
        <f>IF(TOC!C84="","",TOC!C84)</f>
        <v/>
      </c>
    </row>
    <row r="85" spans="3:10" x14ac:dyDescent="0.25">
      <c r="C85" s="3"/>
      <c r="I85">
        <v>81</v>
      </c>
      <c r="J85" s="32" t="str">
        <f>IF(TOC!C85="","",TOC!C85)</f>
        <v/>
      </c>
    </row>
    <row r="86" spans="3:10" x14ac:dyDescent="0.25">
      <c r="C86" s="3"/>
      <c r="I86">
        <v>82</v>
      </c>
      <c r="J86" s="32" t="str">
        <f>IF(TOC!C86="","",TOC!C86)</f>
        <v/>
      </c>
    </row>
    <row r="87" spans="3:10" x14ac:dyDescent="0.25">
      <c r="C87" s="3"/>
      <c r="I87">
        <v>83</v>
      </c>
      <c r="J87" s="32" t="str">
        <f>IF(TOC!C87="","",TOC!C87)</f>
        <v/>
      </c>
    </row>
    <row r="88" spans="3:10" x14ac:dyDescent="0.25">
      <c r="C88" s="3"/>
      <c r="I88">
        <v>84</v>
      </c>
      <c r="J88" s="32" t="str">
        <f>IF(TOC!C88="","",TOC!C88)</f>
        <v/>
      </c>
    </row>
    <row r="89" spans="3:10" x14ac:dyDescent="0.25">
      <c r="C89" s="3"/>
      <c r="I89">
        <v>85</v>
      </c>
      <c r="J89" s="32" t="str">
        <f>IF(TOC!C89="","",TOC!C89)</f>
        <v/>
      </c>
    </row>
    <row r="90" spans="3:10" x14ac:dyDescent="0.25">
      <c r="C90" s="3"/>
      <c r="I90">
        <v>86</v>
      </c>
      <c r="J90" s="32" t="str">
        <f>IF(TOC!C90="","",TOC!C90)</f>
        <v/>
      </c>
    </row>
    <row r="91" spans="3:10" x14ac:dyDescent="0.25">
      <c r="C91" s="3"/>
      <c r="I91">
        <v>87</v>
      </c>
      <c r="J91" s="32" t="str">
        <f>IF(TOC!C91="","",TOC!C91)</f>
        <v/>
      </c>
    </row>
    <row r="92" spans="3:10" x14ac:dyDescent="0.25">
      <c r="C92" s="3"/>
      <c r="I92">
        <v>88</v>
      </c>
      <c r="J92" s="32" t="str">
        <f>IF(TOC!C92="","",TOC!C92)</f>
        <v/>
      </c>
    </row>
    <row r="93" spans="3:10" x14ac:dyDescent="0.25">
      <c r="C93" s="3"/>
      <c r="I93">
        <v>89</v>
      </c>
      <c r="J93" s="32" t="str">
        <f>IF(TOC!C93="","",TOC!C93)</f>
        <v/>
      </c>
    </row>
    <row r="94" spans="3:10" x14ac:dyDescent="0.25">
      <c r="C94" s="3"/>
      <c r="I94">
        <v>90</v>
      </c>
      <c r="J94" s="32" t="str">
        <f>IF(TOC!C94="","",TOC!C94)</f>
        <v/>
      </c>
    </row>
    <row r="95" spans="3:10" x14ac:dyDescent="0.25">
      <c r="C95" s="3"/>
      <c r="I95">
        <v>91</v>
      </c>
      <c r="J95" s="32" t="str">
        <f>IF(TOC!C95="","",TOC!C95)</f>
        <v/>
      </c>
    </row>
    <row r="96" spans="3:10" x14ac:dyDescent="0.25">
      <c r="C96" s="3"/>
      <c r="I96">
        <v>92</v>
      </c>
      <c r="J96" s="32" t="str">
        <f>IF(TOC!C96="","",TOC!C96)</f>
        <v/>
      </c>
    </row>
    <row r="97" spans="3:10" x14ac:dyDescent="0.25">
      <c r="C97" s="3"/>
      <c r="I97">
        <v>93</v>
      </c>
      <c r="J97" s="32" t="str">
        <f>IF(TOC!C97="","",TOC!C97)</f>
        <v/>
      </c>
    </row>
    <row r="98" spans="3:10" x14ac:dyDescent="0.25">
      <c r="C98" s="3"/>
      <c r="I98">
        <v>94</v>
      </c>
      <c r="J98" s="32" t="str">
        <f>IF(TOC!C98="","",TOC!C98)</f>
        <v/>
      </c>
    </row>
    <row r="99" spans="3:10" x14ac:dyDescent="0.25">
      <c r="C99" s="3"/>
      <c r="I99">
        <v>95</v>
      </c>
      <c r="J99" s="32" t="str">
        <f>IF(TOC!C99="","",TOC!C99)</f>
        <v/>
      </c>
    </row>
    <row r="100" spans="3:10" x14ac:dyDescent="0.25">
      <c r="C100" s="3"/>
      <c r="I100">
        <v>96</v>
      </c>
      <c r="J100" s="32" t="str">
        <f>IF(TOC!C100="","",TOC!C100)</f>
        <v/>
      </c>
    </row>
    <row r="101" spans="3:10" x14ac:dyDescent="0.25">
      <c r="C101" s="3"/>
      <c r="I101">
        <v>97</v>
      </c>
      <c r="J101" s="32" t="str">
        <f>IF(TOC!C101="","",TOC!C101)</f>
        <v/>
      </c>
    </row>
    <row r="102" spans="3:10" x14ac:dyDescent="0.25">
      <c r="C102" s="3"/>
      <c r="I102">
        <v>98</v>
      </c>
      <c r="J102" s="32" t="str">
        <f>IF(TOC!C102="","",TOC!C102)</f>
        <v/>
      </c>
    </row>
    <row r="103" spans="3:10" x14ac:dyDescent="0.25">
      <c r="C103" s="3"/>
      <c r="I103">
        <v>99</v>
      </c>
      <c r="J103" s="32" t="str">
        <f>IF(TOC!C103="","",TOC!C103)</f>
        <v/>
      </c>
    </row>
    <row r="104" spans="3:10" x14ac:dyDescent="0.25">
      <c r="C104" s="3"/>
      <c r="I104">
        <v>100</v>
      </c>
      <c r="J104" s="32" t="str">
        <f>IF(TOC!C104="","",TOC!C104)</f>
        <v/>
      </c>
    </row>
    <row r="105" spans="3:10" x14ac:dyDescent="0.25">
      <c r="C105" s="3"/>
    </row>
    <row r="106" spans="3:10" x14ac:dyDescent="0.25">
      <c r="C106" s="3"/>
    </row>
    <row r="107" spans="3:10" x14ac:dyDescent="0.25">
      <c r="C107" s="3"/>
    </row>
    <row r="108" spans="3:10" x14ac:dyDescent="0.25">
      <c r="C108" s="3"/>
    </row>
    <row r="109" spans="3:10" x14ac:dyDescent="0.25">
      <c r="C109" s="3"/>
    </row>
    <row r="110" spans="3:10" x14ac:dyDescent="0.25">
      <c r="C110" s="3"/>
    </row>
    <row r="111" spans="3:10" x14ac:dyDescent="0.25">
      <c r="C111" s="3"/>
    </row>
    <row r="112" spans="3:10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</sheetData>
  <hyperlinks>
    <hyperlink ref="C5" r:id="rId1"/>
    <hyperlink ref="C6" r:id="rId2"/>
    <hyperlink ref="C7" r:id="rId3" location="doc_info/"/>
  </hyperlinks>
  <pageMargins left="0.7" right="0.7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tacts"/>
  <dimension ref="B2:P642"/>
  <sheetViews>
    <sheetView showGridLines="0" workbookViewId="0">
      <selection activeCell="A2" sqref="A2"/>
    </sheetView>
  </sheetViews>
  <sheetFormatPr defaultRowHeight="15" x14ac:dyDescent="0.25"/>
  <cols>
    <col min="1" max="1" width="3.85546875" customWidth="1"/>
    <col min="2" max="2" width="16.85546875" customWidth="1"/>
    <col min="3" max="12" width="9.28515625" customWidth="1"/>
    <col min="13" max="13" width="10.5703125" bestFit="1" customWidth="1"/>
    <col min="14" max="14" width="11.28515625" customWidth="1"/>
    <col min="15" max="16" width="9.28515625" customWidth="1"/>
    <col min="17" max="25" width="9.140625" customWidth="1"/>
    <col min="26" max="28" width="8.85546875" customWidth="1"/>
  </cols>
  <sheetData>
    <row r="2" spans="2:14" ht="23.25" x14ac:dyDescent="0.35">
      <c r="B2" s="2" t="s">
        <v>100</v>
      </c>
      <c r="C2" s="2"/>
    </row>
    <row r="3" spans="2:14" ht="14.45" customHeight="1" x14ac:dyDescent="0.25"/>
    <row r="4" spans="2:14" ht="14.45" customHeight="1" x14ac:dyDescent="0.35">
      <c r="B4" s="2"/>
      <c r="C4" s="42">
        <f ca="1">TIME(HOUR(NOW()),MINUTE(NOW()),SECOND(NOW()))</f>
        <v>0.62368055555555557</v>
      </c>
      <c r="D4" s="39" t="s">
        <v>101</v>
      </c>
      <c r="E4" s="39" t="s">
        <v>102</v>
      </c>
      <c r="F4" s="39" t="s">
        <v>103</v>
      </c>
      <c r="G4" s="39" t="s">
        <v>104</v>
      </c>
      <c r="H4" s="40" t="s">
        <v>105</v>
      </c>
      <c r="I4" s="39" t="s">
        <v>46</v>
      </c>
      <c r="J4" s="39" t="s">
        <v>46</v>
      </c>
      <c r="K4" s="39" t="s">
        <v>106</v>
      </c>
      <c r="L4" s="39" t="s">
        <v>107</v>
      </c>
      <c r="M4" s="39" t="s">
        <v>108</v>
      </c>
      <c r="N4" s="39" t="s">
        <v>109</v>
      </c>
    </row>
    <row r="5" spans="2:14" s="1" customFormat="1" x14ac:dyDescent="0.25">
      <c r="B5" s="24" t="s">
        <v>110</v>
      </c>
      <c r="C5" s="23" t="s">
        <v>111</v>
      </c>
      <c r="D5" s="22" t="s">
        <v>76</v>
      </c>
      <c r="E5" s="21" t="str">
        <f>MID(C5,LEN("UTC ")+1,LEN("UTC - "))</f>
        <v>- 5</v>
      </c>
      <c r="F5" s="21">
        <f>IF(D5="Y",E5+1,E5)</f>
        <v>-4</v>
      </c>
      <c r="G5" s="21">
        <f>IF(rDST="N",F5,F5+1)</f>
        <v>-3</v>
      </c>
      <c r="H5" s="20">
        <f>IF(F5="","",MOD(F5,1)*60)</f>
        <v>0</v>
      </c>
      <c r="I5" s="19">
        <f ca="1">IF(B5="","",IF(F5&lt;0,rCurrentTime-TIME(ABS(F5),(H5),0),rCurrentTime+TIME(ABS(F5),(H5),0)))</f>
        <v>0.45701388888888894</v>
      </c>
      <c r="J5" s="19">
        <f ca="1">IF(B5="","",I5+TIME(ABS($F$8),0,0))</f>
        <v>0.54034722222222231</v>
      </c>
      <c r="K5" s="18">
        <f t="shared" ref="K5" si="0">IF(F5="","",ABS(T$12)+F5)</f>
        <v>-4</v>
      </c>
      <c r="L5" s="41">
        <f ca="1">TIME(HOUR(NOW()),MINUTE(NOW()),SECOND(NOW()))</f>
        <v>0.62368055555555557</v>
      </c>
      <c r="M5" s="19">
        <f ca="1">L5+TIME(ABS(F5),0,0)</f>
        <v>0.7903472222222222</v>
      </c>
      <c r="N5" s="48">
        <f ca="1">TODAY()</f>
        <v>44890</v>
      </c>
    </row>
    <row r="6" spans="2:14" ht="23.25" x14ac:dyDescent="0.35">
      <c r="B6" s="2"/>
      <c r="C6" s="2"/>
      <c r="M6" s="1"/>
    </row>
    <row r="7" spans="2:14" x14ac:dyDescent="0.25">
      <c r="B7" s="12" t="s">
        <v>48</v>
      </c>
      <c r="C7" s="12" t="s">
        <v>112</v>
      </c>
      <c r="D7" s="5" t="s">
        <v>101</v>
      </c>
      <c r="E7" s="5" t="s">
        <v>102</v>
      </c>
      <c r="F7" s="5" t="s">
        <v>103</v>
      </c>
      <c r="G7" s="5" t="s">
        <v>104</v>
      </c>
      <c r="H7" s="30" t="s">
        <v>105</v>
      </c>
      <c r="I7" s="5" t="s">
        <v>46</v>
      </c>
      <c r="J7" s="5" t="s">
        <v>46</v>
      </c>
      <c r="K7" s="5" t="s">
        <v>106</v>
      </c>
    </row>
    <row r="8" spans="2:14" x14ac:dyDescent="0.25">
      <c r="B8" s="6" t="s">
        <v>59</v>
      </c>
      <c r="C8" s="23" t="s">
        <v>113</v>
      </c>
      <c r="D8" s="22" t="s">
        <v>76</v>
      </c>
      <c r="E8" s="21" t="str">
        <f t="shared" ref="E8:E71" si="1">MID(C8,LEN("UTC ")+1,LEN("UTC - "))</f>
        <v>+ 1</v>
      </c>
      <c r="F8" s="21">
        <f t="shared" ref="F8:F71" si="2">IF(D8="Y",E8+1,E8)</f>
        <v>2</v>
      </c>
      <c r="G8" s="21">
        <f t="shared" ref="G8:G71" si="3">IF(F8="","",IF(rDST="N",F8,F8+1))</f>
        <v>3</v>
      </c>
      <c r="H8" s="20">
        <f t="shared" ref="H8:H32" si="4">IF(F8="","",MOD(F8,1)*60)</f>
        <v>0</v>
      </c>
      <c r="I8" s="19">
        <f t="shared" ref="I8:I71" ca="1" si="5">IF(B8="","",IF(F8&lt;0,rGreenwich-TIME(ABS(F8),(H8),0),rGreenwich+TIME(ABS(F8),(H8),0)))</f>
        <v>0.87368055555555557</v>
      </c>
      <c r="J8" s="19">
        <f t="shared" ref="J8" ca="1" si="6">IF(B8="","",I8+TIME(ABS($F$8),0,0))</f>
        <v>0.95701388888888894</v>
      </c>
      <c r="K8" s="18">
        <f t="shared" ref="K8:K32" si="7">IF(F8="","",ABS(T$12)+F8)</f>
        <v>2</v>
      </c>
      <c r="M8" s="8" t="s">
        <v>112</v>
      </c>
      <c r="N8" s="8" t="s">
        <v>114</v>
      </c>
    </row>
    <row r="9" spans="2:14" x14ac:dyDescent="0.25">
      <c r="B9" s="6" t="s">
        <v>61</v>
      </c>
      <c r="C9" s="23" t="s">
        <v>113</v>
      </c>
      <c r="D9" s="22" t="s">
        <v>76</v>
      </c>
      <c r="E9" s="21" t="str">
        <f t="shared" si="1"/>
        <v>+ 1</v>
      </c>
      <c r="F9" s="21">
        <f t="shared" si="2"/>
        <v>2</v>
      </c>
      <c r="G9" s="21">
        <f t="shared" si="3"/>
        <v>3</v>
      </c>
      <c r="H9" s="20">
        <f t="shared" ref="H9:H31" si="8">IF(F9="","",MOD(F9,1)*60)</f>
        <v>0</v>
      </c>
      <c r="I9" s="19">
        <f t="shared" ca="1" si="5"/>
        <v>0.87368055555555557</v>
      </c>
      <c r="J9" s="19">
        <f t="shared" ref="J9:J31" ca="1" si="9">IF(B9="","",I9+TIME(ABS($F$8),0,0))</f>
        <v>0.95701388888888894</v>
      </c>
      <c r="K9" s="18">
        <f t="shared" ref="K9:K31" si="10">IF(F9="","",ABS(T$12)+F9)</f>
        <v>2</v>
      </c>
      <c r="M9" s="8" t="s">
        <v>102</v>
      </c>
      <c r="N9" s="24" t="s">
        <v>115</v>
      </c>
    </row>
    <row r="10" spans="2:14" x14ac:dyDescent="0.25">
      <c r="B10" s="6" t="s">
        <v>116</v>
      </c>
      <c r="C10" s="23" t="s">
        <v>113</v>
      </c>
      <c r="D10" s="22" t="s">
        <v>76</v>
      </c>
      <c r="E10" s="21" t="str">
        <f t="shared" si="1"/>
        <v>+ 1</v>
      </c>
      <c r="F10" s="21">
        <f t="shared" si="2"/>
        <v>2</v>
      </c>
      <c r="G10" s="21">
        <f t="shared" si="3"/>
        <v>3</v>
      </c>
      <c r="H10" s="20">
        <f t="shared" si="8"/>
        <v>0</v>
      </c>
      <c r="I10" s="19">
        <f t="shared" ca="1" si="5"/>
        <v>0.87368055555555557</v>
      </c>
      <c r="J10" s="19">
        <f t="shared" ca="1" si="9"/>
        <v>0.95701388888888894</v>
      </c>
      <c r="K10" s="18">
        <f t="shared" si="10"/>
        <v>2</v>
      </c>
      <c r="M10" s="8" t="s">
        <v>117</v>
      </c>
      <c r="N10" s="8" t="s">
        <v>114</v>
      </c>
    </row>
    <row r="11" spans="2:14" x14ac:dyDescent="0.25">
      <c r="B11" s="6" t="s">
        <v>118</v>
      </c>
      <c r="C11" s="23" t="s">
        <v>113</v>
      </c>
      <c r="D11" s="22" t="s">
        <v>76</v>
      </c>
      <c r="E11" s="21" t="str">
        <f t="shared" si="1"/>
        <v>+ 1</v>
      </c>
      <c r="F11" s="21">
        <f t="shared" si="2"/>
        <v>2</v>
      </c>
      <c r="G11" s="21">
        <f t="shared" si="3"/>
        <v>3</v>
      </c>
      <c r="H11" s="20">
        <f t="shared" si="8"/>
        <v>0</v>
      </c>
      <c r="I11" s="19">
        <f t="shared" ca="1" si="5"/>
        <v>0.87368055555555557</v>
      </c>
      <c r="J11" s="19">
        <f t="shared" ca="1" si="9"/>
        <v>0.95701388888888894</v>
      </c>
      <c r="K11" s="18">
        <f t="shared" si="10"/>
        <v>2</v>
      </c>
      <c r="M11" s="8" t="s">
        <v>119</v>
      </c>
      <c r="N11" s="24" t="s">
        <v>120</v>
      </c>
    </row>
    <row r="12" spans="2:14" x14ac:dyDescent="0.25">
      <c r="B12" s="6" t="s">
        <v>121</v>
      </c>
      <c r="C12" s="23" t="s">
        <v>122</v>
      </c>
      <c r="D12" s="22" t="s">
        <v>76</v>
      </c>
      <c r="E12" s="21" t="str">
        <f t="shared" si="1"/>
        <v>+ 2</v>
      </c>
      <c r="F12" s="21">
        <f t="shared" si="2"/>
        <v>3</v>
      </c>
      <c r="G12" s="21">
        <f t="shared" si="3"/>
        <v>4</v>
      </c>
      <c r="H12" s="20">
        <f t="shared" si="8"/>
        <v>0</v>
      </c>
      <c r="I12" s="19">
        <f t="shared" ca="1" si="5"/>
        <v>0.9153472222222222</v>
      </c>
      <c r="J12" s="19">
        <f t="shared" ca="1" si="9"/>
        <v>0.99868055555555557</v>
      </c>
      <c r="K12" s="18">
        <f t="shared" si="10"/>
        <v>3</v>
      </c>
      <c r="M12" s="28" t="s">
        <v>105</v>
      </c>
      <c r="N12" s="24" t="s">
        <v>123</v>
      </c>
    </row>
    <row r="13" spans="2:14" x14ac:dyDescent="0.25">
      <c r="B13" s="6" t="s">
        <v>124</v>
      </c>
      <c r="C13" s="23" t="s">
        <v>125</v>
      </c>
      <c r="D13" s="22" t="s">
        <v>76</v>
      </c>
      <c r="E13" s="21" t="str">
        <f t="shared" si="1"/>
        <v>- 8</v>
      </c>
      <c r="F13" s="21">
        <f t="shared" si="2"/>
        <v>-7</v>
      </c>
      <c r="G13" s="21">
        <f t="shared" si="3"/>
        <v>-6</v>
      </c>
      <c r="H13" s="20">
        <f t="shared" si="8"/>
        <v>0</v>
      </c>
      <c r="I13" s="19">
        <f t="shared" ca="1" si="5"/>
        <v>0.49868055555555552</v>
      </c>
      <c r="J13" s="19">
        <f t="shared" ca="1" si="9"/>
        <v>0.58201388888888883</v>
      </c>
      <c r="K13" s="18">
        <f t="shared" si="10"/>
        <v>-7</v>
      </c>
      <c r="M13" s="8" t="s">
        <v>46</v>
      </c>
      <c r="N13" s="24" t="s">
        <v>126</v>
      </c>
    </row>
    <row r="14" spans="2:14" x14ac:dyDescent="0.25">
      <c r="B14" s="6" t="s">
        <v>64</v>
      </c>
      <c r="C14" s="23" t="s">
        <v>122</v>
      </c>
      <c r="D14" s="22" t="s">
        <v>76</v>
      </c>
      <c r="E14" s="21" t="str">
        <f t="shared" si="1"/>
        <v>+ 2</v>
      </c>
      <c r="F14" s="21">
        <f t="shared" si="2"/>
        <v>3</v>
      </c>
      <c r="G14" s="21">
        <f t="shared" si="3"/>
        <v>4</v>
      </c>
      <c r="H14" s="20">
        <f t="shared" si="8"/>
        <v>0</v>
      </c>
      <c r="I14" s="19">
        <f t="shared" ca="1" si="5"/>
        <v>0.9153472222222222</v>
      </c>
      <c r="J14" s="19">
        <f t="shared" ca="1" si="9"/>
        <v>0.99868055555555557</v>
      </c>
      <c r="K14" s="18">
        <f t="shared" si="10"/>
        <v>3</v>
      </c>
      <c r="M14" s="8" t="s">
        <v>46</v>
      </c>
      <c r="N14" s="24" t="s">
        <v>127</v>
      </c>
    </row>
    <row r="15" spans="2:14" x14ac:dyDescent="0.25">
      <c r="B15" s="6" t="s">
        <v>110</v>
      </c>
      <c r="C15" s="23" t="s">
        <v>111</v>
      </c>
      <c r="D15" s="22" t="s">
        <v>76</v>
      </c>
      <c r="E15" s="21" t="str">
        <f t="shared" si="1"/>
        <v>- 5</v>
      </c>
      <c r="F15" s="21">
        <f t="shared" si="2"/>
        <v>-4</v>
      </c>
      <c r="G15" s="21">
        <f t="shared" si="3"/>
        <v>-3</v>
      </c>
      <c r="H15" s="20">
        <f t="shared" si="8"/>
        <v>0</v>
      </c>
      <c r="I15" s="19">
        <f t="shared" ca="1" si="5"/>
        <v>0.62368055555555557</v>
      </c>
      <c r="J15" s="19">
        <f t="shared" ca="1" si="9"/>
        <v>0.70701388888888894</v>
      </c>
      <c r="K15" s="18">
        <f t="shared" si="10"/>
        <v>-4</v>
      </c>
      <c r="M15" s="8" t="s">
        <v>106</v>
      </c>
      <c r="N15" s="24" t="s">
        <v>128</v>
      </c>
    </row>
    <row r="16" spans="2:14" x14ac:dyDescent="0.25">
      <c r="B16" s="27" t="s">
        <v>129</v>
      </c>
      <c r="C16" s="26" t="s">
        <v>130</v>
      </c>
      <c r="D16" s="22" t="s">
        <v>80</v>
      </c>
      <c r="E16" s="25" t="str">
        <f t="shared" si="1"/>
        <v>+ 5.5</v>
      </c>
      <c r="F16" s="25" t="str">
        <f t="shared" si="2"/>
        <v>+ 5.5</v>
      </c>
      <c r="G16" s="21">
        <f t="shared" si="3"/>
        <v>6.5</v>
      </c>
      <c r="H16" s="20">
        <f t="shared" si="8"/>
        <v>30</v>
      </c>
      <c r="I16" s="19">
        <f t="shared" ca="1" si="5"/>
        <v>1.0195138888888888</v>
      </c>
      <c r="J16" s="19">
        <f t="shared" ca="1" si="9"/>
        <v>1.1028472222222221</v>
      </c>
      <c r="K16" s="18">
        <f t="shared" si="10"/>
        <v>5.5</v>
      </c>
      <c r="N16" s="24"/>
    </row>
    <row r="17" spans="2:14" x14ac:dyDescent="0.25">
      <c r="B17" s="27" t="s">
        <v>131</v>
      </c>
      <c r="C17" s="26" t="s">
        <v>130</v>
      </c>
      <c r="D17" s="22" t="s">
        <v>80</v>
      </c>
      <c r="E17" s="25" t="str">
        <f t="shared" si="1"/>
        <v>+ 5.5</v>
      </c>
      <c r="F17" s="25" t="str">
        <f t="shared" si="2"/>
        <v>+ 5.5</v>
      </c>
      <c r="G17" s="21">
        <f t="shared" si="3"/>
        <v>6.5</v>
      </c>
      <c r="H17" s="20">
        <f t="shared" si="8"/>
        <v>30</v>
      </c>
      <c r="I17" s="19">
        <f t="shared" ca="1" si="5"/>
        <v>1.0195138888888888</v>
      </c>
      <c r="J17" s="19">
        <f t="shared" ca="1" si="9"/>
        <v>1.1028472222222221</v>
      </c>
      <c r="K17" s="18">
        <f t="shared" si="10"/>
        <v>5.5</v>
      </c>
      <c r="N17" s="24"/>
    </row>
    <row r="18" spans="2:14" x14ac:dyDescent="0.25">
      <c r="B18" s="6" t="s">
        <v>132</v>
      </c>
      <c r="C18" s="26" t="s">
        <v>130</v>
      </c>
      <c r="D18" s="22" t="s">
        <v>80</v>
      </c>
      <c r="E18" s="25" t="str">
        <f t="shared" si="1"/>
        <v>+ 5.5</v>
      </c>
      <c r="F18" s="25" t="str">
        <f t="shared" si="2"/>
        <v>+ 5.5</v>
      </c>
      <c r="G18" s="21">
        <f t="shared" si="3"/>
        <v>6.5</v>
      </c>
      <c r="H18" s="20">
        <f t="shared" si="8"/>
        <v>30</v>
      </c>
      <c r="I18" s="19">
        <f t="shared" ca="1" si="5"/>
        <v>1.0195138888888888</v>
      </c>
      <c r="J18" s="19">
        <f t="shared" ca="1" si="9"/>
        <v>1.1028472222222221</v>
      </c>
      <c r="K18" s="18">
        <f t="shared" si="10"/>
        <v>5.5</v>
      </c>
      <c r="N18" s="24"/>
    </row>
    <row r="19" spans="2:14" x14ac:dyDescent="0.25">
      <c r="B19" s="6" t="s">
        <v>62</v>
      </c>
      <c r="C19" s="23" t="s">
        <v>113</v>
      </c>
      <c r="D19" s="22" t="s">
        <v>76</v>
      </c>
      <c r="E19" s="21" t="str">
        <f t="shared" si="1"/>
        <v>+ 1</v>
      </c>
      <c r="F19" s="21">
        <f t="shared" si="2"/>
        <v>2</v>
      </c>
      <c r="G19" s="21">
        <f t="shared" si="3"/>
        <v>3</v>
      </c>
      <c r="H19" s="20">
        <f t="shared" si="8"/>
        <v>0</v>
      </c>
      <c r="I19" s="19">
        <f t="shared" ca="1" si="5"/>
        <v>0.87368055555555557</v>
      </c>
      <c r="J19" s="19">
        <f t="shared" ca="1" si="9"/>
        <v>0.95701388888888894</v>
      </c>
      <c r="K19" s="18">
        <f t="shared" si="10"/>
        <v>2</v>
      </c>
      <c r="N19" s="24"/>
    </row>
    <row r="20" spans="2:14" x14ac:dyDescent="0.25">
      <c r="B20" s="6" t="s">
        <v>133</v>
      </c>
      <c r="C20" s="23" t="s">
        <v>134</v>
      </c>
      <c r="D20" s="22" t="s">
        <v>80</v>
      </c>
      <c r="E20" s="21" t="str">
        <f t="shared" si="1"/>
        <v>+ 5</v>
      </c>
      <c r="F20" s="21" t="str">
        <f t="shared" si="2"/>
        <v>+ 5</v>
      </c>
      <c r="G20" s="21">
        <f t="shared" si="3"/>
        <v>6</v>
      </c>
      <c r="H20" s="20">
        <f t="shared" si="8"/>
        <v>0</v>
      </c>
      <c r="I20" s="19">
        <f t="shared" ca="1" si="5"/>
        <v>0.99868055555555557</v>
      </c>
      <c r="J20" s="19">
        <f t="shared" ca="1" si="9"/>
        <v>1.0820138888888888</v>
      </c>
      <c r="K20" s="18">
        <f t="shared" si="10"/>
        <v>5</v>
      </c>
      <c r="N20" s="24"/>
    </row>
    <row r="21" spans="2:14" x14ac:dyDescent="0.25">
      <c r="B21" s="6" t="s">
        <v>65</v>
      </c>
      <c r="C21" s="23" t="s">
        <v>134</v>
      </c>
      <c r="D21" s="22" t="s">
        <v>80</v>
      </c>
      <c r="E21" s="21" t="str">
        <f t="shared" si="1"/>
        <v>+ 5</v>
      </c>
      <c r="F21" s="21" t="str">
        <f t="shared" si="2"/>
        <v>+ 5</v>
      </c>
      <c r="G21" s="21">
        <f t="shared" si="3"/>
        <v>6</v>
      </c>
      <c r="H21" s="20">
        <f t="shared" si="8"/>
        <v>0</v>
      </c>
      <c r="I21" s="19">
        <f t="shared" ca="1" si="5"/>
        <v>0.99868055555555557</v>
      </c>
      <c r="J21" s="19">
        <f t="shared" ca="1" si="9"/>
        <v>1.0820138888888888</v>
      </c>
      <c r="K21" s="18">
        <f t="shared" si="10"/>
        <v>5</v>
      </c>
      <c r="N21" s="24"/>
    </row>
    <row r="22" spans="2:14" x14ac:dyDescent="0.25">
      <c r="B22" s="6" t="s">
        <v>56</v>
      </c>
      <c r="C22" s="23" t="s">
        <v>135</v>
      </c>
      <c r="D22" s="22" t="s">
        <v>76</v>
      </c>
      <c r="E22" s="21" t="str">
        <f t="shared" si="1"/>
        <v>- 6</v>
      </c>
      <c r="F22" s="21">
        <f t="shared" si="2"/>
        <v>-5</v>
      </c>
      <c r="G22" s="21">
        <f t="shared" si="3"/>
        <v>-4</v>
      </c>
      <c r="H22" s="20">
        <f t="shared" si="8"/>
        <v>0</v>
      </c>
      <c r="I22" s="19">
        <f t="shared" ca="1" si="5"/>
        <v>0.58201388888888883</v>
      </c>
      <c r="J22" s="19">
        <f t="shared" ca="1" si="9"/>
        <v>0.6653472222222222</v>
      </c>
      <c r="K22" s="18">
        <f t="shared" si="10"/>
        <v>-5</v>
      </c>
      <c r="N22" s="24"/>
    </row>
    <row r="23" spans="2:14" x14ac:dyDescent="0.25">
      <c r="B23" s="6" t="s">
        <v>136</v>
      </c>
      <c r="C23" s="23" t="s">
        <v>137</v>
      </c>
      <c r="D23" s="22" t="s">
        <v>76</v>
      </c>
      <c r="E23" s="21" t="str">
        <f t="shared" si="1"/>
        <v>+ 0</v>
      </c>
      <c r="F23" s="21">
        <f t="shared" si="2"/>
        <v>1</v>
      </c>
      <c r="G23" s="21">
        <f t="shared" si="3"/>
        <v>2</v>
      </c>
      <c r="H23" s="20">
        <f t="shared" si="8"/>
        <v>0</v>
      </c>
      <c r="I23" s="19">
        <f t="shared" ca="1" si="5"/>
        <v>0.83201388888888883</v>
      </c>
      <c r="J23" s="19">
        <f t="shared" ca="1" si="9"/>
        <v>0.9153472222222222</v>
      </c>
      <c r="K23" s="18">
        <f t="shared" si="10"/>
        <v>1</v>
      </c>
      <c r="N23" s="24"/>
    </row>
    <row r="24" spans="2:14" x14ac:dyDescent="0.25">
      <c r="B24" s="6" t="s">
        <v>55</v>
      </c>
      <c r="C24" s="23" t="s">
        <v>135</v>
      </c>
      <c r="D24" s="22" t="s">
        <v>76</v>
      </c>
      <c r="E24" s="21" t="str">
        <f t="shared" si="1"/>
        <v>- 6</v>
      </c>
      <c r="F24" s="21">
        <f t="shared" si="2"/>
        <v>-5</v>
      </c>
      <c r="G24" s="21">
        <f t="shared" si="3"/>
        <v>-4</v>
      </c>
      <c r="H24" s="20">
        <f t="shared" si="8"/>
        <v>0</v>
      </c>
      <c r="I24" s="19">
        <f t="shared" ca="1" si="5"/>
        <v>0.58201388888888883</v>
      </c>
      <c r="J24" s="19">
        <f t="shared" ca="1" si="9"/>
        <v>0.6653472222222222</v>
      </c>
      <c r="K24" s="18">
        <f t="shared" si="10"/>
        <v>-5</v>
      </c>
      <c r="N24" s="24"/>
    </row>
    <row r="25" spans="2:14" x14ac:dyDescent="0.25">
      <c r="B25" s="6" t="s">
        <v>63</v>
      </c>
      <c r="C25" s="23" t="s">
        <v>138</v>
      </c>
      <c r="D25" s="22" t="s">
        <v>80</v>
      </c>
      <c r="E25" s="21" t="str">
        <f t="shared" si="1"/>
        <v>+ 3</v>
      </c>
      <c r="F25" s="21" t="str">
        <f t="shared" si="2"/>
        <v>+ 3</v>
      </c>
      <c r="G25" s="21">
        <f t="shared" si="3"/>
        <v>4</v>
      </c>
      <c r="H25" s="20">
        <f t="shared" si="8"/>
        <v>0</v>
      </c>
      <c r="I25" s="19">
        <f t="shared" ca="1" si="5"/>
        <v>0.9153472222222222</v>
      </c>
      <c r="J25" s="19">
        <f t="shared" ca="1" si="9"/>
        <v>0.99868055555555557</v>
      </c>
      <c r="K25" s="18">
        <f t="shared" si="10"/>
        <v>3</v>
      </c>
      <c r="N25" s="24"/>
    </row>
    <row r="26" spans="2:14" x14ac:dyDescent="0.25">
      <c r="B26" s="6" t="s">
        <v>60</v>
      </c>
      <c r="C26" s="23" t="s">
        <v>113</v>
      </c>
      <c r="D26" s="22" t="s">
        <v>76</v>
      </c>
      <c r="E26" s="21" t="str">
        <f t="shared" si="1"/>
        <v>+ 1</v>
      </c>
      <c r="F26" s="21">
        <f t="shared" si="2"/>
        <v>2</v>
      </c>
      <c r="G26" s="21">
        <f t="shared" si="3"/>
        <v>3</v>
      </c>
      <c r="H26" s="20">
        <f t="shared" si="8"/>
        <v>0</v>
      </c>
      <c r="I26" s="19">
        <f t="shared" ca="1" si="5"/>
        <v>0.87368055555555557</v>
      </c>
      <c r="J26" s="19">
        <f t="shared" ca="1" si="9"/>
        <v>0.95701388888888894</v>
      </c>
      <c r="K26" s="18">
        <f t="shared" si="10"/>
        <v>2</v>
      </c>
      <c r="N26" s="24"/>
    </row>
    <row r="27" spans="2:14" x14ac:dyDescent="0.25">
      <c r="B27" s="6" t="s">
        <v>139</v>
      </c>
      <c r="C27" s="23" t="s">
        <v>140</v>
      </c>
      <c r="D27" s="22" t="s">
        <v>80</v>
      </c>
      <c r="E27" s="21" t="str">
        <f t="shared" si="1"/>
        <v>+ 8</v>
      </c>
      <c r="F27" s="21" t="str">
        <f t="shared" si="2"/>
        <v>+ 8</v>
      </c>
      <c r="G27" s="21">
        <f t="shared" si="3"/>
        <v>9</v>
      </c>
      <c r="H27" s="20">
        <f t="shared" si="8"/>
        <v>0</v>
      </c>
      <c r="I27" s="19">
        <f t="shared" ca="1" si="5"/>
        <v>1.1236805555555556</v>
      </c>
      <c r="J27" s="19">
        <f t="shared" ca="1" si="9"/>
        <v>1.2070138888888888</v>
      </c>
      <c r="K27" s="18">
        <f t="shared" si="10"/>
        <v>8</v>
      </c>
      <c r="N27" s="24"/>
    </row>
    <row r="28" spans="2:14" x14ac:dyDescent="0.25">
      <c r="B28" t="s">
        <v>51</v>
      </c>
      <c r="C28" s="23" t="s">
        <v>111</v>
      </c>
      <c r="D28" s="22" t="s">
        <v>76</v>
      </c>
      <c r="E28" s="21" t="str">
        <f t="shared" si="1"/>
        <v>- 5</v>
      </c>
      <c r="F28" s="21">
        <f t="shared" si="2"/>
        <v>-4</v>
      </c>
      <c r="G28" s="21">
        <f t="shared" si="3"/>
        <v>-3</v>
      </c>
      <c r="H28" s="20">
        <f t="shared" si="8"/>
        <v>0</v>
      </c>
      <c r="I28" s="19">
        <f t="shared" ca="1" si="5"/>
        <v>0.62368055555555557</v>
      </c>
      <c r="J28" s="19">
        <f t="shared" ca="1" si="9"/>
        <v>0.70701388888888894</v>
      </c>
      <c r="K28" s="18">
        <f t="shared" si="10"/>
        <v>-4</v>
      </c>
      <c r="N28" s="24"/>
    </row>
    <row r="29" spans="2:14" x14ac:dyDescent="0.25">
      <c r="B29" t="s">
        <v>58</v>
      </c>
      <c r="C29" s="23" t="s">
        <v>111</v>
      </c>
      <c r="D29" s="22" t="s">
        <v>76</v>
      </c>
      <c r="E29" s="21" t="str">
        <f t="shared" si="1"/>
        <v>- 5</v>
      </c>
      <c r="F29" s="21">
        <f t="shared" si="2"/>
        <v>-4</v>
      </c>
      <c r="G29" s="21">
        <f t="shared" si="3"/>
        <v>-3</v>
      </c>
      <c r="H29" s="20">
        <f t="shared" si="8"/>
        <v>0</v>
      </c>
      <c r="I29" s="19">
        <f t="shared" ca="1" si="5"/>
        <v>0.62368055555555557</v>
      </c>
      <c r="J29" s="19">
        <f t="shared" ca="1" si="9"/>
        <v>0.70701388888888894</v>
      </c>
      <c r="K29" s="18">
        <f t="shared" si="10"/>
        <v>-4</v>
      </c>
    </row>
    <row r="30" spans="2:14" x14ac:dyDescent="0.25">
      <c r="B30" s="6" t="s">
        <v>141</v>
      </c>
      <c r="C30" s="23" t="s">
        <v>137</v>
      </c>
      <c r="D30" s="22" t="s">
        <v>76</v>
      </c>
      <c r="E30" s="21" t="str">
        <f t="shared" si="1"/>
        <v>+ 0</v>
      </c>
      <c r="F30" s="21">
        <f t="shared" si="2"/>
        <v>1</v>
      </c>
      <c r="G30" s="21">
        <f t="shared" si="3"/>
        <v>2</v>
      </c>
      <c r="H30" s="20">
        <f t="shared" si="8"/>
        <v>0</v>
      </c>
      <c r="I30" s="19">
        <f t="shared" ca="1" si="5"/>
        <v>0.83201388888888883</v>
      </c>
      <c r="J30" s="19">
        <f t="shared" ca="1" si="9"/>
        <v>0.9153472222222222</v>
      </c>
      <c r="K30" s="18">
        <f t="shared" si="10"/>
        <v>1</v>
      </c>
    </row>
    <row r="31" spans="2:14" x14ac:dyDescent="0.25">
      <c r="B31" s="6" t="s">
        <v>142</v>
      </c>
      <c r="C31" s="23" t="s">
        <v>143</v>
      </c>
      <c r="D31" s="22" t="s">
        <v>80</v>
      </c>
      <c r="E31" s="21" t="str">
        <f t="shared" si="1"/>
        <v>+ 9</v>
      </c>
      <c r="F31" s="21" t="str">
        <f t="shared" si="2"/>
        <v>+ 9</v>
      </c>
      <c r="G31" s="21">
        <f t="shared" si="3"/>
        <v>10</v>
      </c>
      <c r="H31" s="20">
        <f t="shared" si="8"/>
        <v>0</v>
      </c>
      <c r="I31" s="19">
        <f t="shared" ca="1" si="5"/>
        <v>1.1653472222222221</v>
      </c>
      <c r="J31" s="19">
        <f t="shared" ca="1" si="9"/>
        <v>1.2486805555555553</v>
      </c>
      <c r="K31" s="18">
        <f t="shared" si="10"/>
        <v>9</v>
      </c>
    </row>
    <row r="32" spans="2:14" x14ac:dyDescent="0.25">
      <c r="B32" s="6" t="s">
        <v>57</v>
      </c>
      <c r="C32" s="23" t="s">
        <v>135</v>
      </c>
      <c r="D32" s="22" t="s">
        <v>76</v>
      </c>
      <c r="E32" s="21" t="str">
        <f t="shared" si="1"/>
        <v>- 6</v>
      </c>
      <c r="F32" s="21">
        <f t="shared" si="2"/>
        <v>-5</v>
      </c>
      <c r="G32" s="21">
        <f t="shared" si="3"/>
        <v>-4</v>
      </c>
      <c r="H32" s="20">
        <f t="shared" si="4"/>
        <v>0</v>
      </c>
      <c r="I32" s="19">
        <f t="shared" ca="1" si="5"/>
        <v>0.58201388888888883</v>
      </c>
      <c r="J32" s="19">
        <f t="shared" ref="J32:J33" ca="1" si="11">IF(B32="","",I32+TIME(ABS($F$8),0,0))</f>
        <v>0.6653472222222222</v>
      </c>
      <c r="K32" s="18">
        <f t="shared" si="7"/>
        <v>-5</v>
      </c>
    </row>
    <row r="33" spans="2:11" x14ac:dyDescent="0.25">
      <c r="B33" s="6" t="s">
        <v>50</v>
      </c>
      <c r="C33" s="23" t="s">
        <v>134</v>
      </c>
      <c r="D33" s="22" t="s">
        <v>76</v>
      </c>
      <c r="E33" s="21" t="str">
        <f t="shared" si="1"/>
        <v>+ 5</v>
      </c>
      <c r="F33" s="21">
        <f t="shared" si="2"/>
        <v>6</v>
      </c>
      <c r="G33" s="21">
        <f t="shared" si="3"/>
        <v>7</v>
      </c>
      <c r="H33" s="20">
        <f t="shared" ref="H33:H96" si="12">IF(F33="","",MOD(F33,1)*60)</f>
        <v>0</v>
      </c>
      <c r="I33" s="19">
        <f t="shared" ca="1" si="5"/>
        <v>1.0403472222222221</v>
      </c>
      <c r="J33" s="19">
        <f t="shared" ca="1" si="11"/>
        <v>1.1236805555555553</v>
      </c>
      <c r="K33" s="18">
        <f t="shared" ref="K33:K96" si="13">IF(F33="","",ABS(T$12)+F33)</f>
        <v>6</v>
      </c>
    </row>
    <row r="34" spans="2:11" x14ac:dyDescent="0.25">
      <c r="C34" s="23"/>
      <c r="D34" s="22"/>
      <c r="E34" s="21" t="str">
        <f t="shared" si="1"/>
        <v/>
      </c>
      <c r="F34" s="21" t="str">
        <f t="shared" si="2"/>
        <v/>
      </c>
      <c r="G34" s="21" t="str">
        <f t="shared" si="3"/>
        <v/>
      </c>
      <c r="H34" s="20" t="str">
        <f t="shared" si="12"/>
        <v/>
      </c>
      <c r="I34" s="19" t="str">
        <f t="shared" si="5"/>
        <v/>
      </c>
      <c r="J34" s="19" t="str">
        <f t="shared" ref="J34:J96" si="14">IF(B34="","",I34+TIME(ABS($F$8),0,0))</f>
        <v/>
      </c>
      <c r="K34" s="18" t="str">
        <f t="shared" si="13"/>
        <v/>
      </c>
    </row>
    <row r="35" spans="2:11" x14ac:dyDescent="0.25">
      <c r="B35" s="6"/>
      <c r="C35" s="23"/>
      <c r="D35" s="22"/>
      <c r="E35" s="21" t="str">
        <f t="shared" si="1"/>
        <v/>
      </c>
      <c r="F35" s="21" t="str">
        <f t="shared" si="2"/>
        <v/>
      </c>
      <c r="G35" s="21" t="str">
        <f t="shared" si="3"/>
        <v/>
      </c>
      <c r="H35" s="20" t="str">
        <f t="shared" si="12"/>
        <v/>
      </c>
      <c r="I35" s="19" t="str">
        <f t="shared" si="5"/>
        <v/>
      </c>
      <c r="J35" s="19" t="str">
        <f t="shared" ref="J35:J36" si="15">IF(B35="","",I35+TIME(ABS($F$8),0,0))</f>
        <v/>
      </c>
      <c r="K35" s="18" t="str">
        <f t="shared" si="13"/>
        <v/>
      </c>
    </row>
    <row r="36" spans="2:11" x14ac:dyDescent="0.25">
      <c r="C36" s="23"/>
      <c r="D36" s="22"/>
      <c r="E36" s="21" t="str">
        <f t="shared" si="1"/>
        <v/>
      </c>
      <c r="F36" s="21" t="str">
        <f t="shared" si="2"/>
        <v/>
      </c>
      <c r="G36" s="21" t="str">
        <f t="shared" si="3"/>
        <v/>
      </c>
      <c r="H36" s="20" t="str">
        <f t="shared" si="12"/>
        <v/>
      </c>
      <c r="I36" s="19" t="str">
        <f t="shared" si="5"/>
        <v/>
      </c>
      <c r="J36" s="19" t="str">
        <f t="shared" si="15"/>
        <v/>
      </c>
      <c r="K36" s="18" t="str">
        <f t="shared" si="13"/>
        <v/>
      </c>
    </row>
    <row r="37" spans="2:11" x14ac:dyDescent="0.25">
      <c r="C37" s="23"/>
      <c r="D37" s="22"/>
      <c r="E37" s="21" t="str">
        <f t="shared" si="1"/>
        <v/>
      </c>
      <c r="F37" s="21" t="str">
        <f t="shared" si="2"/>
        <v/>
      </c>
      <c r="G37" s="21" t="str">
        <f t="shared" si="3"/>
        <v/>
      </c>
      <c r="H37" s="20" t="str">
        <f t="shared" si="12"/>
        <v/>
      </c>
      <c r="I37" s="19" t="str">
        <f t="shared" si="5"/>
        <v/>
      </c>
      <c r="J37" s="19" t="str">
        <f t="shared" si="14"/>
        <v/>
      </c>
      <c r="K37" s="18" t="str">
        <f t="shared" si="13"/>
        <v/>
      </c>
    </row>
    <row r="38" spans="2:11" x14ac:dyDescent="0.25">
      <c r="C38" s="23"/>
      <c r="D38" s="22"/>
      <c r="E38" s="21" t="str">
        <f t="shared" si="1"/>
        <v/>
      </c>
      <c r="F38" s="21" t="str">
        <f t="shared" si="2"/>
        <v/>
      </c>
      <c r="G38" s="21" t="str">
        <f t="shared" si="3"/>
        <v/>
      </c>
      <c r="H38" s="20" t="str">
        <f t="shared" si="12"/>
        <v/>
      </c>
      <c r="I38" s="19" t="str">
        <f t="shared" si="5"/>
        <v/>
      </c>
      <c r="J38" s="19" t="str">
        <f t="shared" si="14"/>
        <v/>
      </c>
      <c r="K38" s="18" t="str">
        <f t="shared" si="13"/>
        <v/>
      </c>
    </row>
    <row r="39" spans="2:11" x14ac:dyDescent="0.25">
      <c r="C39" s="23"/>
      <c r="D39" s="22"/>
      <c r="E39" s="21" t="str">
        <f t="shared" si="1"/>
        <v/>
      </c>
      <c r="F39" s="21" t="str">
        <f t="shared" si="2"/>
        <v/>
      </c>
      <c r="G39" s="21" t="str">
        <f t="shared" si="3"/>
        <v/>
      </c>
      <c r="H39" s="20" t="str">
        <f t="shared" si="12"/>
        <v/>
      </c>
      <c r="I39" s="19" t="str">
        <f t="shared" si="5"/>
        <v/>
      </c>
      <c r="J39" s="19" t="str">
        <f t="shared" si="14"/>
        <v/>
      </c>
      <c r="K39" s="18" t="str">
        <f t="shared" si="13"/>
        <v/>
      </c>
    </row>
    <row r="40" spans="2:11" x14ac:dyDescent="0.25">
      <c r="C40" s="23"/>
      <c r="D40" s="22"/>
      <c r="E40" s="21" t="str">
        <f t="shared" si="1"/>
        <v/>
      </c>
      <c r="F40" s="21" t="str">
        <f t="shared" si="2"/>
        <v/>
      </c>
      <c r="G40" s="21" t="str">
        <f t="shared" si="3"/>
        <v/>
      </c>
      <c r="H40" s="20" t="str">
        <f t="shared" si="12"/>
        <v/>
      </c>
      <c r="I40" s="19" t="str">
        <f t="shared" si="5"/>
        <v/>
      </c>
      <c r="J40" s="19" t="str">
        <f t="shared" si="14"/>
        <v/>
      </c>
      <c r="K40" s="18" t="str">
        <f t="shared" si="13"/>
        <v/>
      </c>
    </row>
    <row r="41" spans="2:11" x14ac:dyDescent="0.25">
      <c r="C41" s="23"/>
      <c r="D41" s="22"/>
      <c r="E41" s="21" t="str">
        <f t="shared" si="1"/>
        <v/>
      </c>
      <c r="F41" s="21" t="str">
        <f t="shared" si="2"/>
        <v/>
      </c>
      <c r="G41" s="21" t="str">
        <f t="shared" si="3"/>
        <v/>
      </c>
      <c r="H41" s="20" t="str">
        <f t="shared" si="12"/>
        <v/>
      </c>
      <c r="I41" s="19" t="str">
        <f t="shared" si="5"/>
        <v/>
      </c>
      <c r="J41" s="19" t="str">
        <f t="shared" si="14"/>
        <v/>
      </c>
      <c r="K41" s="18" t="str">
        <f t="shared" si="13"/>
        <v/>
      </c>
    </row>
    <row r="42" spans="2:11" x14ac:dyDescent="0.25">
      <c r="C42" s="23"/>
      <c r="D42" s="22"/>
      <c r="E42" s="21" t="str">
        <f t="shared" si="1"/>
        <v/>
      </c>
      <c r="F42" s="21" t="str">
        <f t="shared" si="2"/>
        <v/>
      </c>
      <c r="G42" s="21" t="str">
        <f t="shared" si="3"/>
        <v/>
      </c>
      <c r="H42" s="20" t="str">
        <f t="shared" si="12"/>
        <v/>
      </c>
      <c r="I42" s="19" t="str">
        <f t="shared" si="5"/>
        <v/>
      </c>
      <c r="J42" s="19" t="str">
        <f t="shared" si="14"/>
        <v/>
      </c>
      <c r="K42" s="18" t="str">
        <f t="shared" si="13"/>
        <v/>
      </c>
    </row>
    <row r="43" spans="2:11" x14ac:dyDescent="0.25">
      <c r="C43" s="23"/>
      <c r="D43" s="22"/>
      <c r="E43" s="21" t="str">
        <f t="shared" si="1"/>
        <v/>
      </c>
      <c r="F43" s="21" t="str">
        <f t="shared" si="2"/>
        <v/>
      </c>
      <c r="G43" s="21" t="str">
        <f t="shared" si="3"/>
        <v/>
      </c>
      <c r="H43" s="20" t="str">
        <f t="shared" si="12"/>
        <v/>
      </c>
      <c r="I43" s="19" t="str">
        <f t="shared" si="5"/>
        <v/>
      </c>
      <c r="J43" s="19" t="str">
        <f t="shared" si="14"/>
        <v/>
      </c>
      <c r="K43" s="18" t="str">
        <f t="shared" si="13"/>
        <v/>
      </c>
    </row>
    <row r="44" spans="2:11" x14ac:dyDescent="0.25">
      <c r="C44" s="23"/>
      <c r="D44" s="22"/>
      <c r="E44" s="21" t="str">
        <f t="shared" si="1"/>
        <v/>
      </c>
      <c r="F44" s="21" t="str">
        <f t="shared" si="2"/>
        <v/>
      </c>
      <c r="G44" s="21" t="str">
        <f t="shared" si="3"/>
        <v/>
      </c>
      <c r="H44" s="20" t="str">
        <f t="shared" si="12"/>
        <v/>
      </c>
      <c r="I44" s="19" t="str">
        <f t="shared" si="5"/>
        <v/>
      </c>
      <c r="J44" s="19" t="str">
        <f t="shared" si="14"/>
        <v/>
      </c>
      <c r="K44" s="18" t="str">
        <f t="shared" si="13"/>
        <v/>
      </c>
    </row>
    <row r="45" spans="2:11" x14ac:dyDescent="0.25">
      <c r="C45" s="23"/>
      <c r="D45" s="22"/>
      <c r="E45" s="21" t="str">
        <f t="shared" si="1"/>
        <v/>
      </c>
      <c r="F45" s="21" t="str">
        <f t="shared" si="2"/>
        <v/>
      </c>
      <c r="G45" s="21" t="str">
        <f t="shared" si="3"/>
        <v/>
      </c>
      <c r="H45" s="20" t="str">
        <f t="shared" si="12"/>
        <v/>
      </c>
      <c r="I45" s="19" t="str">
        <f t="shared" si="5"/>
        <v/>
      </c>
      <c r="J45" s="19" t="str">
        <f t="shared" si="14"/>
        <v/>
      </c>
      <c r="K45" s="18" t="str">
        <f t="shared" si="13"/>
        <v/>
      </c>
    </row>
    <row r="46" spans="2:11" x14ac:dyDescent="0.25">
      <c r="C46" s="23"/>
      <c r="D46" s="22"/>
      <c r="E46" s="21" t="str">
        <f t="shared" si="1"/>
        <v/>
      </c>
      <c r="F46" s="21" t="str">
        <f t="shared" si="2"/>
        <v/>
      </c>
      <c r="G46" s="21" t="str">
        <f t="shared" si="3"/>
        <v/>
      </c>
      <c r="H46" s="20" t="str">
        <f t="shared" si="12"/>
        <v/>
      </c>
      <c r="I46" s="19" t="str">
        <f t="shared" si="5"/>
        <v/>
      </c>
      <c r="J46" s="19" t="str">
        <f t="shared" si="14"/>
        <v/>
      </c>
      <c r="K46" s="18" t="str">
        <f t="shared" si="13"/>
        <v/>
      </c>
    </row>
    <row r="47" spans="2:11" x14ac:dyDescent="0.25">
      <c r="C47" s="23"/>
      <c r="D47" s="22"/>
      <c r="E47" s="21" t="str">
        <f t="shared" si="1"/>
        <v/>
      </c>
      <c r="F47" s="21" t="str">
        <f t="shared" si="2"/>
        <v/>
      </c>
      <c r="G47" s="21" t="str">
        <f t="shared" si="3"/>
        <v/>
      </c>
      <c r="H47" s="20" t="str">
        <f t="shared" si="12"/>
        <v/>
      </c>
      <c r="I47" s="19" t="str">
        <f t="shared" si="5"/>
        <v/>
      </c>
      <c r="J47" s="19" t="str">
        <f t="shared" si="14"/>
        <v/>
      </c>
      <c r="K47" s="18" t="str">
        <f t="shared" si="13"/>
        <v/>
      </c>
    </row>
    <row r="48" spans="2:11" x14ac:dyDescent="0.25">
      <c r="C48" s="23"/>
      <c r="D48" s="22"/>
      <c r="E48" s="21" t="str">
        <f t="shared" si="1"/>
        <v/>
      </c>
      <c r="F48" s="21" t="str">
        <f t="shared" si="2"/>
        <v/>
      </c>
      <c r="G48" s="21" t="str">
        <f t="shared" si="3"/>
        <v/>
      </c>
      <c r="H48" s="20" t="str">
        <f t="shared" si="12"/>
        <v/>
      </c>
      <c r="I48" s="19" t="str">
        <f t="shared" si="5"/>
        <v/>
      </c>
      <c r="J48" s="19" t="str">
        <f t="shared" si="14"/>
        <v/>
      </c>
      <c r="K48" s="18" t="str">
        <f t="shared" si="13"/>
        <v/>
      </c>
    </row>
    <row r="49" spans="3:11" x14ac:dyDescent="0.25">
      <c r="C49" s="23"/>
      <c r="D49" s="22"/>
      <c r="E49" s="21" t="str">
        <f t="shared" si="1"/>
        <v/>
      </c>
      <c r="F49" s="21" t="str">
        <f t="shared" si="2"/>
        <v/>
      </c>
      <c r="G49" s="21" t="str">
        <f t="shared" si="3"/>
        <v/>
      </c>
      <c r="H49" s="20" t="str">
        <f t="shared" si="12"/>
        <v/>
      </c>
      <c r="I49" s="19" t="str">
        <f t="shared" si="5"/>
        <v/>
      </c>
      <c r="J49" s="19" t="str">
        <f t="shared" si="14"/>
        <v/>
      </c>
      <c r="K49" s="18" t="str">
        <f t="shared" si="13"/>
        <v/>
      </c>
    </row>
    <row r="50" spans="3:11" x14ac:dyDescent="0.25">
      <c r="C50" s="23"/>
      <c r="D50" s="22"/>
      <c r="E50" s="21" t="str">
        <f t="shared" si="1"/>
        <v/>
      </c>
      <c r="F50" s="21" t="str">
        <f t="shared" si="2"/>
        <v/>
      </c>
      <c r="G50" s="21" t="str">
        <f t="shared" si="3"/>
        <v/>
      </c>
      <c r="H50" s="20" t="str">
        <f t="shared" si="12"/>
        <v/>
      </c>
      <c r="I50" s="19" t="str">
        <f t="shared" si="5"/>
        <v/>
      </c>
      <c r="J50" s="19" t="str">
        <f t="shared" si="14"/>
        <v/>
      </c>
      <c r="K50" s="18" t="str">
        <f t="shared" si="13"/>
        <v/>
      </c>
    </row>
    <row r="51" spans="3:11" x14ac:dyDescent="0.25">
      <c r="C51" s="23"/>
      <c r="D51" s="22"/>
      <c r="E51" s="21" t="str">
        <f t="shared" si="1"/>
        <v/>
      </c>
      <c r="F51" s="21" t="str">
        <f t="shared" si="2"/>
        <v/>
      </c>
      <c r="G51" s="21" t="str">
        <f t="shared" si="3"/>
        <v/>
      </c>
      <c r="H51" s="20" t="str">
        <f t="shared" si="12"/>
        <v/>
      </c>
      <c r="I51" s="19" t="str">
        <f t="shared" si="5"/>
        <v/>
      </c>
      <c r="J51" s="19" t="str">
        <f t="shared" si="14"/>
        <v/>
      </c>
      <c r="K51" s="18" t="str">
        <f t="shared" si="13"/>
        <v/>
      </c>
    </row>
    <row r="52" spans="3:11" x14ac:dyDescent="0.25">
      <c r="C52" s="23"/>
      <c r="D52" s="22"/>
      <c r="E52" s="21" t="str">
        <f t="shared" si="1"/>
        <v/>
      </c>
      <c r="F52" s="21" t="str">
        <f t="shared" si="2"/>
        <v/>
      </c>
      <c r="G52" s="21" t="str">
        <f t="shared" si="3"/>
        <v/>
      </c>
      <c r="H52" s="20" t="str">
        <f t="shared" si="12"/>
        <v/>
      </c>
      <c r="I52" s="19" t="str">
        <f t="shared" si="5"/>
        <v/>
      </c>
      <c r="J52" s="19" t="str">
        <f t="shared" si="14"/>
        <v/>
      </c>
      <c r="K52" s="18" t="str">
        <f t="shared" si="13"/>
        <v/>
      </c>
    </row>
    <row r="53" spans="3:11" x14ac:dyDescent="0.25">
      <c r="C53" s="23"/>
      <c r="D53" s="22"/>
      <c r="E53" s="21" t="str">
        <f t="shared" si="1"/>
        <v/>
      </c>
      <c r="F53" s="21" t="str">
        <f t="shared" si="2"/>
        <v/>
      </c>
      <c r="G53" s="21" t="str">
        <f t="shared" si="3"/>
        <v/>
      </c>
      <c r="H53" s="20" t="str">
        <f t="shared" si="12"/>
        <v/>
      </c>
      <c r="I53" s="19" t="str">
        <f t="shared" si="5"/>
        <v/>
      </c>
      <c r="J53" s="19" t="str">
        <f t="shared" si="14"/>
        <v/>
      </c>
      <c r="K53" s="18" t="str">
        <f t="shared" si="13"/>
        <v/>
      </c>
    </row>
    <row r="54" spans="3:11" x14ac:dyDescent="0.25">
      <c r="C54" s="23"/>
      <c r="D54" s="22"/>
      <c r="E54" s="21" t="str">
        <f t="shared" si="1"/>
        <v/>
      </c>
      <c r="F54" s="21" t="str">
        <f t="shared" si="2"/>
        <v/>
      </c>
      <c r="G54" s="21" t="str">
        <f t="shared" si="3"/>
        <v/>
      </c>
      <c r="H54" s="20" t="str">
        <f t="shared" si="12"/>
        <v/>
      </c>
      <c r="I54" s="19" t="str">
        <f t="shared" si="5"/>
        <v/>
      </c>
      <c r="J54" s="19" t="str">
        <f t="shared" si="14"/>
        <v/>
      </c>
      <c r="K54" s="18" t="str">
        <f t="shared" si="13"/>
        <v/>
      </c>
    </row>
    <row r="55" spans="3:11" x14ac:dyDescent="0.25">
      <c r="C55" s="23"/>
      <c r="D55" s="22"/>
      <c r="E55" s="21" t="str">
        <f t="shared" si="1"/>
        <v/>
      </c>
      <c r="F55" s="21" t="str">
        <f t="shared" si="2"/>
        <v/>
      </c>
      <c r="G55" s="21" t="str">
        <f t="shared" si="3"/>
        <v/>
      </c>
      <c r="H55" s="20" t="str">
        <f t="shared" si="12"/>
        <v/>
      </c>
      <c r="I55" s="19" t="str">
        <f t="shared" si="5"/>
        <v/>
      </c>
      <c r="J55" s="19" t="str">
        <f t="shared" si="14"/>
        <v/>
      </c>
      <c r="K55" s="18" t="str">
        <f t="shared" si="13"/>
        <v/>
      </c>
    </row>
    <row r="56" spans="3:11" x14ac:dyDescent="0.25">
      <c r="C56" s="23"/>
      <c r="D56" s="22"/>
      <c r="E56" s="21" t="str">
        <f t="shared" si="1"/>
        <v/>
      </c>
      <c r="F56" s="21" t="str">
        <f t="shared" si="2"/>
        <v/>
      </c>
      <c r="G56" s="21" t="str">
        <f t="shared" si="3"/>
        <v/>
      </c>
      <c r="H56" s="20" t="str">
        <f t="shared" si="12"/>
        <v/>
      </c>
      <c r="I56" s="19" t="str">
        <f t="shared" si="5"/>
        <v/>
      </c>
      <c r="J56" s="19" t="str">
        <f t="shared" si="14"/>
        <v/>
      </c>
      <c r="K56" s="18" t="str">
        <f t="shared" si="13"/>
        <v/>
      </c>
    </row>
    <row r="57" spans="3:11" x14ac:dyDescent="0.25">
      <c r="C57" s="23"/>
      <c r="D57" s="22"/>
      <c r="E57" s="21" t="str">
        <f t="shared" si="1"/>
        <v/>
      </c>
      <c r="F57" s="21" t="str">
        <f t="shared" si="2"/>
        <v/>
      </c>
      <c r="G57" s="21" t="str">
        <f t="shared" si="3"/>
        <v/>
      </c>
      <c r="H57" s="20" t="str">
        <f t="shared" si="12"/>
        <v/>
      </c>
      <c r="I57" s="19" t="str">
        <f t="shared" si="5"/>
        <v/>
      </c>
      <c r="J57" s="19" t="str">
        <f t="shared" si="14"/>
        <v/>
      </c>
      <c r="K57" s="18" t="str">
        <f t="shared" si="13"/>
        <v/>
      </c>
    </row>
    <row r="58" spans="3:11" x14ac:dyDescent="0.25">
      <c r="C58" s="23"/>
      <c r="D58" s="22"/>
      <c r="E58" s="21" t="str">
        <f t="shared" si="1"/>
        <v/>
      </c>
      <c r="F58" s="21" t="str">
        <f t="shared" si="2"/>
        <v/>
      </c>
      <c r="G58" s="21" t="str">
        <f t="shared" si="3"/>
        <v/>
      </c>
      <c r="H58" s="20" t="str">
        <f t="shared" si="12"/>
        <v/>
      </c>
      <c r="I58" s="19" t="str">
        <f t="shared" si="5"/>
        <v/>
      </c>
      <c r="J58" s="19" t="str">
        <f t="shared" si="14"/>
        <v/>
      </c>
      <c r="K58" s="18" t="str">
        <f t="shared" si="13"/>
        <v/>
      </c>
    </row>
    <row r="59" spans="3:11" x14ac:dyDescent="0.25">
      <c r="C59" s="23"/>
      <c r="D59" s="22"/>
      <c r="E59" s="21" t="str">
        <f t="shared" si="1"/>
        <v/>
      </c>
      <c r="F59" s="21" t="str">
        <f t="shared" si="2"/>
        <v/>
      </c>
      <c r="G59" s="21" t="str">
        <f t="shared" si="3"/>
        <v/>
      </c>
      <c r="H59" s="20" t="str">
        <f t="shared" si="12"/>
        <v/>
      </c>
      <c r="I59" s="19" t="str">
        <f t="shared" si="5"/>
        <v/>
      </c>
      <c r="J59" s="19" t="str">
        <f t="shared" si="14"/>
        <v/>
      </c>
      <c r="K59" s="18" t="str">
        <f t="shared" si="13"/>
        <v/>
      </c>
    </row>
    <row r="60" spans="3:11" x14ac:dyDescent="0.25">
      <c r="C60" s="23"/>
      <c r="D60" s="22"/>
      <c r="E60" s="21" t="str">
        <f t="shared" si="1"/>
        <v/>
      </c>
      <c r="F60" s="21" t="str">
        <f t="shared" si="2"/>
        <v/>
      </c>
      <c r="G60" s="21" t="str">
        <f t="shared" si="3"/>
        <v/>
      </c>
      <c r="H60" s="20" t="str">
        <f t="shared" si="12"/>
        <v/>
      </c>
      <c r="I60" s="19" t="str">
        <f t="shared" si="5"/>
        <v/>
      </c>
      <c r="J60" s="19" t="str">
        <f t="shared" si="14"/>
        <v/>
      </c>
      <c r="K60" s="18" t="str">
        <f t="shared" si="13"/>
        <v/>
      </c>
    </row>
    <row r="61" spans="3:11" x14ac:dyDescent="0.25">
      <c r="C61" s="23"/>
      <c r="D61" s="22"/>
      <c r="E61" s="21" t="str">
        <f t="shared" si="1"/>
        <v/>
      </c>
      <c r="F61" s="21" t="str">
        <f t="shared" si="2"/>
        <v/>
      </c>
      <c r="G61" s="21" t="str">
        <f t="shared" si="3"/>
        <v/>
      </c>
      <c r="H61" s="20" t="str">
        <f t="shared" si="12"/>
        <v/>
      </c>
      <c r="I61" s="19" t="str">
        <f t="shared" si="5"/>
        <v/>
      </c>
      <c r="J61" s="19" t="str">
        <f t="shared" si="14"/>
        <v/>
      </c>
      <c r="K61" s="18" t="str">
        <f t="shared" si="13"/>
        <v/>
      </c>
    </row>
    <row r="62" spans="3:11" x14ac:dyDescent="0.25">
      <c r="C62" s="23"/>
      <c r="D62" s="22"/>
      <c r="E62" s="21" t="str">
        <f t="shared" si="1"/>
        <v/>
      </c>
      <c r="F62" s="21" t="str">
        <f t="shared" si="2"/>
        <v/>
      </c>
      <c r="G62" s="21" t="str">
        <f t="shared" si="3"/>
        <v/>
      </c>
      <c r="H62" s="20" t="str">
        <f t="shared" si="12"/>
        <v/>
      </c>
      <c r="I62" s="19" t="str">
        <f t="shared" si="5"/>
        <v/>
      </c>
      <c r="J62" s="19" t="str">
        <f t="shared" si="14"/>
        <v/>
      </c>
      <c r="K62" s="18" t="str">
        <f t="shared" si="13"/>
        <v/>
      </c>
    </row>
    <row r="63" spans="3:11" x14ac:dyDescent="0.25">
      <c r="C63" s="23"/>
      <c r="D63" s="22"/>
      <c r="E63" s="21" t="str">
        <f t="shared" si="1"/>
        <v/>
      </c>
      <c r="F63" s="21" t="str">
        <f t="shared" si="2"/>
        <v/>
      </c>
      <c r="G63" s="21" t="str">
        <f t="shared" si="3"/>
        <v/>
      </c>
      <c r="H63" s="20" t="str">
        <f t="shared" si="12"/>
        <v/>
      </c>
      <c r="I63" s="19" t="str">
        <f t="shared" si="5"/>
        <v/>
      </c>
      <c r="J63" s="19" t="str">
        <f t="shared" si="14"/>
        <v/>
      </c>
      <c r="K63" s="18" t="str">
        <f t="shared" si="13"/>
        <v/>
      </c>
    </row>
    <row r="64" spans="3:11" x14ac:dyDescent="0.25">
      <c r="C64" s="23"/>
      <c r="D64" s="22"/>
      <c r="E64" s="21" t="str">
        <f t="shared" si="1"/>
        <v/>
      </c>
      <c r="F64" s="21" t="str">
        <f t="shared" si="2"/>
        <v/>
      </c>
      <c r="G64" s="21" t="str">
        <f t="shared" si="3"/>
        <v/>
      </c>
      <c r="H64" s="20" t="str">
        <f t="shared" si="12"/>
        <v/>
      </c>
      <c r="I64" s="19" t="str">
        <f t="shared" si="5"/>
        <v/>
      </c>
      <c r="J64" s="19" t="str">
        <f t="shared" si="14"/>
        <v/>
      </c>
      <c r="K64" s="18" t="str">
        <f t="shared" si="13"/>
        <v/>
      </c>
    </row>
    <row r="65" spans="3:11" x14ac:dyDescent="0.25">
      <c r="C65" s="23"/>
      <c r="D65" s="22"/>
      <c r="E65" s="21" t="str">
        <f t="shared" si="1"/>
        <v/>
      </c>
      <c r="F65" s="21" t="str">
        <f t="shared" si="2"/>
        <v/>
      </c>
      <c r="G65" s="21" t="str">
        <f t="shared" si="3"/>
        <v/>
      </c>
      <c r="H65" s="20" t="str">
        <f t="shared" si="12"/>
        <v/>
      </c>
      <c r="I65" s="19" t="str">
        <f t="shared" si="5"/>
        <v/>
      </c>
      <c r="J65" s="19" t="str">
        <f t="shared" si="14"/>
        <v/>
      </c>
      <c r="K65" s="18" t="str">
        <f t="shared" si="13"/>
        <v/>
      </c>
    </row>
    <row r="66" spans="3:11" x14ac:dyDescent="0.25">
      <c r="C66" s="23"/>
      <c r="D66" s="22"/>
      <c r="E66" s="21" t="str">
        <f t="shared" si="1"/>
        <v/>
      </c>
      <c r="F66" s="21" t="str">
        <f t="shared" si="2"/>
        <v/>
      </c>
      <c r="G66" s="21" t="str">
        <f t="shared" si="3"/>
        <v/>
      </c>
      <c r="H66" s="20" t="str">
        <f t="shared" si="12"/>
        <v/>
      </c>
      <c r="I66" s="19" t="str">
        <f t="shared" si="5"/>
        <v/>
      </c>
      <c r="J66" s="19" t="str">
        <f t="shared" si="14"/>
        <v/>
      </c>
      <c r="K66" s="18" t="str">
        <f t="shared" si="13"/>
        <v/>
      </c>
    </row>
    <row r="67" spans="3:11" x14ac:dyDescent="0.25">
      <c r="C67" s="23"/>
      <c r="D67" s="22"/>
      <c r="E67" s="21" t="str">
        <f t="shared" si="1"/>
        <v/>
      </c>
      <c r="F67" s="21" t="str">
        <f t="shared" si="2"/>
        <v/>
      </c>
      <c r="G67" s="21" t="str">
        <f t="shared" si="3"/>
        <v/>
      </c>
      <c r="H67" s="20" t="str">
        <f t="shared" si="12"/>
        <v/>
      </c>
      <c r="I67" s="19" t="str">
        <f t="shared" si="5"/>
        <v/>
      </c>
      <c r="J67" s="19" t="str">
        <f t="shared" si="14"/>
        <v/>
      </c>
      <c r="K67" s="18" t="str">
        <f t="shared" si="13"/>
        <v/>
      </c>
    </row>
    <row r="68" spans="3:11" x14ac:dyDescent="0.25">
      <c r="C68" s="23"/>
      <c r="D68" s="22"/>
      <c r="E68" s="21" t="str">
        <f t="shared" si="1"/>
        <v/>
      </c>
      <c r="F68" s="21" t="str">
        <f t="shared" si="2"/>
        <v/>
      </c>
      <c r="G68" s="21" t="str">
        <f t="shared" si="3"/>
        <v/>
      </c>
      <c r="H68" s="20" t="str">
        <f t="shared" si="12"/>
        <v/>
      </c>
      <c r="I68" s="19" t="str">
        <f t="shared" si="5"/>
        <v/>
      </c>
      <c r="J68" s="19" t="str">
        <f t="shared" si="14"/>
        <v/>
      </c>
      <c r="K68" s="18" t="str">
        <f t="shared" si="13"/>
        <v/>
      </c>
    </row>
    <row r="69" spans="3:11" x14ac:dyDescent="0.25">
      <c r="C69" s="23"/>
      <c r="D69" s="22"/>
      <c r="E69" s="21" t="str">
        <f t="shared" si="1"/>
        <v/>
      </c>
      <c r="F69" s="21" t="str">
        <f t="shared" si="2"/>
        <v/>
      </c>
      <c r="G69" s="21" t="str">
        <f t="shared" si="3"/>
        <v/>
      </c>
      <c r="H69" s="20" t="str">
        <f t="shared" si="12"/>
        <v/>
      </c>
      <c r="I69" s="19" t="str">
        <f t="shared" si="5"/>
        <v/>
      </c>
      <c r="J69" s="19" t="str">
        <f t="shared" si="14"/>
        <v/>
      </c>
      <c r="K69" s="18" t="str">
        <f t="shared" si="13"/>
        <v/>
      </c>
    </row>
    <row r="70" spans="3:11" x14ac:dyDescent="0.25">
      <c r="C70" s="23"/>
      <c r="D70" s="22"/>
      <c r="E70" s="21" t="str">
        <f t="shared" si="1"/>
        <v/>
      </c>
      <c r="F70" s="21" t="str">
        <f t="shared" si="2"/>
        <v/>
      </c>
      <c r="G70" s="21" t="str">
        <f t="shared" si="3"/>
        <v/>
      </c>
      <c r="H70" s="20" t="str">
        <f t="shared" si="12"/>
        <v/>
      </c>
      <c r="I70" s="19" t="str">
        <f t="shared" si="5"/>
        <v/>
      </c>
      <c r="J70" s="19" t="str">
        <f t="shared" si="14"/>
        <v/>
      </c>
      <c r="K70" s="18" t="str">
        <f t="shared" si="13"/>
        <v/>
      </c>
    </row>
    <row r="71" spans="3:11" x14ac:dyDescent="0.25">
      <c r="C71" s="23"/>
      <c r="D71" s="22"/>
      <c r="E71" s="21" t="str">
        <f t="shared" si="1"/>
        <v/>
      </c>
      <c r="F71" s="21" t="str">
        <f t="shared" si="2"/>
        <v/>
      </c>
      <c r="G71" s="21" t="str">
        <f t="shared" si="3"/>
        <v/>
      </c>
      <c r="H71" s="20" t="str">
        <f t="shared" si="12"/>
        <v/>
      </c>
      <c r="I71" s="19" t="str">
        <f t="shared" si="5"/>
        <v/>
      </c>
      <c r="J71" s="19" t="str">
        <f t="shared" si="14"/>
        <v/>
      </c>
      <c r="K71" s="18" t="str">
        <f t="shared" si="13"/>
        <v/>
      </c>
    </row>
    <row r="72" spans="3:11" x14ac:dyDescent="0.25">
      <c r="C72" s="23"/>
      <c r="D72" s="22"/>
      <c r="E72" s="21" t="str">
        <f t="shared" ref="E72:E135" si="16">MID(C72,LEN("UTC ")+1,LEN("UTC - "))</f>
        <v/>
      </c>
      <c r="F72" s="21" t="str">
        <f t="shared" ref="F72:F135" si="17">IF(D72="Y",E72+1,E72)</f>
        <v/>
      </c>
      <c r="G72" s="21" t="str">
        <f t="shared" ref="G72:G135" si="18">IF(F72="","",IF(rDST="N",F72,F72+1))</f>
        <v/>
      </c>
      <c r="H72" s="20" t="str">
        <f t="shared" si="12"/>
        <v/>
      </c>
      <c r="I72" s="19" t="str">
        <f t="shared" ref="I72:I135" si="19">IF(B72="","",IF(F72&lt;0,rGreenwich-TIME(ABS(F72),(H72),0),rGreenwich+TIME(ABS(F72),(H72),0)))</f>
        <v/>
      </c>
      <c r="J72" s="19" t="str">
        <f t="shared" si="14"/>
        <v/>
      </c>
      <c r="K72" s="18" t="str">
        <f t="shared" si="13"/>
        <v/>
      </c>
    </row>
    <row r="73" spans="3:11" x14ac:dyDescent="0.25">
      <c r="C73" s="23"/>
      <c r="D73" s="22"/>
      <c r="E73" s="21" t="str">
        <f t="shared" si="16"/>
        <v/>
      </c>
      <c r="F73" s="21" t="str">
        <f t="shared" si="17"/>
        <v/>
      </c>
      <c r="G73" s="21" t="str">
        <f t="shared" si="18"/>
        <v/>
      </c>
      <c r="H73" s="20" t="str">
        <f t="shared" si="12"/>
        <v/>
      </c>
      <c r="I73" s="19" t="str">
        <f t="shared" si="19"/>
        <v/>
      </c>
      <c r="J73" s="19" t="str">
        <f t="shared" si="14"/>
        <v/>
      </c>
      <c r="K73" s="18" t="str">
        <f t="shared" si="13"/>
        <v/>
      </c>
    </row>
    <row r="74" spans="3:11" x14ac:dyDescent="0.25">
      <c r="C74" s="23"/>
      <c r="D74" s="22"/>
      <c r="E74" s="21" t="str">
        <f t="shared" si="16"/>
        <v/>
      </c>
      <c r="F74" s="21" t="str">
        <f t="shared" si="17"/>
        <v/>
      </c>
      <c r="G74" s="21" t="str">
        <f t="shared" si="18"/>
        <v/>
      </c>
      <c r="H74" s="20" t="str">
        <f t="shared" si="12"/>
        <v/>
      </c>
      <c r="I74" s="19" t="str">
        <f t="shared" si="19"/>
        <v/>
      </c>
      <c r="J74" s="19" t="str">
        <f t="shared" si="14"/>
        <v/>
      </c>
      <c r="K74" s="18" t="str">
        <f t="shared" si="13"/>
        <v/>
      </c>
    </row>
    <row r="75" spans="3:11" x14ac:dyDescent="0.25">
      <c r="C75" s="23"/>
      <c r="D75" s="22"/>
      <c r="E75" s="21" t="str">
        <f t="shared" si="16"/>
        <v/>
      </c>
      <c r="F75" s="21" t="str">
        <f t="shared" si="17"/>
        <v/>
      </c>
      <c r="G75" s="21" t="str">
        <f t="shared" si="18"/>
        <v/>
      </c>
      <c r="H75" s="20" t="str">
        <f t="shared" si="12"/>
        <v/>
      </c>
      <c r="I75" s="19" t="str">
        <f t="shared" si="19"/>
        <v/>
      </c>
      <c r="J75" s="19" t="str">
        <f t="shared" si="14"/>
        <v/>
      </c>
      <c r="K75" s="18" t="str">
        <f t="shared" si="13"/>
        <v/>
      </c>
    </row>
    <row r="76" spans="3:11" x14ac:dyDescent="0.25">
      <c r="C76" s="23"/>
      <c r="D76" s="22"/>
      <c r="E76" s="21" t="str">
        <f t="shared" si="16"/>
        <v/>
      </c>
      <c r="F76" s="21" t="str">
        <f t="shared" si="17"/>
        <v/>
      </c>
      <c r="G76" s="21" t="str">
        <f t="shared" si="18"/>
        <v/>
      </c>
      <c r="H76" s="20" t="str">
        <f t="shared" si="12"/>
        <v/>
      </c>
      <c r="I76" s="19" t="str">
        <f t="shared" si="19"/>
        <v/>
      </c>
      <c r="J76" s="19" t="str">
        <f t="shared" si="14"/>
        <v/>
      </c>
      <c r="K76" s="18" t="str">
        <f t="shared" si="13"/>
        <v/>
      </c>
    </row>
    <row r="77" spans="3:11" x14ac:dyDescent="0.25">
      <c r="C77" s="23"/>
      <c r="D77" s="22"/>
      <c r="E77" s="21" t="str">
        <f t="shared" si="16"/>
        <v/>
      </c>
      <c r="F77" s="21" t="str">
        <f t="shared" si="17"/>
        <v/>
      </c>
      <c r="G77" s="21" t="str">
        <f t="shared" si="18"/>
        <v/>
      </c>
      <c r="H77" s="20" t="str">
        <f t="shared" si="12"/>
        <v/>
      </c>
      <c r="I77" s="19" t="str">
        <f t="shared" si="19"/>
        <v/>
      </c>
      <c r="J77" s="19" t="str">
        <f t="shared" si="14"/>
        <v/>
      </c>
      <c r="K77" s="18" t="str">
        <f t="shared" si="13"/>
        <v/>
      </c>
    </row>
    <row r="78" spans="3:11" x14ac:dyDescent="0.25">
      <c r="C78" s="23"/>
      <c r="D78" s="22"/>
      <c r="E78" s="21" t="str">
        <f t="shared" si="16"/>
        <v/>
      </c>
      <c r="F78" s="21" t="str">
        <f t="shared" si="17"/>
        <v/>
      </c>
      <c r="G78" s="21" t="str">
        <f t="shared" si="18"/>
        <v/>
      </c>
      <c r="H78" s="20" t="str">
        <f t="shared" si="12"/>
        <v/>
      </c>
      <c r="I78" s="19" t="str">
        <f t="shared" si="19"/>
        <v/>
      </c>
      <c r="J78" s="19" t="str">
        <f t="shared" si="14"/>
        <v/>
      </c>
      <c r="K78" s="18" t="str">
        <f t="shared" si="13"/>
        <v/>
      </c>
    </row>
    <row r="79" spans="3:11" x14ac:dyDescent="0.25">
      <c r="C79" s="23"/>
      <c r="D79" s="22"/>
      <c r="E79" s="21" t="str">
        <f t="shared" si="16"/>
        <v/>
      </c>
      <c r="F79" s="21" t="str">
        <f t="shared" si="17"/>
        <v/>
      </c>
      <c r="G79" s="21" t="str">
        <f t="shared" si="18"/>
        <v/>
      </c>
      <c r="H79" s="20" t="str">
        <f t="shared" si="12"/>
        <v/>
      </c>
      <c r="I79" s="19" t="str">
        <f t="shared" si="19"/>
        <v/>
      </c>
      <c r="J79" s="19" t="str">
        <f t="shared" si="14"/>
        <v/>
      </c>
      <c r="K79" s="18" t="str">
        <f t="shared" si="13"/>
        <v/>
      </c>
    </row>
    <row r="80" spans="3:11" x14ac:dyDescent="0.25">
      <c r="C80" s="23"/>
      <c r="D80" s="22"/>
      <c r="E80" s="21" t="str">
        <f t="shared" si="16"/>
        <v/>
      </c>
      <c r="F80" s="21" t="str">
        <f t="shared" si="17"/>
        <v/>
      </c>
      <c r="G80" s="21" t="str">
        <f t="shared" si="18"/>
        <v/>
      </c>
      <c r="H80" s="20" t="str">
        <f t="shared" si="12"/>
        <v/>
      </c>
      <c r="I80" s="19" t="str">
        <f t="shared" si="19"/>
        <v/>
      </c>
      <c r="J80" s="19" t="str">
        <f t="shared" si="14"/>
        <v/>
      </c>
      <c r="K80" s="18" t="str">
        <f t="shared" si="13"/>
        <v/>
      </c>
    </row>
    <row r="81" spans="3:11" x14ac:dyDescent="0.25">
      <c r="C81" s="23"/>
      <c r="D81" s="22"/>
      <c r="E81" s="21" t="str">
        <f t="shared" si="16"/>
        <v/>
      </c>
      <c r="F81" s="21" t="str">
        <f t="shared" si="17"/>
        <v/>
      </c>
      <c r="G81" s="21" t="str">
        <f t="shared" si="18"/>
        <v/>
      </c>
      <c r="H81" s="20" t="str">
        <f t="shared" si="12"/>
        <v/>
      </c>
      <c r="I81" s="19" t="str">
        <f t="shared" si="19"/>
        <v/>
      </c>
      <c r="J81" s="19" t="str">
        <f t="shared" si="14"/>
        <v/>
      </c>
      <c r="K81" s="18" t="str">
        <f t="shared" si="13"/>
        <v/>
      </c>
    </row>
    <row r="82" spans="3:11" x14ac:dyDescent="0.25">
      <c r="C82" s="23"/>
      <c r="D82" s="22"/>
      <c r="E82" s="21" t="str">
        <f t="shared" si="16"/>
        <v/>
      </c>
      <c r="F82" s="21" t="str">
        <f t="shared" si="17"/>
        <v/>
      </c>
      <c r="G82" s="21" t="str">
        <f t="shared" si="18"/>
        <v/>
      </c>
      <c r="H82" s="20" t="str">
        <f t="shared" si="12"/>
        <v/>
      </c>
      <c r="I82" s="19" t="str">
        <f t="shared" si="19"/>
        <v/>
      </c>
      <c r="J82" s="19" t="str">
        <f t="shared" si="14"/>
        <v/>
      </c>
      <c r="K82" s="18" t="str">
        <f t="shared" si="13"/>
        <v/>
      </c>
    </row>
    <row r="83" spans="3:11" x14ac:dyDescent="0.25">
      <c r="C83" s="23"/>
      <c r="D83" s="22"/>
      <c r="E83" s="21" t="str">
        <f t="shared" si="16"/>
        <v/>
      </c>
      <c r="F83" s="21" t="str">
        <f t="shared" si="17"/>
        <v/>
      </c>
      <c r="G83" s="21" t="str">
        <f t="shared" si="18"/>
        <v/>
      </c>
      <c r="H83" s="20" t="str">
        <f t="shared" si="12"/>
        <v/>
      </c>
      <c r="I83" s="19" t="str">
        <f t="shared" si="19"/>
        <v/>
      </c>
      <c r="J83" s="19" t="str">
        <f t="shared" si="14"/>
        <v/>
      </c>
      <c r="K83" s="18" t="str">
        <f t="shared" si="13"/>
        <v/>
      </c>
    </row>
    <row r="84" spans="3:11" x14ac:dyDescent="0.25">
      <c r="C84" s="23"/>
      <c r="D84" s="22"/>
      <c r="E84" s="21" t="str">
        <f t="shared" si="16"/>
        <v/>
      </c>
      <c r="F84" s="21" t="str">
        <f t="shared" si="17"/>
        <v/>
      </c>
      <c r="G84" s="21" t="str">
        <f t="shared" si="18"/>
        <v/>
      </c>
      <c r="H84" s="20" t="str">
        <f t="shared" si="12"/>
        <v/>
      </c>
      <c r="I84" s="19" t="str">
        <f t="shared" si="19"/>
        <v/>
      </c>
      <c r="J84" s="19" t="str">
        <f t="shared" si="14"/>
        <v/>
      </c>
      <c r="K84" s="18" t="str">
        <f t="shared" si="13"/>
        <v/>
      </c>
    </row>
    <row r="85" spans="3:11" x14ac:dyDescent="0.25">
      <c r="C85" s="23"/>
      <c r="D85" s="22"/>
      <c r="E85" s="21" t="str">
        <f t="shared" si="16"/>
        <v/>
      </c>
      <c r="F85" s="21" t="str">
        <f t="shared" si="17"/>
        <v/>
      </c>
      <c r="G85" s="21" t="str">
        <f t="shared" si="18"/>
        <v/>
      </c>
      <c r="H85" s="20" t="str">
        <f t="shared" si="12"/>
        <v/>
      </c>
      <c r="I85" s="19" t="str">
        <f t="shared" si="19"/>
        <v/>
      </c>
      <c r="J85" s="19" t="str">
        <f t="shared" si="14"/>
        <v/>
      </c>
      <c r="K85" s="18" t="str">
        <f t="shared" si="13"/>
        <v/>
      </c>
    </row>
    <row r="86" spans="3:11" x14ac:dyDescent="0.25">
      <c r="C86" s="23"/>
      <c r="D86" s="22"/>
      <c r="E86" s="21" t="str">
        <f t="shared" si="16"/>
        <v/>
      </c>
      <c r="F86" s="21" t="str">
        <f t="shared" si="17"/>
        <v/>
      </c>
      <c r="G86" s="21" t="str">
        <f t="shared" si="18"/>
        <v/>
      </c>
      <c r="H86" s="20" t="str">
        <f t="shared" si="12"/>
        <v/>
      </c>
      <c r="I86" s="19" t="str">
        <f t="shared" si="19"/>
        <v/>
      </c>
      <c r="J86" s="19" t="str">
        <f t="shared" si="14"/>
        <v/>
      </c>
      <c r="K86" s="18" t="str">
        <f t="shared" si="13"/>
        <v/>
      </c>
    </row>
    <row r="87" spans="3:11" x14ac:dyDescent="0.25">
      <c r="C87" s="23"/>
      <c r="D87" s="22"/>
      <c r="E87" s="21" t="str">
        <f t="shared" si="16"/>
        <v/>
      </c>
      <c r="F87" s="21" t="str">
        <f t="shared" si="17"/>
        <v/>
      </c>
      <c r="G87" s="21" t="str">
        <f t="shared" si="18"/>
        <v/>
      </c>
      <c r="H87" s="20" t="str">
        <f t="shared" si="12"/>
        <v/>
      </c>
      <c r="I87" s="19" t="str">
        <f t="shared" si="19"/>
        <v/>
      </c>
      <c r="J87" s="19" t="str">
        <f t="shared" si="14"/>
        <v/>
      </c>
      <c r="K87" s="18" t="str">
        <f t="shared" si="13"/>
        <v/>
      </c>
    </row>
    <row r="88" spans="3:11" x14ac:dyDescent="0.25">
      <c r="C88" s="23"/>
      <c r="D88" s="22"/>
      <c r="E88" s="21" t="str">
        <f t="shared" si="16"/>
        <v/>
      </c>
      <c r="F88" s="21" t="str">
        <f t="shared" si="17"/>
        <v/>
      </c>
      <c r="G88" s="21" t="str">
        <f t="shared" si="18"/>
        <v/>
      </c>
      <c r="H88" s="20" t="str">
        <f t="shared" si="12"/>
        <v/>
      </c>
      <c r="I88" s="19" t="str">
        <f t="shared" si="19"/>
        <v/>
      </c>
      <c r="J88" s="19" t="str">
        <f t="shared" si="14"/>
        <v/>
      </c>
      <c r="K88" s="18" t="str">
        <f t="shared" si="13"/>
        <v/>
      </c>
    </row>
    <row r="89" spans="3:11" x14ac:dyDescent="0.25">
      <c r="C89" s="23"/>
      <c r="D89" s="22"/>
      <c r="E89" s="21" t="str">
        <f t="shared" si="16"/>
        <v/>
      </c>
      <c r="F89" s="21" t="str">
        <f t="shared" si="17"/>
        <v/>
      </c>
      <c r="G89" s="21" t="str">
        <f t="shared" si="18"/>
        <v/>
      </c>
      <c r="H89" s="20" t="str">
        <f t="shared" si="12"/>
        <v/>
      </c>
      <c r="I89" s="19" t="str">
        <f t="shared" si="19"/>
        <v/>
      </c>
      <c r="J89" s="19" t="str">
        <f t="shared" si="14"/>
        <v/>
      </c>
      <c r="K89" s="18" t="str">
        <f t="shared" si="13"/>
        <v/>
      </c>
    </row>
    <row r="90" spans="3:11" x14ac:dyDescent="0.25">
      <c r="C90" s="23"/>
      <c r="D90" s="22"/>
      <c r="E90" s="21" t="str">
        <f t="shared" si="16"/>
        <v/>
      </c>
      <c r="F90" s="21" t="str">
        <f t="shared" si="17"/>
        <v/>
      </c>
      <c r="G90" s="21" t="str">
        <f t="shared" si="18"/>
        <v/>
      </c>
      <c r="H90" s="20" t="str">
        <f t="shared" si="12"/>
        <v/>
      </c>
      <c r="I90" s="19" t="str">
        <f t="shared" si="19"/>
        <v/>
      </c>
      <c r="J90" s="19" t="str">
        <f t="shared" si="14"/>
        <v/>
      </c>
      <c r="K90" s="18" t="str">
        <f t="shared" si="13"/>
        <v/>
      </c>
    </row>
    <row r="91" spans="3:11" x14ac:dyDescent="0.25">
      <c r="C91" s="23"/>
      <c r="D91" s="22"/>
      <c r="E91" s="21" t="str">
        <f t="shared" si="16"/>
        <v/>
      </c>
      <c r="F91" s="21" t="str">
        <f t="shared" si="17"/>
        <v/>
      </c>
      <c r="G91" s="21" t="str">
        <f t="shared" si="18"/>
        <v/>
      </c>
      <c r="H91" s="20" t="str">
        <f t="shared" si="12"/>
        <v/>
      </c>
      <c r="I91" s="19" t="str">
        <f t="shared" si="19"/>
        <v/>
      </c>
      <c r="J91" s="19" t="str">
        <f t="shared" si="14"/>
        <v/>
      </c>
      <c r="K91" s="18" t="str">
        <f t="shared" si="13"/>
        <v/>
      </c>
    </row>
    <row r="92" spans="3:11" x14ac:dyDescent="0.25">
      <c r="C92" s="23"/>
      <c r="D92" s="22"/>
      <c r="E92" s="21" t="str">
        <f t="shared" si="16"/>
        <v/>
      </c>
      <c r="F92" s="21" t="str">
        <f t="shared" si="17"/>
        <v/>
      </c>
      <c r="G92" s="21" t="str">
        <f t="shared" si="18"/>
        <v/>
      </c>
      <c r="H92" s="20" t="str">
        <f t="shared" si="12"/>
        <v/>
      </c>
      <c r="I92" s="19" t="str">
        <f t="shared" si="19"/>
        <v/>
      </c>
      <c r="J92" s="19" t="str">
        <f t="shared" si="14"/>
        <v/>
      </c>
      <c r="K92" s="18" t="str">
        <f t="shared" si="13"/>
        <v/>
      </c>
    </row>
    <row r="93" spans="3:11" x14ac:dyDescent="0.25">
      <c r="C93" s="23"/>
      <c r="D93" s="22"/>
      <c r="E93" s="21" t="str">
        <f t="shared" si="16"/>
        <v/>
      </c>
      <c r="F93" s="21" t="str">
        <f t="shared" si="17"/>
        <v/>
      </c>
      <c r="G93" s="21" t="str">
        <f t="shared" si="18"/>
        <v/>
      </c>
      <c r="H93" s="20" t="str">
        <f t="shared" si="12"/>
        <v/>
      </c>
      <c r="I93" s="19" t="str">
        <f t="shared" si="19"/>
        <v/>
      </c>
      <c r="J93" s="19" t="str">
        <f t="shared" si="14"/>
        <v/>
      </c>
      <c r="K93" s="18" t="str">
        <f t="shared" si="13"/>
        <v/>
      </c>
    </row>
    <row r="94" spans="3:11" x14ac:dyDescent="0.25">
      <c r="C94" s="23"/>
      <c r="D94" s="22"/>
      <c r="E94" s="21" t="str">
        <f t="shared" si="16"/>
        <v/>
      </c>
      <c r="F94" s="21" t="str">
        <f t="shared" si="17"/>
        <v/>
      </c>
      <c r="G94" s="21" t="str">
        <f t="shared" si="18"/>
        <v/>
      </c>
      <c r="H94" s="20" t="str">
        <f t="shared" si="12"/>
        <v/>
      </c>
      <c r="I94" s="19" t="str">
        <f t="shared" si="19"/>
        <v/>
      </c>
      <c r="J94" s="19" t="str">
        <f t="shared" si="14"/>
        <v/>
      </c>
      <c r="K94" s="18" t="str">
        <f t="shared" si="13"/>
        <v/>
      </c>
    </row>
    <row r="95" spans="3:11" x14ac:dyDescent="0.25">
      <c r="C95" s="23"/>
      <c r="D95" s="22"/>
      <c r="E95" s="21" t="str">
        <f t="shared" si="16"/>
        <v/>
      </c>
      <c r="F95" s="21" t="str">
        <f t="shared" si="17"/>
        <v/>
      </c>
      <c r="G95" s="21" t="str">
        <f t="shared" si="18"/>
        <v/>
      </c>
      <c r="H95" s="20" t="str">
        <f t="shared" si="12"/>
        <v/>
      </c>
      <c r="I95" s="19" t="str">
        <f t="shared" si="19"/>
        <v/>
      </c>
      <c r="J95" s="19" t="str">
        <f t="shared" si="14"/>
        <v/>
      </c>
      <c r="K95" s="18" t="str">
        <f t="shared" si="13"/>
        <v/>
      </c>
    </row>
    <row r="96" spans="3:11" x14ac:dyDescent="0.25">
      <c r="C96" s="23"/>
      <c r="D96" s="22"/>
      <c r="E96" s="21" t="str">
        <f t="shared" si="16"/>
        <v/>
      </c>
      <c r="F96" s="21" t="str">
        <f t="shared" si="17"/>
        <v/>
      </c>
      <c r="G96" s="21" t="str">
        <f t="shared" si="18"/>
        <v/>
      </c>
      <c r="H96" s="20" t="str">
        <f t="shared" si="12"/>
        <v/>
      </c>
      <c r="I96" s="19" t="str">
        <f t="shared" si="19"/>
        <v/>
      </c>
      <c r="J96" s="19" t="str">
        <f t="shared" si="14"/>
        <v/>
      </c>
      <c r="K96" s="18" t="str">
        <f t="shared" si="13"/>
        <v/>
      </c>
    </row>
    <row r="97" spans="3:11" x14ac:dyDescent="0.25">
      <c r="C97" s="23"/>
      <c r="D97" s="22"/>
      <c r="E97" s="21" t="str">
        <f t="shared" si="16"/>
        <v/>
      </c>
      <c r="F97" s="21" t="str">
        <f t="shared" si="17"/>
        <v/>
      </c>
      <c r="G97" s="21" t="str">
        <f t="shared" si="18"/>
        <v/>
      </c>
      <c r="H97" s="20" t="str">
        <f t="shared" ref="H97:H160" si="20">IF(F97="","",MOD(F97,1)*60)</f>
        <v/>
      </c>
      <c r="I97" s="19" t="str">
        <f t="shared" si="19"/>
        <v/>
      </c>
      <c r="J97" s="19" t="str">
        <f t="shared" ref="J97:J160" si="21">IF(B97="","",I97+TIME(ABS($F$8),0,0))</f>
        <v/>
      </c>
      <c r="K97" s="18" t="str">
        <f t="shared" ref="K97:K160" si="22">IF(F97="","",ABS(T$12)+F97)</f>
        <v/>
      </c>
    </row>
    <row r="98" spans="3:11" x14ac:dyDescent="0.25">
      <c r="C98" s="23"/>
      <c r="D98" s="22"/>
      <c r="E98" s="21" t="str">
        <f t="shared" si="16"/>
        <v/>
      </c>
      <c r="F98" s="21" t="str">
        <f t="shared" si="17"/>
        <v/>
      </c>
      <c r="G98" s="21" t="str">
        <f t="shared" si="18"/>
        <v/>
      </c>
      <c r="H98" s="20" t="str">
        <f t="shared" si="20"/>
        <v/>
      </c>
      <c r="I98" s="19" t="str">
        <f t="shared" si="19"/>
        <v/>
      </c>
      <c r="J98" s="19" t="str">
        <f t="shared" si="21"/>
        <v/>
      </c>
      <c r="K98" s="18" t="str">
        <f t="shared" si="22"/>
        <v/>
      </c>
    </row>
    <row r="99" spans="3:11" x14ac:dyDescent="0.25">
      <c r="C99" s="23"/>
      <c r="D99" s="22"/>
      <c r="E99" s="21" t="str">
        <f t="shared" si="16"/>
        <v/>
      </c>
      <c r="F99" s="21" t="str">
        <f t="shared" si="17"/>
        <v/>
      </c>
      <c r="G99" s="21" t="str">
        <f t="shared" si="18"/>
        <v/>
      </c>
      <c r="H99" s="20" t="str">
        <f t="shared" si="20"/>
        <v/>
      </c>
      <c r="I99" s="19" t="str">
        <f t="shared" si="19"/>
        <v/>
      </c>
      <c r="J99" s="19" t="str">
        <f t="shared" si="21"/>
        <v/>
      </c>
      <c r="K99" s="18" t="str">
        <f t="shared" si="22"/>
        <v/>
      </c>
    </row>
    <row r="100" spans="3:11" x14ac:dyDescent="0.25">
      <c r="C100" s="23"/>
      <c r="D100" s="22"/>
      <c r="E100" s="21" t="str">
        <f t="shared" si="16"/>
        <v/>
      </c>
      <c r="F100" s="21" t="str">
        <f t="shared" si="17"/>
        <v/>
      </c>
      <c r="G100" s="21" t="str">
        <f t="shared" si="18"/>
        <v/>
      </c>
      <c r="H100" s="20" t="str">
        <f t="shared" si="20"/>
        <v/>
      </c>
      <c r="I100" s="19" t="str">
        <f t="shared" si="19"/>
        <v/>
      </c>
      <c r="J100" s="19" t="str">
        <f t="shared" si="21"/>
        <v/>
      </c>
      <c r="K100" s="18" t="str">
        <f t="shared" si="22"/>
        <v/>
      </c>
    </row>
    <row r="101" spans="3:11" x14ac:dyDescent="0.25">
      <c r="C101" s="23"/>
      <c r="D101" s="22"/>
      <c r="E101" s="21" t="str">
        <f t="shared" si="16"/>
        <v/>
      </c>
      <c r="F101" s="21" t="str">
        <f t="shared" si="17"/>
        <v/>
      </c>
      <c r="G101" s="21" t="str">
        <f t="shared" si="18"/>
        <v/>
      </c>
      <c r="H101" s="20" t="str">
        <f t="shared" si="20"/>
        <v/>
      </c>
      <c r="I101" s="19" t="str">
        <f t="shared" si="19"/>
        <v/>
      </c>
      <c r="J101" s="19" t="str">
        <f t="shared" si="21"/>
        <v/>
      </c>
      <c r="K101" s="18" t="str">
        <f t="shared" si="22"/>
        <v/>
      </c>
    </row>
    <row r="102" spans="3:11" x14ac:dyDescent="0.25">
      <c r="C102" s="23"/>
      <c r="D102" s="22"/>
      <c r="E102" s="21" t="str">
        <f t="shared" si="16"/>
        <v/>
      </c>
      <c r="F102" s="21" t="str">
        <f t="shared" si="17"/>
        <v/>
      </c>
      <c r="G102" s="21" t="str">
        <f t="shared" si="18"/>
        <v/>
      </c>
      <c r="H102" s="20" t="str">
        <f t="shared" si="20"/>
        <v/>
      </c>
      <c r="I102" s="19" t="str">
        <f t="shared" si="19"/>
        <v/>
      </c>
      <c r="J102" s="19" t="str">
        <f t="shared" si="21"/>
        <v/>
      </c>
      <c r="K102" s="18" t="str">
        <f t="shared" si="22"/>
        <v/>
      </c>
    </row>
    <row r="103" spans="3:11" x14ac:dyDescent="0.25">
      <c r="C103" s="23"/>
      <c r="D103" s="22"/>
      <c r="E103" s="21" t="str">
        <f t="shared" si="16"/>
        <v/>
      </c>
      <c r="F103" s="21" t="str">
        <f t="shared" si="17"/>
        <v/>
      </c>
      <c r="G103" s="21" t="str">
        <f t="shared" si="18"/>
        <v/>
      </c>
      <c r="H103" s="20" t="str">
        <f t="shared" si="20"/>
        <v/>
      </c>
      <c r="I103" s="19" t="str">
        <f t="shared" si="19"/>
        <v/>
      </c>
      <c r="J103" s="19" t="str">
        <f t="shared" si="21"/>
        <v/>
      </c>
      <c r="K103" s="18" t="str">
        <f t="shared" si="22"/>
        <v/>
      </c>
    </row>
    <row r="104" spans="3:11" x14ac:dyDescent="0.25">
      <c r="C104" s="23"/>
      <c r="D104" s="22"/>
      <c r="E104" s="21" t="str">
        <f t="shared" si="16"/>
        <v/>
      </c>
      <c r="F104" s="21" t="str">
        <f t="shared" si="17"/>
        <v/>
      </c>
      <c r="G104" s="21" t="str">
        <f t="shared" si="18"/>
        <v/>
      </c>
      <c r="H104" s="20" t="str">
        <f t="shared" si="20"/>
        <v/>
      </c>
      <c r="I104" s="19" t="str">
        <f t="shared" si="19"/>
        <v/>
      </c>
      <c r="J104" s="19" t="str">
        <f t="shared" si="21"/>
        <v/>
      </c>
      <c r="K104" s="18" t="str">
        <f t="shared" si="22"/>
        <v/>
      </c>
    </row>
    <row r="105" spans="3:11" x14ac:dyDescent="0.25">
      <c r="C105" s="23"/>
      <c r="D105" s="22"/>
      <c r="E105" s="21" t="str">
        <f t="shared" si="16"/>
        <v/>
      </c>
      <c r="F105" s="21" t="str">
        <f t="shared" si="17"/>
        <v/>
      </c>
      <c r="G105" s="21" t="str">
        <f t="shared" si="18"/>
        <v/>
      </c>
      <c r="H105" s="20" t="str">
        <f t="shared" si="20"/>
        <v/>
      </c>
      <c r="I105" s="19" t="str">
        <f t="shared" si="19"/>
        <v/>
      </c>
      <c r="J105" s="19" t="str">
        <f t="shared" si="21"/>
        <v/>
      </c>
      <c r="K105" s="18" t="str">
        <f t="shared" si="22"/>
        <v/>
      </c>
    </row>
    <row r="106" spans="3:11" x14ac:dyDescent="0.25">
      <c r="C106" s="23"/>
      <c r="D106" s="22"/>
      <c r="E106" s="21" t="str">
        <f t="shared" si="16"/>
        <v/>
      </c>
      <c r="F106" s="21" t="str">
        <f t="shared" si="17"/>
        <v/>
      </c>
      <c r="G106" s="21" t="str">
        <f t="shared" si="18"/>
        <v/>
      </c>
      <c r="H106" s="20" t="str">
        <f t="shared" si="20"/>
        <v/>
      </c>
      <c r="I106" s="19" t="str">
        <f t="shared" si="19"/>
        <v/>
      </c>
      <c r="J106" s="19" t="str">
        <f t="shared" si="21"/>
        <v/>
      </c>
      <c r="K106" s="18" t="str">
        <f t="shared" si="22"/>
        <v/>
      </c>
    </row>
    <row r="107" spans="3:11" x14ac:dyDescent="0.25">
      <c r="C107" s="23"/>
      <c r="D107" s="22"/>
      <c r="E107" s="21" t="str">
        <f t="shared" si="16"/>
        <v/>
      </c>
      <c r="F107" s="21" t="str">
        <f t="shared" si="17"/>
        <v/>
      </c>
      <c r="G107" s="21" t="str">
        <f t="shared" si="18"/>
        <v/>
      </c>
      <c r="H107" s="20" t="str">
        <f t="shared" si="20"/>
        <v/>
      </c>
      <c r="I107" s="19" t="str">
        <f t="shared" si="19"/>
        <v/>
      </c>
      <c r="J107" s="19" t="str">
        <f t="shared" si="21"/>
        <v/>
      </c>
      <c r="K107" s="18" t="str">
        <f t="shared" si="22"/>
        <v/>
      </c>
    </row>
    <row r="108" spans="3:11" x14ac:dyDescent="0.25">
      <c r="C108" s="23"/>
      <c r="D108" s="22"/>
      <c r="E108" s="21" t="str">
        <f t="shared" si="16"/>
        <v/>
      </c>
      <c r="F108" s="21" t="str">
        <f t="shared" si="17"/>
        <v/>
      </c>
      <c r="G108" s="21" t="str">
        <f t="shared" si="18"/>
        <v/>
      </c>
      <c r="H108" s="20" t="str">
        <f t="shared" si="20"/>
        <v/>
      </c>
      <c r="I108" s="19" t="str">
        <f t="shared" si="19"/>
        <v/>
      </c>
      <c r="J108" s="19" t="str">
        <f t="shared" si="21"/>
        <v/>
      </c>
      <c r="K108" s="18" t="str">
        <f t="shared" si="22"/>
        <v/>
      </c>
    </row>
    <row r="109" spans="3:11" x14ac:dyDescent="0.25">
      <c r="C109" s="23"/>
      <c r="D109" s="22"/>
      <c r="E109" s="21" t="str">
        <f t="shared" si="16"/>
        <v/>
      </c>
      <c r="F109" s="21" t="str">
        <f t="shared" si="17"/>
        <v/>
      </c>
      <c r="G109" s="21" t="str">
        <f t="shared" si="18"/>
        <v/>
      </c>
      <c r="H109" s="20" t="str">
        <f t="shared" si="20"/>
        <v/>
      </c>
      <c r="I109" s="19" t="str">
        <f t="shared" si="19"/>
        <v/>
      </c>
      <c r="J109" s="19" t="str">
        <f t="shared" si="21"/>
        <v/>
      </c>
      <c r="K109" s="18" t="str">
        <f t="shared" si="22"/>
        <v/>
      </c>
    </row>
    <row r="110" spans="3:11" x14ac:dyDescent="0.25">
      <c r="C110" s="23"/>
      <c r="D110" s="22"/>
      <c r="E110" s="21" t="str">
        <f t="shared" si="16"/>
        <v/>
      </c>
      <c r="F110" s="21" t="str">
        <f t="shared" si="17"/>
        <v/>
      </c>
      <c r="G110" s="21" t="str">
        <f t="shared" si="18"/>
        <v/>
      </c>
      <c r="H110" s="20" t="str">
        <f t="shared" si="20"/>
        <v/>
      </c>
      <c r="I110" s="19" t="str">
        <f t="shared" si="19"/>
        <v/>
      </c>
      <c r="J110" s="19" t="str">
        <f t="shared" si="21"/>
        <v/>
      </c>
      <c r="K110" s="18" t="str">
        <f t="shared" si="22"/>
        <v/>
      </c>
    </row>
    <row r="111" spans="3:11" x14ac:dyDescent="0.25">
      <c r="C111" s="23"/>
      <c r="D111" s="22"/>
      <c r="E111" s="21" t="str">
        <f t="shared" si="16"/>
        <v/>
      </c>
      <c r="F111" s="21" t="str">
        <f t="shared" si="17"/>
        <v/>
      </c>
      <c r="G111" s="21" t="str">
        <f t="shared" si="18"/>
        <v/>
      </c>
      <c r="H111" s="20" t="str">
        <f t="shared" si="20"/>
        <v/>
      </c>
      <c r="I111" s="19" t="str">
        <f t="shared" si="19"/>
        <v/>
      </c>
      <c r="J111" s="19" t="str">
        <f t="shared" si="21"/>
        <v/>
      </c>
      <c r="K111" s="18" t="str">
        <f t="shared" si="22"/>
        <v/>
      </c>
    </row>
    <row r="112" spans="3:11" x14ac:dyDescent="0.25">
      <c r="C112" s="23"/>
      <c r="D112" s="22"/>
      <c r="E112" s="21" t="str">
        <f t="shared" si="16"/>
        <v/>
      </c>
      <c r="F112" s="21" t="str">
        <f t="shared" si="17"/>
        <v/>
      </c>
      <c r="G112" s="21" t="str">
        <f t="shared" si="18"/>
        <v/>
      </c>
      <c r="H112" s="20" t="str">
        <f t="shared" si="20"/>
        <v/>
      </c>
      <c r="I112" s="19" t="str">
        <f t="shared" si="19"/>
        <v/>
      </c>
      <c r="J112" s="19" t="str">
        <f t="shared" si="21"/>
        <v/>
      </c>
      <c r="K112" s="18" t="str">
        <f t="shared" si="22"/>
        <v/>
      </c>
    </row>
    <row r="113" spans="3:11" x14ac:dyDescent="0.25">
      <c r="C113" s="23"/>
      <c r="D113" s="22"/>
      <c r="E113" s="21" t="str">
        <f t="shared" si="16"/>
        <v/>
      </c>
      <c r="F113" s="21" t="str">
        <f t="shared" si="17"/>
        <v/>
      </c>
      <c r="G113" s="21" t="str">
        <f t="shared" si="18"/>
        <v/>
      </c>
      <c r="H113" s="20" t="str">
        <f t="shared" si="20"/>
        <v/>
      </c>
      <c r="I113" s="19" t="str">
        <f t="shared" si="19"/>
        <v/>
      </c>
      <c r="J113" s="19" t="str">
        <f t="shared" si="21"/>
        <v/>
      </c>
      <c r="K113" s="18" t="str">
        <f t="shared" si="22"/>
        <v/>
      </c>
    </row>
    <row r="114" spans="3:11" x14ac:dyDescent="0.25">
      <c r="C114" s="23"/>
      <c r="D114" s="22"/>
      <c r="E114" s="21" t="str">
        <f t="shared" si="16"/>
        <v/>
      </c>
      <c r="F114" s="21" t="str">
        <f t="shared" si="17"/>
        <v/>
      </c>
      <c r="G114" s="21" t="str">
        <f t="shared" si="18"/>
        <v/>
      </c>
      <c r="H114" s="20" t="str">
        <f t="shared" si="20"/>
        <v/>
      </c>
      <c r="I114" s="19" t="str">
        <f t="shared" si="19"/>
        <v/>
      </c>
      <c r="J114" s="19" t="str">
        <f t="shared" si="21"/>
        <v/>
      </c>
      <c r="K114" s="18" t="str">
        <f t="shared" si="22"/>
        <v/>
      </c>
    </row>
    <row r="115" spans="3:11" x14ac:dyDescent="0.25">
      <c r="C115" s="23"/>
      <c r="D115" s="22"/>
      <c r="E115" s="21" t="str">
        <f t="shared" si="16"/>
        <v/>
      </c>
      <c r="F115" s="21" t="str">
        <f t="shared" si="17"/>
        <v/>
      </c>
      <c r="G115" s="21" t="str">
        <f t="shared" si="18"/>
        <v/>
      </c>
      <c r="H115" s="20" t="str">
        <f t="shared" si="20"/>
        <v/>
      </c>
      <c r="I115" s="19" t="str">
        <f t="shared" si="19"/>
        <v/>
      </c>
      <c r="J115" s="19" t="str">
        <f t="shared" si="21"/>
        <v/>
      </c>
      <c r="K115" s="18" t="str">
        <f t="shared" si="22"/>
        <v/>
      </c>
    </row>
    <row r="116" spans="3:11" x14ac:dyDescent="0.25">
      <c r="C116" s="23"/>
      <c r="D116" s="22"/>
      <c r="E116" s="21" t="str">
        <f t="shared" si="16"/>
        <v/>
      </c>
      <c r="F116" s="21" t="str">
        <f t="shared" si="17"/>
        <v/>
      </c>
      <c r="G116" s="21" t="str">
        <f t="shared" si="18"/>
        <v/>
      </c>
      <c r="H116" s="20" t="str">
        <f t="shared" si="20"/>
        <v/>
      </c>
      <c r="I116" s="19" t="str">
        <f t="shared" si="19"/>
        <v/>
      </c>
      <c r="J116" s="19" t="str">
        <f t="shared" si="21"/>
        <v/>
      </c>
      <c r="K116" s="18" t="str">
        <f t="shared" si="22"/>
        <v/>
      </c>
    </row>
    <row r="117" spans="3:11" x14ac:dyDescent="0.25">
      <c r="C117" s="23"/>
      <c r="D117" s="22"/>
      <c r="E117" s="21" t="str">
        <f t="shared" si="16"/>
        <v/>
      </c>
      <c r="F117" s="21" t="str">
        <f t="shared" si="17"/>
        <v/>
      </c>
      <c r="G117" s="21" t="str">
        <f t="shared" si="18"/>
        <v/>
      </c>
      <c r="H117" s="20" t="str">
        <f t="shared" si="20"/>
        <v/>
      </c>
      <c r="I117" s="19" t="str">
        <f t="shared" si="19"/>
        <v/>
      </c>
      <c r="J117" s="19" t="str">
        <f t="shared" si="21"/>
        <v/>
      </c>
      <c r="K117" s="18" t="str">
        <f t="shared" si="22"/>
        <v/>
      </c>
    </row>
    <row r="118" spans="3:11" x14ac:dyDescent="0.25">
      <c r="C118" s="23"/>
      <c r="D118" s="22"/>
      <c r="E118" s="21" t="str">
        <f t="shared" si="16"/>
        <v/>
      </c>
      <c r="F118" s="21" t="str">
        <f t="shared" si="17"/>
        <v/>
      </c>
      <c r="G118" s="21" t="str">
        <f t="shared" si="18"/>
        <v/>
      </c>
      <c r="H118" s="20" t="str">
        <f t="shared" si="20"/>
        <v/>
      </c>
      <c r="I118" s="19" t="str">
        <f t="shared" si="19"/>
        <v/>
      </c>
      <c r="J118" s="19" t="str">
        <f t="shared" si="21"/>
        <v/>
      </c>
      <c r="K118" s="18" t="str">
        <f t="shared" si="22"/>
        <v/>
      </c>
    </row>
    <row r="119" spans="3:11" x14ac:dyDescent="0.25">
      <c r="C119" s="23"/>
      <c r="D119" s="22"/>
      <c r="E119" s="21" t="str">
        <f t="shared" si="16"/>
        <v/>
      </c>
      <c r="F119" s="21" t="str">
        <f t="shared" si="17"/>
        <v/>
      </c>
      <c r="G119" s="21" t="str">
        <f t="shared" si="18"/>
        <v/>
      </c>
      <c r="H119" s="20" t="str">
        <f t="shared" si="20"/>
        <v/>
      </c>
      <c r="I119" s="19" t="str">
        <f t="shared" si="19"/>
        <v/>
      </c>
      <c r="J119" s="19" t="str">
        <f t="shared" si="21"/>
        <v/>
      </c>
      <c r="K119" s="18" t="str">
        <f t="shared" si="22"/>
        <v/>
      </c>
    </row>
    <row r="120" spans="3:11" x14ac:dyDescent="0.25">
      <c r="C120" s="23"/>
      <c r="D120" s="22"/>
      <c r="E120" s="21" t="str">
        <f t="shared" si="16"/>
        <v/>
      </c>
      <c r="F120" s="21" t="str">
        <f t="shared" si="17"/>
        <v/>
      </c>
      <c r="G120" s="21" t="str">
        <f t="shared" si="18"/>
        <v/>
      </c>
      <c r="H120" s="20" t="str">
        <f t="shared" si="20"/>
        <v/>
      </c>
      <c r="I120" s="19" t="str">
        <f t="shared" si="19"/>
        <v/>
      </c>
      <c r="J120" s="19" t="str">
        <f t="shared" si="21"/>
        <v/>
      </c>
      <c r="K120" s="18" t="str">
        <f t="shared" si="22"/>
        <v/>
      </c>
    </row>
    <row r="121" spans="3:11" x14ac:dyDescent="0.25">
      <c r="C121" s="23"/>
      <c r="D121" s="22"/>
      <c r="E121" s="21" t="str">
        <f t="shared" si="16"/>
        <v/>
      </c>
      <c r="F121" s="21" t="str">
        <f t="shared" si="17"/>
        <v/>
      </c>
      <c r="G121" s="21" t="str">
        <f t="shared" si="18"/>
        <v/>
      </c>
      <c r="H121" s="20" t="str">
        <f t="shared" si="20"/>
        <v/>
      </c>
      <c r="I121" s="19" t="str">
        <f t="shared" si="19"/>
        <v/>
      </c>
      <c r="J121" s="19" t="str">
        <f t="shared" si="21"/>
        <v/>
      </c>
      <c r="K121" s="18" t="str">
        <f t="shared" si="22"/>
        <v/>
      </c>
    </row>
    <row r="122" spans="3:11" x14ac:dyDescent="0.25">
      <c r="C122" s="23"/>
      <c r="D122" s="22"/>
      <c r="E122" s="21" t="str">
        <f t="shared" si="16"/>
        <v/>
      </c>
      <c r="F122" s="21" t="str">
        <f t="shared" si="17"/>
        <v/>
      </c>
      <c r="G122" s="21" t="str">
        <f t="shared" si="18"/>
        <v/>
      </c>
      <c r="H122" s="20" t="str">
        <f t="shared" si="20"/>
        <v/>
      </c>
      <c r="I122" s="19" t="str">
        <f t="shared" si="19"/>
        <v/>
      </c>
      <c r="J122" s="19" t="str">
        <f t="shared" si="21"/>
        <v/>
      </c>
      <c r="K122" s="18" t="str">
        <f t="shared" si="22"/>
        <v/>
      </c>
    </row>
    <row r="123" spans="3:11" x14ac:dyDescent="0.25">
      <c r="C123" s="23"/>
      <c r="D123" s="22"/>
      <c r="E123" s="21" t="str">
        <f t="shared" si="16"/>
        <v/>
      </c>
      <c r="F123" s="21" t="str">
        <f t="shared" si="17"/>
        <v/>
      </c>
      <c r="G123" s="21" t="str">
        <f t="shared" si="18"/>
        <v/>
      </c>
      <c r="H123" s="20" t="str">
        <f t="shared" si="20"/>
        <v/>
      </c>
      <c r="I123" s="19" t="str">
        <f t="shared" si="19"/>
        <v/>
      </c>
      <c r="J123" s="19" t="str">
        <f t="shared" si="21"/>
        <v/>
      </c>
      <c r="K123" s="18" t="str">
        <f t="shared" si="22"/>
        <v/>
      </c>
    </row>
    <row r="124" spans="3:11" x14ac:dyDescent="0.25">
      <c r="C124" s="23"/>
      <c r="D124" s="22"/>
      <c r="E124" s="21" t="str">
        <f t="shared" si="16"/>
        <v/>
      </c>
      <c r="F124" s="21" t="str">
        <f t="shared" si="17"/>
        <v/>
      </c>
      <c r="G124" s="21" t="str">
        <f t="shared" si="18"/>
        <v/>
      </c>
      <c r="H124" s="20" t="str">
        <f t="shared" si="20"/>
        <v/>
      </c>
      <c r="I124" s="19" t="str">
        <f t="shared" si="19"/>
        <v/>
      </c>
      <c r="J124" s="19" t="str">
        <f t="shared" si="21"/>
        <v/>
      </c>
      <c r="K124" s="18" t="str">
        <f t="shared" si="22"/>
        <v/>
      </c>
    </row>
    <row r="125" spans="3:11" x14ac:dyDescent="0.25">
      <c r="C125" s="23"/>
      <c r="D125" s="22"/>
      <c r="E125" s="21" t="str">
        <f t="shared" si="16"/>
        <v/>
      </c>
      <c r="F125" s="21" t="str">
        <f t="shared" si="17"/>
        <v/>
      </c>
      <c r="G125" s="21" t="str">
        <f t="shared" si="18"/>
        <v/>
      </c>
      <c r="H125" s="20" t="str">
        <f t="shared" si="20"/>
        <v/>
      </c>
      <c r="I125" s="19" t="str">
        <f t="shared" si="19"/>
        <v/>
      </c>
      <c r="J125" s="19" t="str">
        <f t="shared" si="21"/>
        <v/>
      </c>
      <c r="K125" s="18" t="str">
        <f t="shared" si="22"/>
        <v/>
      </c>
    </row>
    <row r="126" spans="3:11" x14ac:dyDescent="0.25">
      <c r="C126" s="23"/>
      <c r="D126" s="22"/>
      <c r="E126" s="21" t="str">
        <f t="shared" si="16"/>
        <v/>
      </c>
      <c r="F126" s="21" t="str">
        <f t="shared" si="17"/>
        <v/>
      </c>
      <c r="G126" s="21" t="str">
        <f t="shared" si="18"/>
        <v/>
      </c>
      <c r="H126" s="20" t="str">
        <f t="shared" si="20"/>
        <v/>
      </c>
      <c r="I126" s="19" t="str">
        <f t="shared" si="19"/>
        <v/>
      </c>
      <c r="J126" s="19" t="str">
        <f t="shared" si="21"/>
        <v/>
      </c>
      <c r="K126" s="18" t="str">
        <f t="shared" si="22"/>
        <v/>
      </c>
    </row>
    <row r="127" spans="3:11" x14ac:dyDescent="0.25">
      <c r="C127" s="23"/>
      <c r="D127" s="22"/>
      <c r="E127" s="21" t="str">
        <f t="shared" si="16"/>
        <v/>
      </c>
      <c r="F127" s="21" t="str">
        <f t="shared" si="17"/>
        <v/>
      </c>
      <c r="G127" s="21" t="str">
        <f t="shared" si="18"/>
        <v/>
      </c>
      <c r="H127" s="20" t="str">
        <f t="shared" si="20"/>
        <v/>
      </c>
      <c r="I127" s="19" t="str">
        <f t="shared" si="19"/>
        <v/>
      </c>
      <c r="J127" s="19" t="str">
        <f t="shared" si="21"/>
        <v/>
      </c>
      <c r="K127" s="18" t="str">
        <f t="shared" si="22"/>
        <v/>
      </c>
    </row>
    <row r="128" spans="3:11" x14ac:dyDescent="0.25">
      <c r="C128" s="23"/>
      <c r="D128" s="22"/>
      <c r="E128" s="21" t="str">
        <f t="shared" si="16"/>
        <v/>
      </c>
      <c r="F128" s="21" t="str">
        <f t="shared" si="17"/>
        <v/>
      </c>
      <c r="G128" s="21" t="str">
        <f t="shared" si="18"/>
        <v/>
      </c>
      <c r="H128" s="20" t="str">
        <f t="shared" si="20"/>
        <v/>
      </c>
      <c r="I128" s="19" t="str">
        <f t="shared" si="19"/>
        <v/>
      </c>
      <c r="J128" s="19" t="str">
        <f t="shared" si="21"/>
        <v/>
      </c>
      <c r="K128" s="18" t="str">
        <f t="shared" si="22"/>
        <v/>
      </c>
    </row>
    <row r="129" spans="3:11" x14ac:dyDescent="0.25">
      <c r="C129" s="23"/>
      <c r="D129" s="22"/>
      <c r="E129" s="21" t="str">
        <f t="shared" si="16"/>
        <v/>
      </c>
      <c r="F129" s="21" t="str">
        <f t="shared" si="17"/>
        <v/>
      </c>
      <c r="G129" s="21" t="str">
        <f t="shared" si="18"/>
        <v/>
      </c>
      <c r="H129" s="20" t="str">
        <f t="shared" si="20"/>
        <v/>
      </c>
      <c r="I129" s="19" t="str">
        <f t="shared" si="19"/>
        <v/>
      </c>
      <c r="J129" s="19" t="str">
        <f t="shared" si="21"/>
        <v/>
      </c>
      <c r="K129" s="18" t="str">
        <f t="shared" si="22"/>
        <v/>
      </c>
    </row>
    <row r="130" spans="3:11" x14ac:dyDescent="0.25">
      <c r="C130" s="23"/>
      <c r="D130" s="22"/>
      <c r="E130" s="21" t="str">
        <f t="shared" si="16"/>
        <v/>
      </c>
      <c r="F130" s="21" t="str">
        <f t="shared" si="17"/>
        <v/>
      </c>
      <c r="G130" s="21" t="str">
        <f t="shared" si="18"/>
        <v/>
      </c>
      <c r="H130" s="20" t="str">
        <f t="shared" si="20"/>
        <v/>
      </c>
      <c r="I130" s="19" t="str">
        <f t="shared" si="19"/>
        <v/>
      </c>
      <c r="J130" s="19" t="str">
        <f t="shared" si="21"/>
        <v/>
      </c>
      <c r="K130" s="18" t="str">
        <f t="shared" si="22"/>
        <v/>
      </c>
    </row>
    <row r="131" spans="3:11" x14ac:dyDescent="0.25">
      <c r="C131" s="23"/>
      <c r="D131" s="22"/>
      <c r="E131" s="21" t="str">
        <f t="shared" si="16"/>
        <v/>
      </c>
      <c r="F131" s="21" t="str">
        <f t="shared" si="17"/>
        <v/>
      </c>
      <c r="G131" s="21" t="str">
        <f t="shared" si="18"/>
        <v/>
      </c>
      <c r="H131" s="20" t="str">
        <f t="shared" si="20"/>
        <v/>
      </c>
      <c r="I131" s="19" t="str">
        <f t="shared" si="19"/>
        <v/>
      </c>
      <c r="J131" s="19" t="str">
        <f t="shared" si="21"/>
        <v/>
      </c>
      <c r="K131" s="18" t="str">
        <f t="shared" si="22"/>
        <v/>
      </c>
    </row>
    <row r="132" spans="3:11" x14ac:dyDescent="0.25">
      <c r="C132" s="23"/>
      <c r="D132" s="22"/>
      <c r="E132" s="21" t="str">
        <f t="shared" si="16"/>
        <v/>
      </c>
      <c r="F132" s="21" t="str">
        <f t="shared" si="17"/>
        <v/>
      </c>
      <c r="G132" s="21" t="str">
        <f t="shared" si="18"/>
        <v/>
      </c>
      <c r="H132" s="20" t="str">
        <f t="shared" si="20"/>
        <v/>
      </c>
      <c r="I132" s="19" t="str">
        <f t="shared" si="19"/>
        <v/>
      </c>
      <c r="J132" s="19" t="str">
        <f t="shared" si="21"/>
        <v/>
      </c>
      <c r="K132" s="18" t="str">
        <f t="shared" si="22"/>
        <v/>
      </c>
    </row>
    <row r="133" spans="3:11" x14ac:dyDescent="0.25">
      <c r="C133" s="23"/>
      <c r="D133" s="22"/>
      <c r="E133" s="21" t="str">
        <f t="shared" si="16"/>
        <v/>
      </c>
      <c r="F133" s="21" t="str">
        <f t="shared" si="17"/>
        <v/>
      </c>
      <c r="G133" s="21" t="str">
        <f t="shared" si="18"/>
        <v/>
      </c>
      <c r="H133" s="20" t="str">
        <f t="shared" si="20"/>
        <v/>
      </c>
      <c r="I133" s="19" t="str">
        <f t="shared" si="19"/>
        <v/>
      </c>
      <c r="J133" s="19" t="str">
        <f t="shared" si="21"/>
        <v/>
      </c>
      <c r="K133" s="18" t="str">
        <f t="shared" si="22"/>
        <v/>
      </c>
    </row>
    <row r="134" spans="3:11" x14ac:dyDescent="0.25">
      <c r="C134" s="23"/>
      <c r="D134" s="22"/>
      <c r="E134" s="21" t="str">
        <f t="shared" si="16"/>
        <v/>
      </c>
      <c r="F134" s="21" t="str">
        <f t="shared" si="17"/>
        <v/>
      </c>
      <c r="G134" s="21" t="str">
        <f t="shared" si="18"/>
        <v/>
      </c>
      <c r="H134" s="20" t="str">
        <f t="shared" si="20"/>
        <v/>
      </c>
      <c r="I134" s="19" t="str">
        <f t="shared" si="19"/>
        <v/>
      </c>
      <c r="J134" s="19" t="str">
        <f t="shared" si="21"/>
        <v/>
      </c>
      <c r="K134" s="18" t="str">
        <f t="shared" si="22"/>
        <v/>
      </c>
    </row>
    <row r="135" spans="3:11" x14ac:dyDescent="0.25">
      <c r="C135" s="23"/>
      <c r="D135" s="22"/>
      <c r="E135" s="21" t="str">
        <f t="shared" si="16"/>
        <v/>
      </c>
      <c r="F135" s="21" t="str">
        <f t="shared" si="17"/>
        <v/>
      </c>
      <c r="G135" s="21" t="str">
        <f t="shared" si="18"/>
        <v/>
      </c>
      <c r="H135" s="20" t="str">
        <f t="shared" si="20"/>
        <v/>
      </c>
      <c r="I135" s="19" t="str">
        <f t="shared" si="19"/>
        <v/>
      </c>
      <c r="J135" s="19" t="str">
        <f t="shared" si="21"/>
        <v/>
      </c>
      <c r="K135" s="18" t="str">
        <f t="shared" si="22"/>
        <v/>
      </c>
    </row>
    <row r="136" spans="3:11" x14ac:dyDescent="0.25">
      <c r="C136" s="23"/>
      <c r="D136" s="22"/>
      <c r="E136" s="21" t="str">
        <f t="shared" ref="E136:E199" si="23">MID(C136,LEN("UTC ")+1,LEN("UTC - "))</f>
        <v/>
      </c>
      <c r="F136" s="21" t="str">
        <f t="shared" ref="F136:F199" si="24">IF(D136="Y",E136+1,E136)</f>
        <v/>
      </c>
      <c r="G136" s="21" t="str">
        <f t="shared" ref="G136:G199" si="25">IF(F136="","",IF(rDST="N",F136,F136+1))</f>
        <v/>
      </c>
      <c r="H136" s="20" t="str">
        <f t="shared" si="20"/>
        <v/>
      </c>
      <c r="I136" s="19" t="str">
        <f t="shared" ref="I136:I199" si="26">IF(B136="","",IF(F136&lt;0,rGreenwich-TIME(ABS(F136),(H136),0),rGreenwich+TIME(ABS(F136),(H136),0)))</f>
        <v/>
      </c>
      <c r="J136" s="19" t="str">
        <f t="shared" si="21"/>
        <v/>
      </c>
      <c r="K136" s="18" t="str">
        <f t="shared" si="22"/>
        <v/>
      </c>
    </row>
    <row r="137" spans="3:11" x14ac:dyDescent="0.25">
      <c r="C137" s="23"/>
      <c r="D137" s="22"/>
      <c r="E137" s="21" t="str">
        <f t="shared" si="23"/>
        <v/>
      </c>
      <c r="F137" s="21" t="str">
        <f t="shared" si="24"/>
        <v/>
      </c>
      <c r="G137" s="21" t="str">
        <f t="shared" si="25"/>
        <v/>
      </c>
      <c r="H137" s="20" t="str">
        <f t="shared" si="20"/>
        <v/>
      </c>
      <c r="I137" s="19" t="str">
        <f t="shared" si="26"/>
        <v/>
      </c>
      <c r="J137" s="19" t="str">
        <f t="shared" si="21"/>
        <v/>
      </c>
      <c r="K137" s="18" t="str">
        <f t="shared" si="22"/>
        <v/>
      </c>
    </row>
    <row r="138" spans="3:11" x14ac:dyDescent="0.25">
      <c r="C138" s="23"/>
      <c r="D138" s="22"/>
      <c r="E138" s="21" t="str">
        <f t="shared" si="23"/>
        <v/>
      </c>
      <c r="F138" s="21" t="str">
        <f t="shared" si="24"/>
        <v/>
      </c>
      <c r="G138" s="21" t="str">
        <f t="shared" si="25"/>
        <v/>
      </c>
      <c r="H138" s="20" t="str">
        <f t="shared" si="20"/>
        <v/>
      </c>
      <c r="I138" s="19" t="str">
        <f t="shared" si="26"/>
        <v/>
      </c>
      <c r="J138" s="19" t="str">
        <f t="shared" si="21"/>
        <v/>
      </c>
      <c r="K138" s="18" t="str">
        <f t="shared" si="22"/>
        <v/>
      </c>
    </row>
    <row r="139" spans="3:11" x14ac:dyDescent="0.25">
      <c r="C139" s="23"/>
      <c r="D139" s="22"/>
      <c r="E139" s="21" t="str">
        <f t="shared" si="23"/>
        <v/>
      </c>
      <c r="F139" s="21" t="str">
        <f t="shared" si="24"/>
        <v/>
      </c>
      <c r="G139" s="21" t="str">
        <f t="shared" si="25"/>
        <v/>
      </c>
      <c r="H139" s="20" t="str">
        <f t="shared" si="20"/>
        <v/>
      </c>
      <c r="I139" s="19" t="str">
        <f t="shared" si="26"/>
        <v/>
      </c>
      <c r="J139" s="19" t="str">
        <f t="shared" si="21"/>
        <v/>
      </c>
      <c r="K139" s="18" t="str">
        <f t="shared" si="22"/>
        <v/>
      </c>
    </row>
    <row r="140" spans="3:11" x14ac:dyDescent="0.25">
      <c r="C140" s="23"/>
      <c r="D140" s="22"/>
      <c r="E140" s="21" t="str">
        <f t="shared" si="23"/>
        <v/>
      </c>
      <c r="F140" s="21" t="str">
        <f t="shared" si="24"/>
        <v/>
      </c>
      <c r="G140" s="21" t="str">
        <f t="shared" si="25"/>
        <v/>
      </c>
      <c r="H140" s="20" t="str">
        <f t="shared" si="20"/>
        <v/>
      </c>
      <c r="I140" s="19" t="str">
        <f t="shared" si="26"/>
        <v/>
      </c>
      <c r="J140" s="19" t="str">
        <f t="shared" si="21"/>
        <v/>
      </c>
      <c r="K140" s="18" t="str">
        <f t="shared" si="22"/>
        <v/>
      </c>
    </row>
    <row r="141" spans="3:11" x14ac:dyDescent="0.25">
      <c r="C141" s="23"/>
      <c r="D141" s="22"/>
      <c r="E141" s="21" t="str">
        <f t="shared" si="23"/>
        <v/>
      </c>
      <c r="F141" s="21" t="str">
        <f t="shared" si="24"/>
        <v/>
      </c>
      <c r="G141" s="21" t="str">
        <f t="shared" si="25"/>
        <v/>
      </c>
      <c r="H141" s="20" t="str">
        <f t="shared" si="20"/>
        <v/>
      </c>
      <c r="I141" s="19" t="str">
        <f t="shared" si="26"/>
        <v/>
      </c>
      <c r="J141" s="19" t="str">
        <f t="shared" si="21"/>
        <v/>
      </c>
      <c r="K141" s="18" t="str">
        <f t="shared" si="22"/>
        <v/>
      </c>
    </row>
    <row r="142" spans="3:11" x14ac:dyDescent="0.25">
      <c r="C142" s="23"/>
      <c r="D142" s="22"/>
      <c r="E142" s="21" t="str">
        <f t="shared" si="23"/>
        <v/>
      </c>
      <c r="F142" s="21" t="str">
        <f t="shared" si="24"/>
        <v/>
      </c>
      <c r="G142" s="21" t="str">
        <f t="shared" si="25"/>
        <v/>
      </c>
      <c r="H142" s="20" t="str">
        <f t="shared" si="20"/>
        <v/>
      </c>
      <c r="I142" s="19" t="str">
        <f t="shared" si="26"/>
        <v/>
      </c>
      <c r="J142" s="19" t="str">
        <f t="shared" si="21"/>
        <v/>
      </c>
      <c r="K142" s="18" t="str">
        <f t="shared" si="22"/>
        <v/>
      </c>
    </row>
    <row r="143" spans="3:11" x14ac:dyDescent="0.25">
      <c r="C143" s="23"/>
      <c r="D143" s="22"/>
      <c r="E143" s="21" t="str">
        <f t="shared" si="23"/>
        <v/>
      </c>
      <c r="F143" s="21" t="str">
        <f t="shared" si="24"/>
        <v/>
      </c>
      <c r="G143" s="21" t="str">
        <f t="shared" si="25"/>
        <v/>
      </c>
      <c r="H143" s="20" t="str">
        <f t="shared" si="20"/>
        <v/>
      </c>
      <c r="I143" s="19" t="str">
        <f t="shared" si="26"/>
        <v/>
      </c>
      <c r="J143" s="19" t="str">
        <f t="shared" si="21"/>
        <v/>
      </c>
      <c r="K143" s="18" t="str">
        <f t="shared" si="22"/>
        <v/>
      </c>
    </row>
    <row r="144" spans="3:11" x14ac:dyDescent="0.25">
      <c r="C144" s="23"/>
      <c r="D144" s="22"/>
      <c r="E144" s="21" t="str">
        <f t="shared" si="23"/>
        <v/>
      </c>
      <c r="F144" s="21" t="str">
        <f t="shared" si="24"/>
        <v/>
      </c>
      <c r="G144" s="21" t="str">
        <f t="shared" si="25"/>
        <v/>
      </c>
      <c r="H144" s="20" t="str">
        <f t="shared" si="20"/>
        <v/>
      </c>
      <c r="I144" s="19" t="str">
        <f t="shared" si="26"/>
        <v/>
      </c>
      <c r="J144" s="19" t="str">
        <f t="shared" si="21"/>
        <v/>
      </c>
      <c r="K144" s="18" t="str">
        <f t="shared" si="22"/>
        <v/>
      </c>
    </row>
    <row r="145" spans="3:11" x14ac:dyDescent="0.25">
      <c r="C145" s="23"/>
      <c r="D145" s="22"/>
      <c r="E145" s="21" t="str">
        <f t="shared" si="23"/>
        <v/>
      </c>
      <c r="F145" s="21" t="str">
        <f t="shared" si="24"/>
        <v/>
      </c>
      <c r="G145" s="21" t="str">
        <f t="shared" si="25"/>
        <v/>
      </c>
      <c r="H145" s="20" t="str">
        <f t="shared" si="20"/>
        <v/>
      </c>
      <c r="I145" s="19" t="str">
        <f t="shared" si="26"/>
        <v/>
      </c>
      <c r="J145" s="19" t="str">
        <f t="shared" si="21"/>
        <v/>
      </c>
      <c r="K145" s="18" t="str">
        <f t="shared" si="22"/>
        <v/>
      </c>
    </row>
    <row r="146" spans="3:11" x14ac:dyDescent="0.25">
      <c r="C146" s="23"/>
      <c r="D146" s="22"/>
      <c r="E146" s="21" t="str">
        <f t="shared" si="23"/>
        <v/>
      </c>
      <c r="F146" s="21" t="str">
        <f t="shared" si="24"/>
        <v/>
      </c>
      <c r="G146" s="21" t="str">
        <f t="shared" si="25"/>
        <v/>
      </c>
      <c r="H146" s="20" t="str">
        <f t="shared" si="20"/>
        <v/>
      </c>
      <c r="I146" s="19" t="str">
        <f t="shared" si="26"/>
        <v/>
      </c>
      <c r="J146" s="19" t="str">
        <f t="shared" si="21"/>
        <v/>
      </c>
      <c r="K146" s="18" t="str">
        <f t="shared" si="22"/>
        <v/>
      </c>
    </row>
    <row r="147" spans="3:11" x14ac:dyDescent="0.25">
      <c r="C147" s="23"/>
      <c r="D147" s="22"/>
      <c r="E147" s="21" t="str">
        <f t="shared" si="23"/>
        <v/>
      </c>
      <c r="F147" s="21" t="str">
        <f t="shared" si="24"/>
        <v/>
      </c>
      <c r="G147" s="21" t="str">
        <f t="shared" si="25"/>
        <v/>
      </c>
      <c r="H147" s="20" t="str">
        <f t="shared" si="20"/>
        <v/>
      </c>
      <c r="I147" s="19" t="str">
        <f t="shared" si="26"/>
        <v/>
      </c>
      <c r="J147" s="19" t="str">
        <f t="shared" si="21"/>
        <v/>
      </c>
      <c r="K147" s="18" t="str">
        <f t="shared" si="22"/>
        <v/>
      </c>
    </row>
    <row r="148" spans="3:11" x14ac:dyDescent="0.25">
      <c r="C148" s="23"/>
      <c r="D148" s="22"/>
      <c r="E148" s="21" t="str">
        <f t="shared" si="23"/>
        <v/>
      </c>
      <c r="F148" s="21" t="str">
        <f t="shared" si="24"/>
        <v/>
      </c>
      <c r="G148" s="21" t="str">
        <f t="shared" si="25"/>
        <v/>
      </c>
      <c r="H148" s="20" t="str">
        <f t="shared" si="20"/>
        <v/>
      </c>
      <c r="I148" s="19" t="str">
        <f t="shared" si="26"/>
        <v/>
      </c>
      <c r="J148" s="19" t="str">
        <f t="shared" si="21"/>
        <v/>
      </c>
      <c r="K148" s="18" t="str">
        <f t="shared" si="22"/>
        <v/>
      </c>
    </row>
    <row r="149" spans="3:11" x14ac:dyDescent="0.25">
      <c r="C149" s="23"/>
      <c r="D149" s="22"/>
      <c r="E149" s="21" t="str">
        <f t="shared" si="23"/>
        <v/>
      </c>
      <c r="F149" s="21" t="str">
        <f t="shared" si="24"/>
        <v/>
      </c>
      <c r="G149" s="21" t="str">
        <f t="shared" si="25"/>
        <v/>
      </c>
      <c r="H149" s="20" t="str">
        <f t="shared" si="20"/>
        <v/>
      </c>
      <c r="I149" s="19" t="str">
        <f t="shared" si="26"/>
        <v/>
      </c>
      <c r="J149" s="19" t="str">
        <f t="shared" si="21"/>
        <v/>
      </c>
      <c r="K149" s="18" t="str">
        <f t="shared" si="22"/>
        <v/>
      </c>
    </row>
    <row r="150" spans="3:11" x14ac:dyDescent="0.25">
      <c r="C150" s="23"/>
      <c r="D150" s="22"/>
      <c r="E150" s="21" t="str">
        <f t="shared" si="23"/>
        <v/>
      </c>
      <c r="F150" s="21" t="str">
        <f t="shared" si="24"/>
        <v/>
      </c>
      <c r="G150" s="21" t="str">
        <f t="shared" si="25"/>
        <v/>
      </c>
      <c r="H150" s="20" t="str">
        <f t="shared" si="20"/>
        <v/>
      </c>
      <c r="I150" s="19" t="str">
        <f t="shared" si="26"/>
        <v/>
      </c>
      <c r="J150" s="19" t="str">
        <f t="shared" si="21"/>
        <v/>
      </c>
      <c r="K150" s="18" t="str">
        <f t="shared" si="22"/>
        <v/>
      </c>
    </row>
    <row r="151" spans="3:11" x14ac:dyDescent="0.25">
      <c r="C151" s="23"/>
      <c r="D151" s="22"/>
      <c r="E151" s="21" t="str">
        <f t="shared" si="23"/>
        <v/>
      </c>
      <c r="F151" s="21" t="str">
        <f t="shared" si="24"/>
        <v/>
      </c>
      <c r="G151" s="21" t="str">
        <f t="shared" si="25"/>
        <v/>
      </c>
      <c r="H151" s="20" t="str">
        <f t="shared" si="20"/>
        <v/>
      </c>
      <c r="I151" s="19" t="str">
        <f t="shared" si="26"/>
        <v/>
      </c>
      <c r="J151" s="19" t="str">
        <f t="shared" si="21"/>
        <v/>
      </c>
      <c r="K151" s="18" t="str">
        <f t="shared" si="22"/>
        <v/>
      </c>
    </row>
    <row r="152" spans="3:11" x14ac:dyDescent="0.25">
      <c r="C152" s="23"/>
      <c r="D152" s="22"/>
      <c r="E152" s="21" t="str">
        <f t="shared" si="23"/>
        <v/>
      </c>
      <c r="F152" s="21" t="str">
        <f t="shared" si="24"/>
        <v/>
      </c>
      <c r="G152" s="21" t="str">
        <f t="shared" si="25"/>
        <v/>
      </c>
      <c r="H152" s="20" t="str">
        <f t="shared" si="20"/>
        <v/>
      </c>
      <c r="I152" s="19" t="str">
        <f t="shared" si="26"/>
        <v/>
      </c>
      <c r="J152" s="19" t="str">
        <f t="shared" si="21"/>
        <v/>
      </c>
      <c r="K152" s="18" t="str">
        <f t="shared" si="22"/>
        <v/>
      </c>
    </row>
    <row r="153" spans="3:11" x14ac:dyDescent="0.25">
      <c r="C153" s="23"/>
      <c r="D153" s="22"/>
      <c r="E153" s="21" t="str">
        <f t="shared" si="23"/>
        <v/>
      </c>
      <c r="F153" s="21" t="str">
        <f t="shared" si="24"/>
        <v/>
      </c>
      <c r="G153" s="21" t="str">
        <f t="shared" si="25"/>
        <v/>
      </c>
      <c r="H153" s="20" t="str">
        <f t="shared" si="20"/>
        <v/>
      </c>
      <c r="I153" s="19" t="str">
        <f t="shared" si="26"/>
        <v/>
      </c>
      <c r="J153" s="19" t="str">
        <f t="shared" si="21"/>
        <v/>
      </c>
      <c r="K153" s="18" t="str">
        <f t="shared" si="22"/>
        <v/>
      </c>
    </row>
    <row r="154" spans="3:11" x14ac:dyDescent="0.25">
      <c r="C154" s="23"/>
      <c r="D154" s="22"/>
      <c r="E154" s="21" t="str">
        <f t="shared" si="23"/>
        <v/>
      </c>
      <c r="F154" s="21" t="str">
        <f t="shared" si="24"/>
        <v/>
      </c>
      <c r="G154" s="21" t="str">
        <f t="shared" si="25"/>
        <v/>
      </c>
      <c r="H154" s="20" t="str">
        <f t="shared" si="20"/>
        <v/>
      </c>
      <c r="I154" s="19" t="str">
        <f t="shared" si="26"/>
        <v/>
      </c>
      <c r="J154" s="19" t="str">
        <f t="shared" si="21"/>
        <v/>
      </c>
      <c r="K154" s="18" t="str">
        <f t="shared" si="22"/>
        <v/>
      </c>
    </row>
    <row r="155" spans="3:11" x14ac:dyDescent="0.25">
      <c r="C155" s="23"/>
      <c r="D155" s="22"/>
      <c r="E155" s="21" t="str">
        <f t="shared" si="23"/>
        <v/>
      </c>
      <c r="F155" s="21" t="str">
        <f t="shared" si="24"/>
        <v/>
      </c>
      <c r="G155" s="21" t="str">
        <f t="shared" si="25"/>
        <v/>
      </c>
      <c r="H155" s="20" t="str">
        <f t="shared" si="20"/>
        <v/>
      </c>
      <c r="I155" s="19" t="str">
        <f t="shared" si="26"/>
        <v/>
      </c>
      <c r="J155" s="19" t="str">
        <f t="shared" si="21"/>
        <v/>
      </c>
      <c r="K155" s="18" t="str">
        <f t="shared" si="22"/>
        <v/>
      </c>
    </row>
    <row r="156" spans="3:11" x14ac:dyDescent="0.25">
      <c r="C156" s="23"/>
      <c r="D156" s="22"/>
      <c r="E156" s="21" t="str">
        <f t="shared" si="23"/>
        <v/>
      </c>
      <c r="F156" s="21" t="str">
        <f t="shared" si="24"/>
        <v/>
      </c>
      <c r="G156" s="21" t="str">
        <f t="shared" si="25"/>
        <v/>
      </c>
      <c r="H156" s="20" t="str">
        <f t="shared" si="20"/>
        <v/>
      </c>
      <c r="I156" s="19" t="str">
        <f t="shared" si="26"/>
        <v/>
      </c>
      <c r="J156" s="19" t="str">
        <f t="shared" si="21"/>
        <v/>
      </c>
      <c r="K156" s="18" t="str">
        <f t="shared" si="22"/>
        <v/>
      </c>
    </row>
    <row r="157" spans="3:11" x14ac:dyDescent="0.25">
      <c r="C157" s="23"/>
      <c r="D157" s="22"/>
      <c r="E157" s="21" t="str">
        <f t="shared" si="23"/>
        <v/>
      </c>
      <c r="F157" s="21" t="str">
        <f t="shared" si="24"/>
        <v/>
      </c>
      <c r="G157" s="21" t="str">
        <f t="shared" si="25"/>
        <v/>
      </c>
      <c r="H157" s="20" t="str">
        <f t="shared" si="20"/>
        <v/>
      </c>
      <c r="I157" s="19" t="str">
        <f t="shared" si="26"/>
        <v/>
      </c>
      <c r="J157" s="19" t="str">
        <f t="shared" si="21"/>
        <v/>
      </c>
      <c r="K157" s="18" t="str">
        <f t="shared" si="22"/>
        <v/>
      </c>
    </row>
    <row r="158" spans="3:11" x14ac:dyDescent="0.25">
      <c r="C158" s="23"/>
      <c r="D158" s="22"/>
      <c r="E158" s="21" t="str">
        <f t="shared" si="23"/>
        <v/>
      </c>
      <c r="F158" s="21" t="str">
        <f t="shared" si="24"/>
        <v/>
      </c>
      <c r="G158" s="21" t="str">
        <f t="shared" si="25"/>
        <v/>
      </c>
      <c r="H158" s="20" t="str">
        <f t="shared" si="20"/>
        <v/>
      </c>
      <c r="I158" s="19" t="str">
        <f t="shared" si="26"/>
        <v/>
      </c>
      <c r="J158" s="19" t="str">
        <f t="shared" si="21"/>
        <v/>
      </c>
      <c r="K158" s="18" t="str">
        <f t="shared" si="22"/>
        <v/>
      </c>
    </row>
    <row r="159" spans="3:11" x14ac:dyDescent="0.25">
      <c r="C159" s="23"/>
      <c r="D159" s="22"/>
      <c r="E159" s="21" t="str">
        <f t="shared" si="23"/>
        <v/>
      </c>
      <c r="F159" s="21" t="str">
        <f t="shared" si="24"/>
        <v/>
      </c>
      <c r="G159" s="21" t="str">
        <f t="shared" si="25"/>
        <v/>
      </c>
      <c r="H159" s="20" t="str">
        <f t="shared" si="20"/>
        <v/>
      </c>
      <c r="I159" s="19" t="str">
        <f t="shared" si="26"/>
        <v/>
      </c>
      <c r="J159" s="19" t="str">
        <f t="shared" si="21"/>
        <v/>
      </c>
      <c r="K159" s="18" t="str">
        <f t="shared" si="22"/>
        <v/>
      </c>
    </row>
    <row r="160" spans="3:11" x14ac:dyDescent="0.25">
      <c r="C160" s="23"/>
      <c r="D160" s="22"/>
      <c r="E160" s="21" t="str">
        <f t="shared" si="23"/>
        <v/>
      </c>
      <c r="F160" s="21" t="str">
        <f t="shared" si="24"/>
        <v/>
      </c>
      <c r="G160" s="21" t="str">
        <f t="shared" si="25"/>
        <v/>
      </c>
      <c r="H160" s="20" t="str">
        <f t="shared" si="20"/>
        <v/>
      </c>
      <c r="I160" s="19" t="str">
        <f t="shared" si="26"/>
        <v/>
      </c>
      <c r="J160" s="19" t="str">
        <f t="shared" si="21"/>
        <v/>
      </c>
      <c r="K160" s="18" t="str">
        <f t="shared" si="22"/>
        <v/>
      </c>
    </row>
    <row r="161" spans="3:11" x14ac:dyDescent="0.25">
      <c r="C161" s="23"/>
      <c r="D161" s="22"/>
      <c r="E161" s="21" t="str">
        <f t="shared" si="23"/>
        <v/>
      </c>
      <c r="F161" s="21" t="str">
        <f t="shared" si="24"/>
        <v/>
      </c>
      <c r="G161" s="21" t="str">
        <f t="shared" si="25"/>
        <v/>
      </c>
      <c r="H161" s="20" t="str">
        <f t="shared" ref="H161:H224" si="27">IF(F161="","",MOD(F161,1)*60)</f>
        <v/>
      </c>
      <c r="I161" s="19" t="str">
        <f t="shared" si="26"/>
        <v/>
      </c>
      <c r="J161" s="19" t="str">
        <f t="shared" ref="J161:J224" si="28">IF(B161="","",I161+TIME(ABS($F$8),0,0))</f>
        <v/>
      </c>
      <c r="K161" s="18" t="str">
        <f t="shared" ref="K161:K224" si="29">IF(F161="","",ABS(T$12)+F161)</f>
        <v/>
      </c>
    </row>
    <row r="162" spans="3:11" x14ac:dyDescent="0.25">
      <c r="C162" s="23"/>
      <c r="D162" s="22"/>
      <c r="E162" s="21" t="str">
        <f t="shared" si="23"/>
        <v/>
      </c>
      <c r="F162" s="21" t="str">
        <f t="shared" si="24"/>
        <v/>
      </c>
      <c r="G162" s="21" t="str">
        <f t="shared" si="25"/>
        <v/>
      </c>
      <c r="H162" s="20" t="str">
        <f t="shared" si="27"/>
        <v/>
      </c>
      <c r="I162" s="19" t="str">
        <f t="shared" si="26"/>
        <v/>
      </c>
      <c r="J162" s="19" t="str">
        <f t="shared" si="28"/>
        <v/>
      </c>
      <c r="K162" s="18" t="str">
        <f t="shared" si="29"/>
        <v/>
      </c>
    </row>
    <row r="163" spans="3:11" x14ac:dyDescent="0.25">
      <c r="C163" s="23"/>
      <c r="D163" s="22"/>
      <c r="E163" s="21" t="str">
        <f t="shared" si="23"/>
        <v/>
      </c>
      <c r="F163" s="21" t="str">
        <f t="shared" si="24"/>
        <v/>
      </c>
      <c r="G163" s="21" t="str">
        <f t="shared" si="25"/>
        <v/>
      </c>
      <c r="H163" s="20" t="str">
        <f t="shared" si="27"/>
        <v/>
      </c>
      <c r="I163" s="19" t="str">
        <f t="shared" si="26"/>
        <v/>
      </c>
      <c r="J163" s="19" t="str">
        <f t="shared" si="28"/>
        <v/>
      </c>
      <c r="K163" s="18" t="str">
        <f t="shared" si="29"/>
        <v/>
      </c>
    </row>
    <row r="164" spans="3:11" x14ac:dyDescent="0.25">
      <c r="C164" s="23"/>
      <c r="D164" s="22"/>
      <c r="E164" s="21" t="str">
        <f t="shared" si="23"/>
        <v/>
      </c>
      <c r="F164" s="21" t="str">
        <f t="shared" si="24"/>
        <v/>
      </c>
      <c r="G164" s="21" t="str">
        <f t="shared" si="25"/>
        <v/>
      </c>
      <c r="H164" s="20" t="str">
        <f t="shared" si="27"/>
        <v/>
      </c>
      <c r="I164" s="19" t="str">
        <f t="shared" si="26"/>
        <v/>
      </c>
      <c r="J164" s="19" t="str">
        <f t="shared" si="28"/>
        <v/>
      </c>
      <c r="K164" s="18" t="str">
        <f t="shared" si="29"/>
        <v/>
      </c>
    </row>
    <row r="165" spans="3:11" x14ac:dyDescent="0.25">
      <c r="C165" s="23"/>
      <c r="D165" s="22"/>
      <c r="E165" s="21" t="str">
        <f t="shared" si="23"/>
        <v/>
      </c>
      <c r="F165" s="21" t="str">
        <f t="shared" si="24"/>
        <v/>
      </c>
      <c r="G165" s="21" t="str">
        <f t="shared" si="25"/>
        <v/>
      </c>
      <c r="H165" s="20" t="str">
        <f t="shared" si="27"/>
        <v/>
      </c>
      <c r="I165" s="19" t="str">
        <f t="shared" si="26"/>
        <v/>
      </c>
      <c r="J165" s="19" t="str">
        <f t="shared" si="28"/>
        <v/>
      </c>
      <c r="K165" s="18" t="str">
        <f t="shared" si="29"/>
        <v/>
      </c>
    </row>
    <row r="166" spans="3:11" x14ac:dyDescent="0.25">
      <c r="C166" s="23"/>
      <c r="D166" s="22"/>
      <c r="E166" s="21" t="str">
        <f t="shared" si="23"/>
        <v/>
      </c>
      <c r="F166" s="21" t="str">
        <f t="shared" si="24"/>
        <v/>
      </c>
      <c r="G166" s="21" t="str">
        <f t="shared" si="25"/>
        <v/>
      </c>
      <c r="H166" s="20" t="str">
        <f t="shared" si="27"/>
        <v/>
      </c>
      <c r="I166" s="19" t="str">
        <f t="shared" si="26"/>
        <v/>
      </c>
      <c r="J166" s="19" t="str">
        <f t="shared" si="28"/>
        <v/>
      </c>
      <c r="K166" s="18" t="str">
        <f t="shared" si="29"/>
        <v/>
      </c>
    </row>
    <row r="167" spans="3:11" x14ac:dyDescent="0.25">
      <c r="C167" s="23"/>
      <c r="D167" s="22"/>
      <c r="E167" s="21" t="str">
        <f t="shared" si="23"/>
        <v/>
      </c>
      <c r="F167" s="21" t="str">
        <f t="shared" si="24"/>
        <v/>
      </c>
      <c r="G167" s="21" t="str">
        <f t="shared" si="25"/>
        <v/>
      </c>
      <c r="H167" s="20" t="str">
        <f t="shared" si="27"/>
        <v/>
      </c>
      <c r="I167" s="19" t="str">
        <f t="shared" si="26"/>
        <v/>
      </c>
      <c r="J167" s="19" t="str">
        <f t="shared" si="28"/>
        <v/>
      </c>
      <c r="K167" s="18" t="str">
        <f t="shared" si="29"/>
        <v/>
      </c>
    </row>
    <row r="168" spans="3:11" x14ac:dyDescent="0.25">
      <c r="C168" s="23"/>
      <c r="D168" s="22"/>
      <c r="E168" s="21" t="str">
        <f t="shared" si="23"/>
        <v/>
      </c>
      <c r="F168" s="21" t="str">
        <f t="shared" si="24"/>
        <v/>
      </c>
      <c r="G168" s="21" t="str">
        <f t="shared" si="25"/>
        <v/>
      </c>
      <c r="H168" s="20" t="str">
        <f t="shared" si="27"/>
        <v/>
      </c>
      <c r="I168" s="19" t="str">
        <f t="shared" si="26"/>
        <v/>
      </c>
      <c r="J168" s="19" t="str">
        <f t="shared" si="28"/>
        <v/>
      </c>
      <c r="K168" s="18" t="str">
        <f t="shared" si="29"/>
        <v/>
      </c>
    </row>
    <row r="169" spans="3:11" x14ac:dyDescent="0.25">
      <c r="C169" s="23"/>
      <c r="D169" s="22"/>
      <c r="E169" s="21" t="str">
        <f t="shared" si="23"/>
        <v/>
      </c>
      <c r="F169" s="21" t="str">
        <f t="shared" si="24"/>
        <v/>
      </c>
      <c r="G169" s="21" t="str">
        <f t="shared" si="25"/>
        <v/>
      </c>
      <c r="H169" s="20" t="str">
        <f t="shared" si="27"/>
        <v/>
      </c>
      <c r="I169" s="19" t="str">
        <f t="shared" si="26"/>
        <v/>
      </c>
      <c r="J169" s="19" t="str">
        <f t="shared" si="28"/>
        <v/>
      </c>
      <c r="K169" s="18" t="str">
        <f t="shared" si="29"/>
        <v/>
      </c>
    </row>
    <row r="170" spans="3:11" x14ac:dyDescent="0.25">
      <c r="C170" s="23"/>
      <c r="D170" s="22"/>
      <c r="E170" s="21" t="str">
        <f t="shared" si="23"/>
        <v/>
      </c>
      <c r="F170" s="21" t="str">
        <f t="shared" si="24"/>
        <v/>
      </c>
      <c r="G170" s="21" t="str">
        <f t="shared" si="25"/>
        <v/>
      </c>
      <c r="H170" s="20" t="str">
        <f t="shared" si="27"/>
        <v/>
      </c>
      <c r="I170" s="19" t="str">
        <f t="shared" si="26"/>
        <v/>
      </c>
      <c r="J170" s="19" t="str">
        <f t="shared" si="28"/>
        <v/>
      </c>
      <c r="K170" s="18" t="str">
        <f t="shared" si="29"/>
        <v/>
      </c>
    </row>
    <row r="171" spans="3:11" x14ac:dyDescent="0.25">
      <c r="C171" s="23"/>
      <c r="D171" s="22"/>
      <c r="E171" s="21" t="str">
        <f t="shared" si="23"/>
        <v/>
      </c>
      <c r="F171" s="21" t="str">
        <f t="shared" si="24"/>
        <v/>
      </c>
      <c r="G171" s="21" t="str">
        <f t="shared" si="25"/>
        <v/>
      </c>
      <c r="H171" s="20" t="str">
        <f t="shared" si="27"/>
        <v/>
      </c>
      <c r="I171" s="19" t="str">
        <f t="shared" si="26"/>
        <v/>
      </c>
      <c r="J171" s="19" t="str">
        <f t="shared" si="28"/>
        <v/>
      </c>
      <c r="K171" s="18" t="str">
        <f t="shared" si="29"/>
        <v/>
      </c>
    </row>
    <row r="172" spans="3:11" x14ac:dyDescent="0.25">
      <c r="C172" s="23"/>
      <c r="D172" s="22"/>
      <c r="E172" s="21" t="str">
        <f t="shared" si="23"/>
        <v/>
      </c>
      <c r="F172" s="21" t="str">
        <f t="shared" si="24"/>
        <v/>
      </c>
      <c r="G172" s="21" t="str">
        <f t="shared" si="25"/>
        <v/>
      </c>
      <c r="H172" s="20" t="str">
        <f t="shared" si="27"/>
        <v/>
      </c>
      <c r="I172" s="19" t="str">
        <f t="shared" si="26"/>
        <v/>
      </c>
      <c r="J172" s="19" t="str">
        <f t="shared" si="28"/>
        <v/>
      </c>
      <c r="K172" s="18" t="str">
        <f t="shared" si="29"/>
        <v/>
      </c>
    </row>
    <row r="173" spans="3:11" x14ac:dyDescent="0.25">
      <c r="C173" s="23"/>
      <c r="D173" s="22"/>
      <c r="E173" s="21" t="str">
        <f t="shared" si="23"/>
        <v/>
      </c>
      <c r="F173" s="21" t="str">
        <f t="shared" si="24"/>
        <v/>
      </c>
      <c r="G173" s="21" t="str">
        <f t="shared" si="25"/>
        <v/>
      </c>
      <c r="H173" s="20" t="str">
        <f t="shared" si="27"/>
        <v/>
      </c>
      <c r="I173" s="19" t="str">
        <f t="shared" si="26"/>
        <v/>
      </c>
      <c r="J173" s="19" t="str">
        <f t="shared" si="28"/>
        <v/>
      </c>
      <c r="K173" s="18" t="str">
        <f t="shared" si="29"/>
        <v/>
      </c>
    </row>
    <row r="174" spans="3:11" x14ac:dyDescent="0.25">
      <c r="C174" s="23"/>
      <c r="D174" s="22"/>
      <c r="E174" s="21" t="str">
        <f t="shared" si="23"/>
        <v/>
      </c>
      <c r="F174" s="21" t="str">
        <f t="shared" si="24"/>
        <v/>
      </c>
      <c r="G174" s="21" t="str">
        <f t="shared" si="25"/>
        <v/>
      </c>
      <c r="H174" s="20" t="str">
        <f t="shared" si="27"/>
        <v/>
      </c>
      <c r="I174" s="19" t="str">
        <f t="shared" si="26"/>
        <v/>
      </c>
      <c r="J174" s="19" t="str">
        <f t="shared" si="28"/>
        <v/>
      </c>
      <c r="K174" s="18" t="str">
        <f t="shared" si="29"/>
        <v/>
      </c>
    </row>
    <row r="175" spans="3:11" x14ac:dyDescent="0.25">
      <c r="C175" s="23"/>
      <c r="D175" s="22"/>
      <c r="E175" s="21" t="str">
        <f t="shared" si="23"/>
        <v/>
      </c>
      <c r="F175" s="21" t="str">
        <f t="shared" si="24"/>
        <v/>
      </c>
      <c r="G175" s="21" t="str">
        <f t="shared" si="25"/>
        <v/>
      </c>
      <c r="H175" s="20" t="str">
        <f t="shared" si="27"/>
        <v/>
      </c>
      <c r="I175" s="19" t="str">
        <f t="shared" si="26"/>
        <v/>
      </c>
      <c r="J175" s="19" t="str">
        <f t="shared" si="28"/>
        <v/>
      </c>
      <c r="K175" s="18" t="str">
        <f t="shared" si="29"/>
        <v/>
      </c>
    </row>
    <row r="176" spans="3:11" x14ac:dyDescent="0.25">
      <c r="C176" s="23"/>
      <c r="D176" s="22"/>
      <c r="E176" s="21" t="str">
        <f t="shared" si="23"/>
        <v/>
      </c>
      <c r="F176" s="21" t="str">
        <f t="shared" si="24"/>
        <v/>
      </c>
      <c r="G176" s="21" t="str">
        <f t="shared" si="25"/>
        <v/>
      </c>
      <c r="H176" s="20" t="str">
        <f t="shared" si="27"/>
        <v/>
      </c>
      <c r="I176" s="19" t="str">
        <f t="shared" si="26"/>
        <v/>
      </c>
      <c r="J176" s="19" t="str">
        <f t="shared" si="28"/>
        <v/>
      </c>
      <c r="K176" s="18" t="str">
        <f t="shared" si="29"/>
        <v/>
      </c>
    </row>
    <row r="177" spans="3:11" x14ac:dyDescent="0.25">
      <c r="C177" s="23"/>
      <c r="D177" s="22"/>
      <c r="E177" s="21" t="str">
        <f t="shared" si="23"/>
        <v/>
      </c>
      <c r="F177" s="21" t="str">
        <f t="shared" si="24"/>
        <v/>
      </c>
      <c r="G177" s="21" t="str">
        <f t="shared" si="25"/>
        <v/>
      </c>
      <c r="H177" s="20" t="str">
        <f t="shared" si="27"/>
        <v/>
      </c>
      <c r="I177" s="19" t="str">
        <f t="shared" si="26"/>
        <v/>
      </c>
      <c r="J177" s="19" t="str">
        <f t="shared" si="28"/>
        <v/>
      </c>
      <c r="K177" s="18" t="str">
        <f t="shared" si="29"/>
        <v/>
      </c>
    </row>
    <row r="178" spans="3:11" x14ac:dyDescent="0.25">
      <c r="C178" s="23"/>
      <c r="D178" s="22"/>
      <c r="E178" s="21" t="str">
        <f t="shared" si="23"/>
        <v/>
      </c>
      <c r="F178" s="21" t="str">
        <f t="shared" si="24"/>
        <v/>
      </c>
      <c r="G178" s="21" t="str">
        <f t="shared" si="25"/>
        <v/>
      </c>
      <c r="H178" s="20" t="str">
        <f t="shared" si="27"/>
        <v/>
      </c>
      <c r="I178" s="19" t="str">
        <f t="shared" si="26"/>
        <v/>
      </c>
      <c r="J178" s="19" t="str">
        <f t="shared" si="28"/>
        <v/>
      </c>
      <c r="K178" s="18" t="str">
        <f t="shared" si="29"/>
        <v/>
      </c>
    </row>
    <row r="179" spans="3:11" x14ac:dyDescent="0.25">
      <c r="C179" s="23"/>
      <c r="D179" s="22"/>
      <c r="E179" s="21" t="str">
        <f t="shared" si="23"/>
        <v/>
      </c>
      <c r="F179" s="21" t="str">
        <f t="shared" si="24"/>
        <v/>
      </c>
      <c r="G179" s="21" t="str">
        <f t="shared" si="25"/>
        <v/>
      </c>
      <c r="H179" s="20" t="str">
        <f t="shared" si="27"/>
        <v/>
      </c>
      <c r="I179" s="19" t="str">
        <f t="shared" si="26"/>
        <v/>
      </c>
      <c r="J179" s="19" t="str">
        <f t="shared" si="28"/>
        <v/>
      </c>
      <c r="K179" s="18" t="str">
        <f t="shared" si="29"/>
        <v/>
      </c>
    </row>
    <row r="180" spans="3:11" x14ac:dyDescent="0.25">
      <c r="C180" s="23"/>
      <c r="D180" s="22"/>
      <c r="E180" s="21" t="str">
        <f t="shared" si="23"/>
        <v/>
      </c>
      <c r="F180" s="21" t="str">
        <f t="shared" si="24"/>
        <v/>
      </c>
      <c r="G180" s="21" t="str">
        <f t="shared" si="25"/>
        <v/>
      </c>
      <c r="H180" s="20" t="str">
        <f t="shared" si="27"/>
        <v/>
      </c>
      <c r="I180" s="19" t="str">
        <f t="shared" si="26"/>
        <v/>
      </c>
      <c r="J180" s="19" t="str">
        <f t="shared" si="28"/>
        <v/>
      </c>
      <c r="K180" s="18" t="str">
        <f t="shared" si="29"/>
        <v/>
      </c>
    </row>
    <row r="181" spans="3:11" x14ac:dyDescent="0.25">
      <c r="C181" s="23"/>
      <c r="D181" s="22"/>
      <c r="E181" s="21" t="str">
        <f t="shared" si="23"/>
        <v/>
      </c>
      <c r="F181" s="21" t="str">
        <f t="shared" si="24"/>
        <v/>
      </c>
      <c r="G181" s="21" t="str">
        <f t="shared" si="25"/>
        <v/>
      </c>
      <c r="H181" s="20" t="str">
        <f t="shared" si="27"/>
        <v/>
      </c>
      <c r="I181" s="19" t="str">
        <f t="shared" si="26"/>
        <v/>
      </c>
      <c r="J181" s="19" t="str">
        <f t="shared" si="28"/>
        <v/>
      </c>
      <c r="K181" s="18" t="str">
        <f t="shared" si="29"/>
        <v/>
      </c>
    </row>
    <row r="182" spans="3:11" x14ac:dyDescent="0.25">
      <c r="C182" s="23"/>
      <c r="D182" s="22"/>
      <c r="E182" s="21" t="str">
        <f t="shared" si="23"/>
        <v/>
      </c>
      <c r="F182" s="21" t="str">
        <f t="shared" si="24"/>
        <v/>
      </c>
      <c r="G182" s="21" t="str">
        <f t="shared" si="25"/>
        <v/>
      </c>
      <c r="H182" s="20" t="str">
        <f t="shared" si="27"/>
        <v/>
      </c>
      <c r="I182" s="19" t="str">
        <f t="shared" si="26"/>
        <v/>
      </c>
      <c r="J182" s="19" t="str">
        <f t="shared" si="28"/>
        <v/>
      </c>
      <c r="K182" s="18" t="str">
        <f t="shared" si="29"/>
        <v/>
      </c>
    </row>
    <row r="183" spans="3:11" x14ac:dyDescent="0.25">
      <c r="C183" s="23"/>
      <c r="D183" s="22"/>
      <c r="E183" s="21" t="str">
        <f t="shared" si="23"/>
        <v/>
      </c>
      <c r="F183" s="21" t="str">
        <f t="shared" si="24"/>
        <v/>
      </c>
      <c r="G183" s="21" t="str">
        <f t="shared" si="25"/>
        <v/>
      </c>
      <c r="H183" s="20" t="str">
        <f t="shared" si="27"/>
        <v/>
      </c>
      <c r="I183" s="19" t="str">
        <f t="shared" si="26"/>
        <v/>
      </c>
      <c r="J183" s="19" t="str">
        <f t="shared" si="28"/>
        <v/>
      </c>
      <c r="K183" s="18" t="str">
        <f t="shared" si="29"/>
        <v/>
      </c>
    </row>
    <row r="184" spans="3:11" x14ac:dyDescent="0.25">
      <c r="C184" s="23"/>
      <c r="D184" s="22"/>
      <c r="E184" s="21" t="str">
        <f t="shared" si="23"/>
        <v/>
      </c>
      <c r="F184" s="21" t="str">
        <f t="shared" si="24"/>
        <v/>
      </c>
      <c r="G184" s="21" t="str">
        <f t="shared" si="25"/>
        <v/>
      </c>
      <c r="H184" s="20" t="str">
        <f t="shared" si="27"/>
        <v/>
      </c>
      <c r="I184" s="19" t="str">
        <f t="shared" si="26"/>
        <v/>
      </c>
      <c r="J184" s="19" t="str">
        <f t="shared" si="28"/>
        <v/>
      </c>
      <c r="K184" s="18" t="str">
        <f t="shared" si="29"/>
        <v/>
      </c>
    </row>
    <row r="185" spans="3:11" x14ac:dyDescent="0.25">
      <c r="C185" s="23"/>
      <c r="D185" s="22"/>
      <c r="E185" s="21" t="str">
        <f t="shared" si="23"/>
        <v/>
      </c>
      <c r="F185" s="21" t="str">
        <f t="shared" si="24"/>
        <v/>
      </c>
      <c r="G185" s="21" t="str">
        <f t="shared" si="25"/>
        <v/>
      </c>
      <c r="H185" s="20" t="str">
        <f t="shared" si="27"/>
        <v/>
      </c>
      <c r="I185" s="19" t="str">
        <f t="shared" si="26"/>
        <v/>
      </c>
      <c r="J185" s="19" t="str">
        <f t="shared" si="28"/>
        <v/>
      </c>
      <c r="K185" s="18" t="str">
        <f t="shared" si="29"/>
        <v/>
      </c>
    </row>
    <row r="186" spans="3:11" x14ac:dyDescent="0.25">
      <c r="C186" s="23"/>
      <c r="D186" s="22"/>
      <c r="E186" s="21" t="str">
        <f t="shared" si="23"/>
        <v/>
      </c>
      <c r="F186" s="21" t="str">
        <f t="shared" si="24"/>
        <v/>
      </c>
      <c r="G186" s="21" t="str">
        <f t="shared" si="25"/>
        <v/>
      </c>
      <c r="H186" s="20" t="str">
        <f t="shared" si="27"/>
        <v/>
      </c>
      <c r="I186" s="19" t="str">
        <f t="shared" si="26"/>
        <v/>
      </c>
      <c r="J186" s="19" t="str">
        <f t="shared" si="28"/>
        <v/>
      </c>
      <c r="K186" s="18" t="str">
        <f t="shared" si="29"/>
        <v/>
      </c>
    </row>
    <row r="187" spans="3:11" x14ac:dyDescent="0.25">
      <c r="C187" s="23"/>
      <c r="D187" s="22"/>
      <c r="E187" s="21" t="str">
        <f t="shared" si="23"/>
        <v/>
      </c>
      <c r="F187" s="21" t="str">
        <f t="shared" si="24"/>
        <v/>
      </c>
      <c r="G187" s="21" t="str">
        <f t="shared" si="25"/>
        <v/>
      </c>
      <c r="H187" s="20" t="str">
        <f t="shared" si="27"/>
        <v/>
      </c>
      <c r="I187" s="19" t="str">
        <f t="shared" si="26"/>
        <v/>
      </c>
      <c r="J187" s="19" t="str">
        <f t="shared" si="28"/>
        <v/>
      </c>
      <c r="K187" s="18" t="str">
        <f t="shared" si="29"/>
        <v/>
      </c>
    </row>
    <row r="188" spans="3:11" x14ac:dyDescent="0.25">
      <c r="C188" s="23"/>
      <c r="D188" s="22"/>
      <c r="E188" s="21" t="str">
        <f t="shared" si="23"/>
        <v/>
      </c>
      <c r="F188" s="21" t="str">
        <f t="shared" si="24"/>
        <v/>
      </c>
      <c r="G188" s="21" t="str">
        <f t="shared" si="25"/>
        <v/>
      </c>
      <c r="H188" s="20" t="str">
        <f t="shared" si="27"/>
        <v/>
      </c>
      <c r="I188" s="19" t="str">
        <f t="shared" si="26"/>
        <v/>
      </c>
      <c r="J188" s="19" t="str">
        <f t="shared" si="28"/>
        <v/>
      </c>
      <c r="K188" s="18" t="str">
        <f t="shared" si="29"/>
        <v/>
      </c>
    </row>
    <row r="189" spans="3:11" x14ac:dyDescent="0.25">
      <c r="C189" s="23"/>
      <c r="D189" s="22"/>
      <c r="E189" s="21" t="str">
        <f t="shared" si="23"/>
        <v/>
      </c>
      <c r="F189" s="21" t="str">
        <f t="shared" si="24"/>
        <v/>
      </c>
      <c r="G189" s="21" t="str">
        <f t="shared" si="25"/>
        <v/>
      </c>
      <c r="H189" s="20" t="str">
        <f t="shared" si="27"/>
        <v/>
      </c>
      <c r="I189" s="19" t="str">
        <f t="shared" si="26"/>
        <v/>
      </c>
      <c r="J189" s="19" t="str">
        <f t="shared" si="28"/>
        <v/>
      </c>
      <c r="K189" s="18" t="str">
        <f t="shared" si="29"/>
        <v/>
      </c>
    </row>
    <row r="190" spans="3:11" x14ac:dyDescent="0.25">
      <c r="C190" s="23"/>
      <c r="D190" s="22"/>
      <c r="E190" s="21" t="str">
        <f t="shared" si="23"/>
        <v/>
      </c>
      <c r="F190" s="21" t="str">
        <f t="shared" si="24"/>
        <v/>
      </c>
      <c r="G190" s="21" t="str">
        <f t="shared" si="25"/>
        <v/>
      </c>
      <c r="H190" s="20" t="str">
        <f t="shared" si="27"/>
        <v/>
      </c>
      <c r="I190" s="19" t="str">
        <f t="shared" si="26"/>
        <v/>
      </c>
      <c r="J190" s="19" t="str">
        <f t="shared" si="28"/>
        <v/>
      </c>
      <c r="K190" s="18" t="str">
        <f t="shared" si="29"/>
        <v/>
      </c>
    </row>
    <row r="191" spans="3:11" x14ac:dyDescent="0.25">
      <c r="C191" s="23"/>
      <c r="D191" s="22"/>
      <c r="E191" s="21" t="str">
        <f t="shared" si="23"/>
        <v/>
      </c>
      <c r="F191" s="21" t="str">
        <f t="shared" si="24"/>
        <v/>
      </c>
      <c r="G191" s="21" t="str">
        <f t="shared" si="25"/>
        <v/>
      </c>
      <c r="H191" s="20" t="str">
        <f t="shared" si="27"/>
        <v/>
      </c>
      <c r="I191" s="19" t="str">
        <f t="shared" si="26"/>
        <v/>
      </c>
      <c r="J191" s="19" t="str">
        <f t="shared" si="28"/>
        <v/>
      </c>
      <c r="K191" s="18" t="str">
        <f t="shared" si="29"/>
        <v/>
      </c>
    </row>
    <row r="192" spans="3:11" x14ac:dyDescent="0.25">
      <c r="C192" s="23"/>
      <c r="D192" s="22"/>
      <c r="E192" s="21" t="str">
        <f t="shared" si="23"/>
        <v/>
      </c>
      <c r="F192" s="21" t="str">
        <f t="shared" si="24"/>
        <v/>
      </c>
      <c r="G192" s="21" t="str">
        <f t="shared" si="25"/>
        <v/>
      </c>
      <c r="H192" s="20" t="str">
        <f t="shared" si="27"/>
        <v/>
      </c>
      <c r="I192" s="19" t="str">
        <f t="shared" si="26"/>
        <v/>
      </c>
      <c r="J192" s="19" t="str">
        <f t="shared" si="28"/>
        <v/>
      </c>
      <c r="K192" s="18" t="str">
        <f t="shared" si="29"/>
        <v/>
      </c>
    </row>
    <row r="193" spans="3:11" x14ac:dyDescent="0.25">
      <c r="C193" s="23"/>
      <c r="D193" s="22"/>
      <c r="E193" s="21" t="str">
        <f t="shared" si="23"/>
        <v/>
      </c>
      <c r="F193" s="21" t="str">
        <f t="shared" si="24"/>
        <v/>
      </c>
      <c r="G193" s="21" t="str">
        <f t="shared" si="25"/>
        <v/>
      </c>
      <c r="H193" s="20" t="str">
        <f t="shared" si="27"/>
        <v/>
      </c>
      <c r="I193" s="19" t="str">
        <f t="shared" si="26"/>
        <v/>
      </c>
      <c r="J193" s="19" t="str">
        <f t="shared" si="28"/>
        <v/>
      </c>
      <c r="K193" s="18" t="str">
        <f t="shared" si="29"/>
        <v/>
      </c>
    </row>
    <row r="194" spans="3:11" x14ac:dyDescent="0.25">
      <c r="C194" s="23"/>
      <c r="D194" s="22"/>
      <c r="E194" s="21" t="str">
        <f t="shared" si="23"/>
        <v/>
      </c>
      <c r="F194" s="21" t="str">
        <f t="shared" si="24"/>
        <v/>
      </c>
      <c r="G194" s="21" t="str">
        <f t="shared" si="25"/>
        <v/>
      </c>
      <c r="H194" s="20" t="str">
        <f t="shared" si="27"/>
        <v/>
      </c>
      <c r="I194" s="19" t="str">
        <f t="shared" si="26"/>
        <v/>
      </c>
      <c r="J194" s="19" t="str">
        <f t="shared" si="28"/>
        <v/>
      </c>
      <c r="K194" s="18" t="str">
        <f t="shared" si="29"/>
        <v/>
      </c>
    </row>
    <row r="195" spans="3:11" x14ac:dyDescent="0.25">
      <c r="C195" s="23"/>
      <c r="D195" s="22"/>
      <c r="E195" s="21" t="str">
        <f t="shared" si="23"/>
        <v/>
      </c>
      <c r="F195" s="21" t="str">
        <f t="shared" si="24"/>
        <v/>
      </c>
      <c r="G195" s="21" t="str">
        <f t="shared" si="25"/>
        <v/>
      </c>
      <c r="H195" s="20" t="str">
        <f t="shared" si="27"/>
        <v/>
      </c>
      <c r="I195" s="19" t="str">
        <f t="shared" si="26"/>
        <v/>
      </c>
      <c r="J195" s="19" t="str">
        <f t="shared" si="28"/>
        <v/>
      </c>
      <c r="K195" s="18" t="str">
        <f t="shared" si="29"/>
        <v/>
      </c>
    </row>
    <row r="196" spans="3:11" x14ac:dyDescent="0.25">
      <c r="C196" s="23"/>
      <c r="D196" s="22"/>
      <c r="E196" s="21" t="str">
        <f t="shared" si="23"/>
        <v/>
      </c>
      <c r="F196" s="21" t="str">
        <f t="shared" si="24"/>
        <v/>
      </c>
      <c r="G196" s="21" t="str">
        <f t="shared" si="25"/>
        <v/>
      </c>
      <c r="H196" s="20" t="str">
        <f t="shared" si="27"/>
        <v/>
      </c>
      <c r="I196" s="19" t="str">
        <f t="shared" si="26"/>
        <v/>
      </c>
      <c r="J196" s="19" t="str">
        <f t="shared" si="28"/>
        <v/>
      </c>
      <c r="K196" s="18" t="str">
        <f t="shared" si="29"/>
        <v/>
      </c>
    </row>
    <row r="197" spans="3:11" x14ac:dyDescent="0.25">
      <c r="C197" s="23"/>
      <c r="D197" s="22"/>
      <c r="E197" s="21" t="str">
        <f t="shared" si="23"/>
        <v/>
      </c>
      <c r="F197" s="21" t="str">
        <f t="shared" si="24"/>
        <v/>
      </c>
      <c r="G197" s="21" t="str">
        <f t="shared" si="25"/>
        <v/>
      </c>
      <c r="H197" s="20" t="str">
        <f t="shared" si="27"/>
        <v/>
      </c>
      <c r="I197" s="19" t="str">
        <f t="shared" si="26"/>
        <v/>
      </c>
      <c r="J197" s="19" t="str">
        <f t="shared" si="28"/>
        <v/>
      </c>
      <c r="K197" s="18" t="str">
        <f t="shared" si="29"/>
        <v/>
      </c>
    </row>
    <row r="198" spans="3:11" x14ac:dyDescent="0.25">
      <c r="C198" s="23"/>
      <c r="D198" s="22"/>
      <c r="E198" s="21" t="str">
        <f t="shared" si="23"/>
        <v/>
      </c>
      <c r="F198" s="21" t="str">
        <f t="shared" si="24"/>
        <v/>
      </c>
      <c r="G198" s="21" t="str">
        <f t="shared" si="25"/>
        <v/>
      </c>
      <c r="H198" s="20" t="str">
        <f t="shared" si="27"/>
        <v/>
      </c>
      <c r="I198" s="19" t="str">
        <f t="shared" si="26"/>
        <v/>
      </c>
      <c r="J198" s="19" t="str">
        <f t="shared" si="28"/>
        <v/>
      </c>
      <c r="K198" s="18" t="str">
        <f t="shared" si="29"/>
        <v/>
      </c>
    </row>
    <row r="199" spans="3:11" x14ac:dyDescent="0.25">
      <c r="C199" s="23"/>
      <c r="D199" s="22"/>
      <c r="E199" s="21" t="str">
        <f t="shared" si="23"/>
        <v/>
      </c>
      <c r="F199" s="21" t="str">
        <f t="shared" si="24"/>
        <v/>
      </c>
      <c r="G199" s="21" t="str">
        <f t="shared" si="25"/>
        <v/>
      </c>
      <c r="H199" s="20" t="str">
        <f t="shared" si="27"/>
        <v/>
      </c>
      <c r="I199" s="19" t="str">
        <f t="shared" si="26"/>
        <v/>
      </c>
      <c r="J199" s="19" t="str">
        <f t="shared" si="28"/>
        <v/>
      </c>
      <c r="K199" s="18" t="str">
        <f t="shared" si="29"/>
        <v/>
      </c>
    </row>
    <row r="200" spans="3:11" x14ac:dyDescent="0.25">
      <c r="C200" s="23"/>
      <c r="D200" s="22"/>
      <c r="E200" s="21" t="str">
        <f t="shared" ref="E200:E263" si="30">MID(C200,LEN("UTC ")+1,LEN("UTC - "))</f>
        <v/>
      </c>
      <c r="F200" s="21" t="str">
        <f t="shared" ref="F200:F263" si="31">IF(D200="Y",E200+1,E200)</f>
        <v/>
      </c>
      <c r="G200" s="21" t="str">
        <f t="shared" ref="G200:G263" si="32">IF(F200="","",IF(rDST="N",F200,F200+1))</f>
        <v/>
      </c>
      <c r="H200" s="20" t="str">
        <f t="shared" si="27"/>
        <v/>
      </c>
      <c r="I200" s="19" t="str">
        <f t="shared" ref="I200:I263" si="33">IF(B200="","",IF(F200&lt;0,rGreenwich-TIME(ABS(F200),(H200),0),rGreenwich+TIME(ABS(F200),(H200),0)))</f>
        <v/>
      </c>
      <c r="J200" s="19" t="str">
        <f t="shared" si="28"/>
        <v/>
      </c>
      <c r="K200" s="18" t="str">
        <f t="shared" si="29"/>
        <v/>
      </c>
    </row>
    <row r="201" spans="3:11" x14ac:dyDescent="0.25">
      <c r="C201" s="23"/>
      <c r="D201" s="22"/>
      <c r="E201" s="21" t="str">
        <f t="shared" si="30"/>
        <v/>
      </c>
      <c r="F201" s="21" t="str">
        <f t="shared" si="31"/>
        <v/>
      </c>
      <c r="G201" s="21" t="str">
        <f t="shared" si="32"/>
        <v/>
      </c>
      <c r="H201" s="20" t="str">
        <f t="shared" si="27"/>
        <v/>
      </c>
      <c r="I201" s="19" t="str">
        <f t="shared" si="33"/>
        <v/>
      </c>
      <c r="J201" s="19" t="str">
        <f t="shared" si="28"/>
        <v/>
      </c>
      <c r="K201" s="18" t="str">
        <f t="shared" si="29"/>
        <v/>
      </c>
    </row>
    <row r="202" spans="3:11" x14ac:dyDescent="0.25">
      <c r="C202" s="23"/>
      <c r="D202" s="22"/>
      <c r="E202" s="21" t="str">
        <f t="shared" si="30"/>
        <v/>
      </c>
      <c r="F202" s="21" t="str">
        <f t="shared" si="31"/>
        <v/>
      </c>
      <c r="G202" s="21" t="str">
        <f t="shared" si="32"/>
        <v/>
      </c>
      <c r="H202" s="20" t="str">
        <f t="shared" si="27"/>
        <v/>
      </c>
      <c r="I202" s="19" t="str">
        <f t="shared" si="33"/>
        <v/>
      </c>
      <c r="J202" s="19" t="str">
        <f t="shared" si="28"/>
        <v/>
      </c>
      <c r="K202" s="18" t="str">
        <f t="shared" si="29"/>
        <v/>
      </c>
    </row>
    <row r="203" spans="3:11" x14ac:dyDescent="0.25">
      <c r="C203" s="23"/>
      <c r="D203" s="22"/>
      <c r="E203" s="21" t="str">
        <f t="shared" si="30"/>
        <v/>
      </c>
      <c r="F203" s="21" t="str">
        <f t="shared" si="31"/>
        <v/>
      </c>
      <c r="G203" s="21" t="str">
        <f t="shared" si="32"/>
        <v/>
      </c>
      <c r="H203" s="20" t="str">
        <f t="shared" si="27"/>
        <v/>
      </c>
      <c r="I203" s="19" t="str">
        <f t="shared" si="33"/>
        <v/>
      </c>
      <c r="J203" s="19" t="str">
        <f t="shared" si="28"/>
        <v/>
      </c>
      <c r="K203" s="18" t="str">
        <f t="shared" si="29"/>
        <v/>
      </c>
    </row>
    <row r="204" spans="3:11" x14ac:dyDescent="0.25">
      <c r="C204" s="23"/>
      <c r="D204" s="22"/>
      <c r="E204" s="21" t="str">
        <f t="shared" si="30"/>
        <v/>
      </c>
      <c r="F204" s="21" t="str">
        <f t="shared" si="31"/>
        <v/>
      </c>
      <c r="G204" s="21" t="str">
        <f t="shared" si="32"/>
        <v/>
      </c>
      <c r="H204" s="20" t="str">
        <f t="shared" si="27"/>
        <v/>
      </c>
      <c r="I204" s="19" t="str">
        <f t="shared" si="33"/>
        <v/>
      </c>
      <c r="J204" s="19" t="str">
        <f t="shared" si="28"/>
        <v/>
      </c>
      <c r="K204" s="18" t="str">
        <f t="shared" si="29"/>
        <v/>
      </c>
    </row>
    <row r="205" spans="3:11" x14ac:dyDescent="0.25">
      <c r="C205" s="23"/>
      <c r="D205" s="22"/>
      <c r="E205" s="21" t="str">
        <f t="shared" si="30"/>
        <v/>
      </c>
      <c r="F205" s="21" t="str">
        <f t="shared" si="31"/>
        <v/>
      </c>
      <c r="G205" s="21" t="str">
        <f t="shared" si="32"/>
        <v/>
      </c>
      <c r="H205" s="20" t="str">
        <f t="shared" si="27"/>
        <v/>
      </c>
      <c r="I205" s="19" t="str">
        <f t="shared" si="33"/>
        <v/>
      </c>
      <c r="J205" s="19" t="str">
        <f t="shared" si="28"/>
        <v/>
      </c>
      <c r="K205" s="18" t="str">
        <f t="shared" si="29"/>
        <v/>
      </c>
    </row>
    <row r="206" spans="3:11" x14ac:dyDescent="0.25">
      <c r="C206" s="23"/>
      <c r="D206" s="22"/>
      <c r="E206" s="21" t="str">
        <f t="shared" si="30"/>
        <v/>
      </c>
      <c r="F206" s="21" t="str">
        <f t="shared" si="31"/>
        <v/>
      </c>
      <c r="G206" s="21" t="str">
        <f t="shared" si="32"/>
        <v/>
      </c>
      <c r="H206" s="20" t="str">
        <f t="shared" si="27"/>
        <v/>
      </c>
      <c r="I206" s="19" t="str">
        <f t="shared" si="33"/>
        <v/>
      </c>
      <c r="J206" s="19" t="str">
        <f t="shared" si="28"/>
        <v/>
      </c>
      <c r="K206" s="18" t="str">
        <f t="shared" si="29"/>
        <v/>
      </c>
    </row>
    <row r="207" spans="3:11" x14ac:dyDescent="0.25">
      <c r="C207" s="23"/>
      <c r="D207" s="22"/>
      <c r="E207" s="21" t="str">
        <f t="shared" si="30"/>
        <v/>
      </c>
      <c r="F207" s="21" t="str">
        <f t="shared" si="31"/>
        <v/>
      </c>
      <c r="G207" s="21" t="str">
        <f t="shared" si="32"/>
        <v/>
      </c>
      <c r="H207" s="20" t="str">
        <f t="shared" si="27"/>
        <v/>
      </c>
      <c r="I207" s="19" t="str">
        <f t="shared" si="33"/>
        <v/>
      </c>
      <c r="J207" s="19" t="str">
        <f t="shared" si="28"/>
        <v/>
      </c>
      <c r="K207" s="18" t="str">
        <f t="shared" si="29"/>
        <v/>
      </c>
    </row>
    <row r="208" spans="3:11" x14ac:dyDescent="0.25">
      <c r="C208" s="23"/>
      <c r="D208" s="22"/>
      <c r="E208" s="21" t="str">
        <f t="shared" si="30"/>
        <v/>
      </c>
      <c r="F208" s="21" t="str">
        <f t="shared" si="31"/>
        <v/>
      </c>
      <c r="G208" s="21" t="str">
        <f t="shared" si="32"/>
        <v/>
      </c>
      <c r="H208" s="20" t="str">
        <f t="shared" si="27"/>
        <v/>
      </c>
      <c r="I208" s="19" t="str">
        <f t="shared" si="33"/>
        <v/>
      </c>
      <c r="J208" s="19" t="str">
        <f t="shared" si="28"/>
        <v/>
      </c>
      <c r="K208" s="18" t="str">
        <f t="shared" si="29"/>
        <v/>
      </c>
    </row>
    <row r="209" spans="3:11" x14ac:dyDescent="0.25">
      <c r="C209" s="23"/>
      <c r="D209" s="22"/>
      <c r="E209" s="21" t="str">
        <f t="shared" si="30"/>
        <v/>
      </c>
      <c r="F209" s="21" t="str">
        <f t="shared" si="31"/>
        <v/>
      </c>
      <c r="G209" s="21" t="str">
        <f t="shared" si="32"/>
        <v/>
      </c>
      <c r="H209" s="20" t="str">
        <f t="shared" si="27"/>
        <v/>
      </c>
      <c r="I209" s="19" t="str">
        <f t="shared" si="33"/>
        <v/>
      </c>
      <c r="J209" s="19" t="str">
        <f t="shared" si="28"/>
        <v/>
      </c>
      <c r="K209" s="18" t="str">
        <f t="shared" si="29"/>
        <v/>
      </c>
    </row>
    <row r="210" spans="3:11" x14ac:dyDescent="0.25">
      <c r="C210" s="23"/>
      <c r="D210" s="22"/>
      <c r="E210" s="21" t="str">
        <f t="shared" si="30"/>
        <v/>
      </c>
      <c r="F210" s="21" t="str">
        <f t="shared" si="31"/>
        <v/>
      </c>
      <c r="G210" s="21" t="str">
        <f t="shared" si="32"/>
        <v/>
      </c>
      <c r="H210" s="20" t="str">
        <f t="shared" si="27"/>
        <v/>
      </c>
      <c r="I210" s="19" t="str">
        <f t="shared" si="33"/>
        <v/>
      </c>
      <c r="J210" s="19" t="str">
        <f t="shared" si="28"/>
        <v/>
      </c>
      <c r="K210" s="18" t="str">
        <f t="shared" si="29"/>
        <v/>
      </c>
    </row>
    <row r="211" spans="3:11" x14ac:dyDescent="0.25">
      <c r="C211" s="23"/>
      <c r="D211" s="22"/>
      <c r="E211" s="21" t="str">
        <f t="shared" si="30"/>
        <v/>
      </c>
      <c r="F211" s="21" t="str">
        <f t="shared" si="31"/>
        <v/>
      </c>
      <c r="G211" s="21" t="str">
        <f t="shared" si="32"/>
        <v/>
      </c>
      <c r="H211" s="20" t="str">
        <f t="shared" si="27"/>
        <v/>
      </c>
      <c r="I211" s="19" t="str">
        <f t="shared" si="33"/>
        <v/>
      </c>
      <c r="J211" s="19" t="str">
        <f t="shared" si="28"/>
        <v/>
      </c>
      <c r="K211" s="18" t="str">
        <f t="shared" si="29"/>
        <v/>
      </c>
    </row>
    <row r="212" spans="3:11" x14ac:dyDescent="0.25">
      <c r="C212" s="23"/>
      <c r="D212" s="22"/>
      <c r="E212" s="21" t="str">
        <f t="shared" si="30"/>
        <v/>
      </c>
      <c r="F212" s="21" t="str">
        <f t="shared" si="31"/>
        <v/>
      </c>
      <c r="G212" s="21" t="str">
        <f t="shared" si="32"/>
        <v/>
      </c>
      <c r="H212" s="20" t="str">
        <f t="shared" si="27"/>
        <v/>
      </c>
      <c r="I212" s="19" t="str">
        <f t="shared" si="33"/>
        <v/>
      </c>
      <c r="J212" s="19" t="str">
        <f t="shared" si="28"/>
        <v/>
      </c>
      <c r="K212" s="18" t="str">
        <f t="shared" si="29"/>
        <v/>
      </c>
    </row>
    <row r="213" spans="3:11" x14ac:dyDescent="0.25">
      <c r="C213" s="23"/>
      <c r="D213" s="22"/>
      <c r="E213" s="21" t="str">
        <f t="shared" si="30"/>
        <v/>
      </c>
      <c r="F213" s="21" t="str">
        <f t="shared" si="31"/>
        <v/>
      </c>
      <c r="G213" s="21" t="str">
        <f t="shared" si="32"/>
        <v/>
      </c>
      <c r="H213" s="20" t="str">
        <f t="shared" si="27"/>
        <v/>
      </c>
      <c r="I213" s="19" t="str">
        <f t="shared" si="33"/>
        <v/>
      </c>
      <c r="J213" s="19" t="str">
        <f t="shared" si="28"/>
        <v/>
      </c>
      <c r="K213" s="18" t="str">
        <f t="shared" si="29"/>
        <v/>
      </c>
    </row>
    <row r="214" spans="3:11" x14ac:dyDescent="0.25">
      <c r="C214" s="23"/>
      <c r="D214" s="22"/>
      <c r="E214" s="21" t="str">
        <f t="shared" si="30"/>
        <v/>
      </c>
      <c r="F214" s="21" t="str">
        <f t="shared" si="31"/>
        <v/>
      </c>
      <c r="G214" s="21" t="str">
        <f t="shared" si="32"/>
        <v/>
      </c>
      <c r="H214" s="20" t="str">
        <f t="shared" si="27"/>
        <v/>
      </c>
      <c r="I214" s="19" t="str">
        <f t="shared" si="33"/>
        <v/>
      </c>
      <c r="J214" s="19" t="str">
        <f t="shared" si="28"/>
        <v/>
      </c>
      <c r="K214" s="18" t="str">
        <f t="shared" si="29"/>
        <v/>
      </c>
    </row>
    <row r="215" spans="3:11" x14ac:dyDescent="0.25">
      <c r="C215" s="23"/>
      <c r="D215" s="22"/>
      <c r="E215" s="21" t="str">
        <f t="shared" si="30"/>
        <v/>
      </c>
      <c r="F215" s="21" t="str">
        <f t="shared" si="31"/>
        <v/>
      </c>
      <c r="G215" s="21" t="str">
        <f t="shared" si="32"/>
        <v/>
      </c>
      <c r="H215" s="20" t="str">
        <f t="shared" si="27"/>
        <v/>
      </c>
      <c r="I215" s="19" t="str">
        <f t="shared" si="33"/>
        <v/>
      </c>
      <c r="J215" s="19" t="str">
        <f t="shared" si="28"/>
        <v/>
      </c>
      <c r="K215" s="18" t="str">
        <f t="shared" si="29"/>
        <v/>
      </c>
    </row>
    <row r="216" spans="3:11" x14ac:dyDescent="0.25">
      <c r="C216" s="23"/>
      <c r="D216" s="22"/>
      <c r="E216" s="21" t="str">
        <f t="shared" si="30"/>
        <v/>
      </c>
      <c r="F216" s="21" t="str">
        <f t="shared" si="31"/>
        <v/>
      </c>
      <c r="G216" s="21" t="str">
        <f t="shared" si="32"/>
        <v/>
      </c>
      <c r="H216" s="20" t="str">
        <f t="shared" si="27"/>
        <v/>
      </c>
      <c r="I216" s="19" t="str">
        <f t="shared" si="33"/>
        <v/>
      </c>
      <c r="J216" s="19" t="str">
        <f t="shared" si="28"/>
        <v/>
      </c>
      <c r="K216" s="18" t="str">
        <f t="shared" si="29"/>
        <v/>
      </c>
    </row>
    <row r="217" spans="3:11" x14ac:dyDescent="0.25">
      <c r="C217" s="23"/>
      <c r="D217" s="22"/>
      <c r="E217" s="21" t="str">
        <f t="shared" si="30"/>
        <v/>
      </c>
      <c r="F217" s="21" t="str">
        <f t="shared" si="31"/>
        <v/>
      </c>
      <c r="G217" s="21" t="str">
        <f t="shared" si="32"/>
        <v/>
      </c>
      <c r="H217" s="20" t="str">
        <f t="shared" si="27"/>
        <v/>
      </c>
      <c r="I217" s="19" t="str">
        <f t="shared" si="33"/>
        <v/>
      </c>
      <c r="J217" s="19" t="str">
        <f t="shared" si="28"/>
        <v/>
      </c>
      <c r="K217" s="18" t="str">
        <f t="shared" si="29"/>
        <v/>
      </c>
    </row>
    <row r="218" spans="3:11" x14ac:dyDescent="0.25">
      <c r="C218" s="23"/>
      <c r="D218" s="22"/>
      <c r="E218" s="21" t="str">
        <f t="shared" si="30"/>
        <v/>
      </c>
      <c r="F218" s="21" t="str">
        <f t="shared" si="31"/>
        <v/>
      </c>
      <c r="G218" s="21" t="str">
        <f t="shared" si="32"/>
        <v/>
      </c>
      <c r="H218" s="20" t="str">
        <f t="shared" si="27"/>
        <v/>
      </c>
      <c r="I218" s="19" t="str">
        <f t="shared" si="33"/>
        <v/>
      </c>
      <c r="J218" s="19" t="str">
        <f t="shared" si="28"/>
        <v/>
      </c>
      <c r="K218" s="18" t="str">
        <f t="shared" si="29"/>
        <v/>
      </c>
    </row>
    <row r="219" spans="3:11" x14ac:dyDescent="0.25">
      <c r="C219" s="23"/>
      <c r="D219" s="22"/>
      <c r="E219" s="21" t="str">
        <f t="shared" si="30"/>
        <v/>
      </c>
      <c r="F219" s="21" t="str">
        <f t="shared" si="31"/>
        <v/>
      </c>
      <c r="G219" s="21" t="str">
        <f t="shared" si="32"/>
        <v/>
      </c>
      <c r="H219" s="20" t="str">
        <f t="shared" si="27"/>
        <v/>
      </c>
      <c r="I219" s="19" t="str">
        <f t="shared" si="33"/>
        <v/>
      </c>
      <c r="J219" s="19" t="str">
        <f t="shared" si="28"/>
        <v/>
      </c>
      <c r="K219" s="18" t="str">
        <f t="shared" si="29"/>
        <v/>
      </c>
    </row>
    <row r="220" spans="3:11" x14ac:dyDescent="0.25">
      <c r="C220" s="23"/>
      <c r="D220" s="22"/>
      <c r="E220" s="21" t="str">
        <f t="shared" si="30"/>
        <v/>
      </c>
      <c r="F220" s="21" t="str">
        <f t="shared" si="31"/>
        <v/>
      </c>
      <c r="G220" s="21" t="str">
        <f t="shared" si="32"/>
        <v/>
      </c>
      <c r="H220" s="20" t="str">
        <f t="shared" si="27"/>
        <v/>
      </c>
      <c r="I220" s="19" t="str">
        <f t="shared" si="33"/>
        <v/>
      </c>
      <c r="J220" s="19" t="str">
        <f t="shared" si="28"/>
        <v/>
      </c>
      <c r="K220" s="18" t="str">
        <f t="shared" si="29"/>
        <v/>
      </c>
    </row>
    <row r="221" spans="3:11" x14ac:dyDescent="0.25">
      <c r="C221" s="23"/>
      <c r="D221" s="22"/>
      <c r="E221" s="21" t="str">
        <f t="shared" si="30"/>
        <v/>
      </c>
      <c r="F221" s="21" t="str">
        <f t="shared" si="31"/>
        <v/>
      </c>
      <c r="G221" s="21" t="str">
        <f t="shared" si="32"/>
        <v/>
      </c>
      <c r="H221" s="20" t="str">
        <f t="shared" si="27"/>
        <v/>
      </c>
      <c r="I221" s="19" t="str">
        <f t="shared" si="33"/>
        <v/>
      </c>
      <c r="J221" s="19" t="str">
        <f t="shared" si="28"/>
        <v/>
      </c>
      <c r="K221" s="18" t="str">
        <f t="shared" si="29"/>
        <v/>
      </c>
    </row>
    <row r="222" spans="3:11" x14ac:dyDescent="0.25">
      <c r="C222" s="23"/>
      <c r="D222" s="22"/>
      <c r="E222" s="21" t="str">
        <f t="shared" si="30"/>
        <v/>
      </c>
      <c r="F222" s="21" t="str">
        <f t="shared" si="31"/>
        <v/>
      </c>
      <c r="G222" s="21" t="str">
        <f t="shared" si="32"/>
        <v/>
      </c>
      <c r="H222" s="20" t="str">
        <f t="shared" si="27"/>
        <v/>
      </c>
      <c r="I222" s="19" t="str">
        <f t="shared" si="33"/>
        <v/>
      </c>
      <c r="J222" s="19" t="str">
        <f t="shared" si="28"/>
        <v/>
      </c>
      <c r="K222" s="18" t="str">
        <f t="shared" si="29"/>
        <v/>
      </c>
    </row>
    <row r="223" spans="3:11" x14ac:dyDescent="0.25">
      <c r="C223" s="23"/>
      <c r="D223" s="22"/>
      <c r="E223" s="21" t="str">
        <f t="shared" si="30"/>
        <v/>
      </c>
      <c r="F223" s="21" t="str">
        <f t="shared" si="31"/>
        <v/>
      </c>
      <c r="G223" s="21" t="str">
        <f t="shared" si="32"/>
        <v/>
      </c>
      <c r="H223" s="20" t="str">
        <f t="shared" si="27"/>
        <v/>
      </c>
      <c r="I223" s="19" t="str">
        <f t="shared" si="33"/>
        <v/>
      </c>
      <c r="J223" s="19" t="str">
        <f t="shared" si="28"/>
        <v/>
      </c>
      <c r="K223" s="18" t="str">
        <f t="shared" si="29"/>
        <v/>
      </c>
    </row>
    <row r="224" spans="3:11" x14ac:dyDescent="0.25">
      <c r="C224" s="23"/>
      <c r="D224" s="22"/>
      <c r="E224" s="21" t="str">
        <f t="shared" si="30"/>
        <v/>
      </c>
      <c r="F224" s="21" t="str">
        <f t="shared" si="31"/>
        <v/>
      </c>
      <c r="G224" s="21" t="str">
        <f t="shared" si="32"/>
        <v/>
      </c>
      <c r="H224" s="20" t="str">
        <f t="shared" si="27"/>
        <v/>
      </c>
      <c r="I224" s="19" t="str">
        <f t="shared" si="33"/>
        <v/>
      </c>
      <c r="J224" s="19" t="str">
        <f t="shared" si="28"/>
        <v/>
      </c>
      <c r="K224" s="18" t="str">
        <f t="shared" si="29"/>
        <v/>
      </c>
    </row>
    <row r="225" spans="3:11" x14ac:dyDescent="0.25">
      <c r="C225" s="23"/>
      <c r="D225" s="22"/>
      <c r="E225" s="21" t="str">
        <f t="shared" si="30"/>
        <v/>
      </c>
      <c r="F225" s="21" t="str">
        <f t="shared" si="31"/>
        <v/>
      </c>
      <c r="G225" s="21" t="str">
        <f t="shared" si="32"/>
        <v/>
      </c>
      <c r="H225" s="20" t="str">
        <f t="shared" ref="H225:H288" si="34">IF(F225="","",MOD(F225,1)*60)</f>
        <v/>
      </c>
      <c r="I225" s="19" t="str">
        <f t="shared" si="33"/>
        <v/>
      </c>
      <c r="J225" s="19" t="str">
        <f t="shared" ref="J225:J288" si="35">IF(B225="","",I225+TIME(ABS($F$8),0,0))</f>
        <v/>
      </c>
      <c r="K225" s="18" t="str">
        <f t="shared" ref="K225:K288" si="36">IF(F225="","",ABS(T$12)+F225)</f>
        <v/>
      </c>
    </row>
    <row r="226" spans="3:11" x14ac:dyDescent="0.25">
      <c r="C226" s="23"/>
      <c r="D226" s="22"/>
      <c r="E226" s="21" t="str">
        <f t="shared" si="30"/>
        <v/>
      </c>
      <c r="F226" s="21" t="str">
        <f t="shared" si="31"/>
        <v/>
      </c>
      <c r="G226" s="21" t="str">
        <f t="shared" si="32"/>
        <v/>
      </c>
      <c r="H226" s="20" t="str">
        <f t="shared" si="34"/>
        <v/>
      </c>
      <c r="I226" s="19" t="str">
        <f t="shared" si="33"/>
        <v/>
      </c>
      <c r="J226" s="19" t="str">
        <f t="shared" si="35"/>
        <v/>
      </c>
      <c r="K226" s="18" t="str">
        <f t="shared" si="36"/>
        <v/>
      </c>
    </row>
    <row r="227" spans="3:11" x14ac:dyDescent="0.25">
      <c r="C227" s="23"/>
      <c r="D227" s="22"/>
      <c r="E227" s="21" t="str">
        <f t="shared" si="30"/>
        <v/>
      </c>
      <c r="F227" s="21" t="str">
        <f t="shared" si="31"/>
        <v/>
      </c>
      <c r="G227" s="21" t="str">
        <f t="shared" si="32"/>
        <v/>
      </c>
      <c r="H227" s="20" t="str">
        <f t="shared" si="34"/>
        <v/>
      </c>
      <c r="I227" s="19" t="str">
        <f t="shared" si="33"/>
        <v/>
      </c>
      <c r="J227" s="19" t="str">
        <f t="shared" si="35"/>
        <v/>
      </c>
      <c r="K227" s="18" t="str">
        <f t="shared" si="36"/>
        <v/>
      </c>
    </row>
    <row r="228" spans="3:11" x14ac:dyDescent="0.25">
      <c r="C228" s="23"/>
      <c r="D228" s="22"/>
      <c r="E228" s="21" t="str">
        <f t="shared" si="30"/>
        <v/>
      </c>
      <c r="F228" s="21" t="str">
        <f t="shared" si="31"/>
        <v/>
      </c>
      <c r="G228" s="21" t="str">
        <f t="shared" si="32"/>
        <v/>
      </c>
      <c r="H228" s="20" t="str">
        <f t="shared" si="34"/>
        <v/>
      </c>
      <c r="I228" s="19" t="str">
        <f t="shared" si="33"/>
        <v/>
      </c>
      <c r="J228" s="19" t="str">
        <f t="shared" si="35"/>
        <v/>
      </c>
      <c r="K228" s="18" t="str">
        <f t="shared" si="36"/>
        <v/>
      </c>
    </row>
    <row r="229" spans="3:11" x14ac:dyDescent="0.25">
      <c r="C229" s="23"/>
      <c r="D229" s="22"/>
      <c r="E229" s="21" t="str">
        <f t="shared" si="30"/>
        <v/>
      </c>
      <c r="F229" s="21" t="str">
        <f t="shared" si="31"/>
        <v/>
      </c>
      <c r="G229" s="21" t="str">
        <f t="shared" si="32"/>
        <v/>
      </c>
      <c r="H229" s="20" t="str">
        <f t="shared" si="34"/>
        <v/>
      </c>
      <c r="I229" s="19" t="str">
        <f t="shared" si="33"/>
        <v/>
      </c>
      <c r="J229" s="19" t="str">
        <f t="shared" si="35"/>
        <v/>
      </c>
      <c r="K229" s="18" t="str">
        <f t="shared" si="36"/>
        <v/>
      </c>
    </row>
    <row r="230" spans="3:11" x14ac:dyDescent="0.25">
      <c r="C230" s="23"/>
      <c r="D230" s="22"/>
      <c r="E230" s="21" t="str">
        <f t="shared" si="30"/>
        <v/>
      </c>
      <c r="F230" s="21" t="str">
        <f t="shared" si="31"/>
        <v/>
      </c>
      <c r="G230" s="21" t="str">
        <f t="shared" si="32"/>
        <v/>
      </c>
      <c r="H230" s="20" t="str">
        <f t="shared" si="34"/>
        <v/>
      </c>
      <c r="I230" s="19" t="str">
        <f t="shared" si="33"/>
        <v/>
      </c>
      <c r="J230" s="19" t="str">
        <f t="shared" si="35"/>
        <v/>
      </c>
      <c r="K230" s="18" t="str">
        <f t="shared" si="36"/>
        <v/>
      </c>
    </row>
    <row r="231" spans="3:11" x14ac:dyDescent="0.25">
      <c r="C231" s="23"/>
      <c r="D231" s="22"/>
      <c r="E231" s="21" t="str">
        <f t="shared" si="30"/>
        <v/>
      </c>
      <c r="F231" s="21" t="str">
        <f t="shared" si="31"/>
        <v/>
      </c>
      <c r="G231" s="21" t="str">
        <f t="shared" si="32"/>
        <v/>
      </c>
      <c r="H231" s="20" t="str">
        <f t="shared" si="34"/>
        <v/>
      </c>
      <c r="I231" s="19" t="str">
        <f t="shared" si="33"/>
        <v/>
      </c>
      <c r="J231" s="19" t="str">
        <f t="shared" si="35"/>
        <v/>
      </c>
      <c r="K231" s="18" t="str">
        <f t="shared" si="36"/>
        <v/>
      </c>
    </row>
    <row r="232" spans="3:11" x14ac:dyDescent="0.25">
      <c r="C232" s="23"/>
      <c r="D232" s="22"/>
      <c r="E232" s="21" t="str">
        <f t="shared" si="30"/>
        <v/>
      </c>
      <c r="F232" s="21" t="str">
        <f t="shared" si="31"/>
        <v/>
      </c>
      <c r="G232" s="21" t="str">
        <f t="shared" si="32"/>
        <v/>
      </c>
      <c r="H232" s="20" t="str">
        <f t="shared" si="34"/>
        <v/>
      </c>
      <c r="I232" s="19" t="str">
        <f t="shared" si="33"/>
        <v/>
      </c>
      <c r="J232" s="19" t="str">
        <f t="shared" si="35"/>
        <v/>
      </c>
      <c r="K232" s="18" t="str">
        <f t="shared" si="36"/>
        <v/>
      </c>
    </row>
    <row r="233" spans="3:11" x14ac:dyDescent="0.25">
      <c r="C233" s="23"/>
      <c r="D233" s="22"/>
      <c r="E233" s="21" t="str">
        <f t="shared" si="30"/>
        <v/>
      </c>
      <c r="F233" s="21" t="str">
        <f t="shared" si="31"/>
        <v/>
      </c>
      <c r="G233" s="21" t="str">
        <f t="shared" si="32"/>
        <v/>
      </c>
      <c r="H233" s="20" t="str">
        <f t="shared" si="34"/>
        <v/>
      </c>
      <c r="I233" s="19" t="str">
        <f t="shared" si="33"/>
        <v/>
      </c>
      <c r="J233" s="19" t="str">
        <f t="shared" si="35"/>
        <v/>
      </c>
      <c r="K233" s="18" t="str">
        <f t="shared" si="36"/>
        <v/>
      </c>
    </row>
    <row r="234" spans="3:11" x14ac:dyDescent="0.25">
      <c r="C234" s="23"/>
      <c r="D234" s="22"/>
      <c r="E234" s="21" t="str">
        <f t="shared" si="30"/>
        <v/>
      </c>
      <c r="F234" s="21" t="str">
        <f t="shared" si="31"/>
        <v/>
      </c>
      <c r="G234" s="21" t="str">
        <f t="shared" si="32"/>
        <v/>
      </c>
      <c r="H234" s="20" t="str">
        <f t="shared" si="34"/>
        <v/>
      </c>
      <c r="I234" s="19" t="str">
        <f t="shared" si="33"/>
        <v/>
      </c>
      <c r="J234" s="19" t="str">
        <f t="shared" si="35"/>
        <v/>
      </c>
      <c r="K234" s="18" t="str">
        <f t="shared" si="36"/>
        <v/>
      </c>
    </row>
    <row r="235" spans="3:11" x14ac:dyDescent="0.25">
      <c r="C235" s="23"/>
      <c r="D235" s="22"/>
      <c r="E235" s="21" t="str">
        <f t="shared" si="30"/>
        <v/>
      </c>
      <c r="F235" s="21" t="str">
        <f t="shared" si="31"/>
        <v/>
      </c>
      <c r="G235" s="21" t="str">
        <f t="shared" si="32"/>
        <v/>
      </c>
      <c r="H235" s="20" t="str">
        <f t="shared" si="34"/>
        <v/>
      </c>
      <c r="I235" s="19" t="str">
        <f t="shared" si="33"/>
        <v/>
      </c>
      <c r="J235" s="19" t="str">
        <f t="shared" si="35"/>
        <v/>
      </c>
      <c r="K235" s="18" t="str">
        <f t="shared" si="36"/>
        <v/>
      </c>
    </row>
    <row r="236" spans="3:11" x14ac:dyDescent="0.25">
      <c r="C236" s="23"/>
      <c r="D236" s="22"/>
      <c r="E236" s="21" t="str">
        <f t="shared" si="30"/>
        <v/>
      </c>
      <c r="F236" s="21" t="str">
        <f t="shared" si="31"/>
        <v/>
      </c>
      <c r="G236" s="21" t="str">
        <f t="shared" si="32"/>
        <v/>
      </c>
      <c r="H236" s="20" t="str">
        <f t="shared" si="34"/>
        <v/>
      </c>
      <c r="I236" s="19" t="str">
        <f t="shared" si="33"/>
        <v/>
      </c>
      <c r="J236" s="19" t="str">
        <f t="shared" si="35"/>
        <v/>
      </c>
      <c r="K236" s="18" t="str">
        <f t="shared" si="36"/>
        <v/>
      </c>
    </row>
    <row r="237" spans="3:11" x14ac:dyDescent="0.25">
      <c r="C237" s="23"/>
      <c r="D237" s="22"/>
      <c r="E237" s="21" t="str">
        <f t="shared" si="30"/>
        <v/>
      </c>
      <c r="F237" s="21" t="str">
        <f t="shared" si="31"/>
        <v/>
      </c>
      <c r="G237" s="21" t="str">
        <f t="shared" si="32"/>
        <v/>
      </c>
      <c r="H237" s="20" t="str">
        <f t="shared" si="34"/>
        <v/>
      </c>
      <c r="I237" s="19" t="str">
        <f t="shared" si="33"/>
        <v/>
      </c>
      <c r="J237" s="19" t="str">
        <f t="shared" si="35"/>
        <v/>
      </c>
      <c r="K237" s="18" t="str">
        <f t="shared" si="36"/>
        <v/>
      </c>
    </row>
    <row r="238" spans="3:11" x14ac:dyDescent="0.25">
      <c r="C238" s="23"/>
      <c r="D238" s="22"/>
      <c r="E238" s="21" t="str">
        <f t="shared" si="30"/>
        <v/>
      </c>
      <c r="F238" s="21" t="str">
        <f t="shared" si="31"/>
        <v/>
      </c>
      <c r="G238" s="21" t="str">
        <f t="shared" si="32"/>
        <v/>
      </c>
      <c r="H238" s="20" t="str">
        <f t="shared" si="34"/>
        <v/>
      </c>
      <c r="I238" s="19" t="str">
        <f t="shared" si="33"/>
        <v/>
      </c>
      <c r="J238" s="19" t="str">
        <f t="shared" si="35"/>
        <v/>
      </c>
      <c r="K238" s="18" t="str">
        <f t="shared" si="36"/>
        <v/>
      </c>
    </row>
    <row r="239" spans="3:11" x14ac:dyDescent="0.25">
      <c r="C239" s="23"/>
      <c r="D239" s="22"/>
      <c r="E239" s="21" t="str">
        <f t="shared" si="30"/>
        <v/>
      </c>
      <c r="F239" s="21" t="str">
        <f t="shared" si="31"/>
        <v/>
      </c>
      <c r="G239" s="21" t="str">
        <f t="shared" si="32"/>
        <v/>
      </c>
      <c r="H239" s="20" t="str">
        <f t="shared" si="34"/>
        <v/>
      </c>
      <c r="I239" s="19" t="str">
        <f t="shared" si="33"/>
        <v/>
      </c>
      <c r="J239" s="19" t="str">
        <f t="shared" si="35"/>
        <v/>
      </c>
      <c r="K239" s="18" t="str">
        <f t="shared" si="36"/>
        <v/>
      </c>
    </row>
    <row r="240" spans="3:11" x14ac:dyDescent="0.25">
      <c r="C240" s="23"/>
      <c r="D240" s="22"/>
      <c r="E240" s="21" t="str">
        <f t="shared" si="30"/>
        <v/>
      </c>
      <c r="F240" s="21" t="str">
        <f t="shared" si="31"/>
        <v/>
      </c>
      <c r="G240" s="21" t="str">
        <f t="shared" si="32"/>
        <v/>
      </c>
      <c r="H240" s="20" t="str">
        <f t="shared" si="34"/>
        <v/>
      </c>
      <c r="I240" s="19" t="str">
        <f t="shared" si="33"/>
        <v/>
      </c>
      <c r="J240" s="19" t="str">
        <f t="shared" si="35"/>
        <v/>
      </c>
      <c r="K240" s="18" t="str">
        <f t="shared" si="36"/>
        <v/>
      </c>
    </row>
    <row r="241" spans="3:11" x14ac:dyDescent="0.25">
      <c r="C241" s="23"/>
      <c r="D241" s="22"/>
      <c r="E241" s="21" t="str">
        <f t="shared" si="30"/>
        <v/>
      </c>
      <c r="F241" s="21" t="str">
        <f t="shared" si="31"/>
        <v/>
      </c>
      <c r="G241" s="21" t="str">
        <f t="shared" si="32"/>
        <v/>
      </c>
      <c r="H241" s="20" t="str">
        <f t="shared" si="34"/>
        <v/>
      </c>
      <c r="I241" s="19" t="str">
        <f t="shared" si="33"/>
        <v/>
      </c>
      <c r="J241" s="19" t="str">
        <f t="shared" si="35"/>
        <v/>
      </c>
      <c r="K241" s="18" t="str">
        <f t="shared" si="36"/>
        <v/>
      </c>
    </row>
    <row r="242" spans="3:11" x14ac:dyDescent="0.25">
      <c r="C242" s="23"/>
      <c r="D242" s="22"/>
      <c r="E242" s="21" t="str">
        <f t="shared" si="30"/>
        <v/>
      </c>
      <c r="F242" s="21" t="str">
        <f t="shared" si="31"/>
        <v/>
      </c>
      <c r="G242" s="21" t="str">
        <f t="shared" si="32"/>
        <v/>
      </c>
      <c r="H242" s="20" t="str">
        <f t="shared" si="34"/>
        <v/>
      </c>
      <c r="I242" s="19" t="str">
        <f t="shared" si="33"/>
        <v/>
      </c>
      <c r="J242" s="19" t="str">
        <f t="shared" si="35"/>
        <v/>
      </c>
      <c r="K242" s="18" t="str">
        <f t="shared" si="36"/>
        <v/>
      </c>
    </row>
    <row r="243" spans="3:11" x14ac:dyDescent="0.25">
      <c r="C243" s="23"/>
      <c r="D243" s="22"/>
      <c r="E243" s="21" t="str">
        <f t="shared" si="30"/>
        <v/>
      </c>
      <c r="F243" s="21" t="str">
        <f t="shared" si="31"/>
        <v/>
      </c>
      <c r="G243" s="21" t="str">
        <f t="shared" si="32"/>
        <v/>
      </c>
      <c r="H243" s="20" t="str">
        <f t="shared" si="34"/>
        <v/>
      </c>
      <c r="I243" s="19" t="str">
        <f t="shared" si="33"/>
        <v/>
      </c>
      <c r="J243" s="19" t="str">
        <f t="shared" si="35"/>
        <v/>
      </c>
      <c r="K243" s="18" t="str">
        <f t="shared" si="36"/>
        <v/>
      </c>
    </row>
    <row r="244" spans="3:11" x14ac:dyDescent="0.25">
      <c r="C244" s="23"/>
      <c r="D244" s="22"/>
      <c r="E244" s="21" t="str">
        <f t="shared" si="30"/>
        <v/>
      </c>
      <c r="F244" s="21" t="str">
        <f t="shared" si="31"/>
        <v/>
      </c>
      <c r="G244" s="21" t="str">
        <f t="shared" si="32"/>
        <v/>
      </c>
      <c r="H244" s="20" t="str">
        <f t="shared" si="34"/>
        <v/>
      </c>
      <c r="I244" s="19" t="str">
        <f t="shared" si="33"/>
        <v/>
      </c>
      <c r="J244" s="19" t="str">
        <f t="shared" si="35"/>
        <v/>
      </c>
      <c r="K244" s="18" t="str">
        <f t="shared" si="36"/>
        <v/>
      </c>
    </row>
    <row r="245" spans="3:11" x14ac:dyDescent="0.25">
      <c r="C245" s="23"/>
      <c r="D245" s="22"/>
      <c r="E245" s="21" t="str">
        <f t="shared" si="30"/>
        <v/>
      </c>
      <c r="F245" s="21" t="str">
        <f t="shared" si="31"/>
        <v/>
      </c>
      <c r="G245" s="21" t="str">
        <f t="shared" si="32"/>
        <v/>
      </c>
      <c r="H245" s="20" t="str">
        <f t="shared" si="34"/>
        <v/>
      </c>
      <c r="I245" s="19" t="str">
        <f t="shared" si="33"/>
        <v/>
      </c>
      <c r="J245" s="19" t="str">
        <f t="shared" si="35"/>
        <v/>
      </c>
      <c r="K245" s="18" t="str">
        <f t="shared" si="36"/>
        <v/>
      </c>
    </row>
    <row r="246" spans="3:11" x14ac:dyDescent="0.25">
      <c r="C246" s="23"/>
      <c r="D246" s="22"/>
      <c r="E246" s="21" t="str">
        <f t="shared" si="30"/>
        <v/>
      </c>
      <c r="F246" s="21" t="str">
        <f t="shared" si="31"/>
        <v/>
      </c>
      <c r="G246" s="21" t="str">
        <f t="shared" si="32"/>
        <v/>
      </c>
      <c r="H246" s="20" t="str">
        <f t="shared" si="34"/>
        <v/>
      </c>
      <c r="I246" s="19" t="str">
        <f t="shared" si="33"/>
        <v/>
      </c>
      <c r="J246" s="19" t="str">
        <f t="shared" si="35"/>
        <v/>
      </c>
      <c r="K246" s="18" t="str">
        <f t="shared" si="36"/>
        <v/>
      </c>
    </row>
    <row r="247" spans="3:11" x14ac:dyDescent="0.25">
      <c r="C247" s="23"/>
      <c r="D247" s="22"/>
      <c r="E247" s="21" t="str">
        <f t="shared" si="30"/>
        <v/>
      </c>
      <c r="F247" s="21" t="str">
        <f t="shared" si="31"/>
        <v/>
      </c>
      <c r="G247" s="21" t="str">
        <f t="shared" si="32"/>
        <v/>
      </c>
      <c r="H247" s="20" t="str">
        <f t="shared" si="34"/>
        <v/>
      </c>
      <c r="I247" s="19" t="str">
        <f t="shared" si="33"/>
        <v/>
      </c>
      <c r="J247" s="19" t="str">
        <f t="shared" si="35"/>
        <v/>
      </c>
      <c r="K247" s="18" t="str">
        <f t="shared" si="36"/>
        <v/>
      </c>
    </row>
    <row r="248" spans="3:11" x14ac:dyDescent="0.25">
      <c r="C248" s="23"/>
      <c r="D248" s="22"/>
      <c r="E248" s="21" t="str">
        <f t="shared" si="30"/>
        <v/>
      </c>
      <c r="F248" s="21" t="str">
        <f t="shared" si="31"/>
        <v/>
      </c>
      <c r="G248" s="21" t="str">
        <f t="shared" si="32"/>
        <v/>
      </c>
      <c r="H248" s="20" t="str">
        <f t="shared" si="34"/>
        <v/>
      </c>
      <c r="I248" s="19" t="str">
        <f t="shared" si="33"/>
        <v/>
      </c>
      <c r="J248" s="19" t="str">
        <f t="shared" si="35"/>
        <v/>
      </c>
      <c r="K248" s="18" t="str">
        <f t="shared" si="36"/>
        <v/>
      </c>
    </row>
    <row r="249" spans="3:11" x14ac:dyDescent="0.25">
      <c r="C249" s="23"/>
      <c r="D249" s="22"/>
      <c r="E249" s="21" t="str">
        <f t="shared" si="30"/>
        <v/>
      </c>
      <c r="F249" s="21" t="str">
        <f t="shared" si="31"/>
        <v/>
      </c>
      <c r="G249" s="21" t="str">
        <f t="shared" si="32"/>
        <v/>
      </c>
      <c r="H249" s="20" t="str">
        <f t="shared" si="34"/>
        <v/>
      </c>
      <c r="I249" s="19" t="str">
        <f t="shared" si="33"/>
        <v/>
      </c>
      <c r="J249" s="19" t="str">
        <f t="shared" si="35"/>
        <v/>
      </c>
      <c r="K249" s="18" t="str">
        <f t="shared" si="36"/>
        <v/>
      </c>
    </row>
    <row r="250" spans="3:11" x14ac:dyDescent="0.25">
      <c r="C250" s="23"/>
      <c r="D250" s="22"/>
      <c r="E250" s="21" t="str">
        <f t="shared" si="30"/>
        <v/>
      </c>
      <c r="F250" s="21" t="str">
        <f t="shared" si="31"/>
        <v/>
      </c>
      <c r="G250" s="21" t="str">
        <f t="shared" si="32"/>
        <v/>
      </c>
      <c r="H250" s="20" t="str">
        <f t="shared" si="34"/>
        <v/>
      </c>
      <c r="I250" s="19" t="str">
        <f t="shared" si="33"/>
        <v/>
      </c>
      <c r="J250" s="19" t="str">
        <f t="shared" si="35"/>
        <v/>
      </c>
      <c r="K250" s="18" t="str">
        <f t="shared" si="36"/>
        <v/>
      </c>
    </row>
    <row r="251" spans="3:11" x14ac:dyDescent="0.25">
      <c r="C251" s="23"/>
      <c r="D251" s="22"/>
      <c r="E251" s="21" t="str">
        <f t="shared" si="30"/>
        <v/>
      </c>
      <c r="F251" s="21" t="str">
        <f t="shared" si="31"/>
        <v/>
      </c>
      <c r="G251" s="21" t="str">
        <f t="shared" si="32"/>
        <v/>
      </c>
      <c r="H251" s="20" t="str">
        <f t="shared" si="34"/>
        <v/>
      </c>
      <c r="I251" s="19" t="str">
        <f t="shared" si="33"/>
        <v/>
      </c>
      <c r="J251" s="19" t="str">
        <f t="shared" si="35"/>
        <v/>
      </c>
      <c r="K251" s="18" t="str">
        <f t="shared" si="36"/>
        <v/>
      </c>
    </row>
    <row r="252" spans="3:11" x14ac:dyDescent="0.25">
      <c r="C252" s="23"/>
      <c r="D252" s="22"/>
      <c r="E252" s="21" t="str">
        <f t="shared" si="30"/>
        <v/>
      </c>
      <c r="F252" s="21" t="str">
        <f t="shared" si="31"/>
        <v/>
      </c>
      <c r="G252" s="21" t="str">
        <f t="shared" si="32"/>
        <v/>
      </c>
      <c r="H252" s="20" t="str">
        <f t="shared" si="34"/>
        <v/>
      </c>
      <c r="I252" s="19" t="str">
        <f t="shared" si="33"/>
        <v/>
      </c>
      <c r="J252" s="19" t="str">
        <f t="shared" si="35"/>
        <v/>
      </c>
      <c r="K252" s="18" t="str">
        <f t="shared" si="36"/>
        <v/>
      </c>
    </row>
    <row r="253" spans="3:11" x14ac:dyDescent="0.25">
      <c r="C253" s="23"/>
      <c r="D253" s="22"/>
      <c r="E253" s="21" t="str">
        <f t="shared" si="30"/>
        <v/>
      </c>
      <c r="F253" s="21" t="str">
        <f t="shared" si="31"/>
        <v/>
      </c>
      <c r="G253" s="21" t="str">
        <f t="shared" si="32"/>
        <v/>
      </c>
      <c r="H253" s="20" t="str">
        <f t="shared" si="34"/>
        <v/>
      </c>
      <c r="I253" s="19" t="str">
        <f t="shared" si="33"/>
        <v/>
      </c>
      <c r="J253" s="19" t="str">
        <f t="shared" si="35"/>
        <v/>
      </c>
      <c r="K253" s="18" t="str">
        <f t="shared" si="36"/>
        <v/>
      </c>
    </row>
    <row r="254" spans="3:11" x14ac:dyDescent="0.25">
      <c r="C254" s="23"/>
      <c r="D254" s="22"/>
      <c r="E254" s="21" t="str">
        <f t="shared" si="30"/>
        <v/>
      </c>
      <c r="F254" s="21" t="str">
        <f t="shared" si="31"/>
        <v/>
      </c>
      <c r="G254" s="21" t="str">
        <f t="shared" si="32"/>
        <v/>
      </c>
      <c r="H254" s="20" t="str">
        <f t="shared" si="34"/>
        <v/>
      </c>
      <c r="I254" s="19" t="str">
        <f t="shared" si="33"/>
        <v/>
      </c>
      <c r="J254" s="19" t="str">
        <f t="shared" si="35"/>
        <v/>
      </c>
      <c r="K254" s="18" t="str">
        <f t="shared" si="36"/>
        <v/>
      </c>
    </row>
    <row r="255" spans="3:11" x14ac:dyDescent="0.25">
      <c r="C255" s="23"/>
      <c r="D255" s="22"/>
      <c r="E255" s="21" t="str">
        <f t="shared" si="30"/>
        <v/>
      </c>
      <c r="F255" s="21" t="str">
        <f t="shared" si="31"/>
        <v/>
      </c>
      <c r="G255" s="21" t="str">
        <f t="shared" si="32"/>
        <v/>
      </c>
      <c r="H255" s="20" t="str">
        <f t="shared" si="34"/>
        <v/>
      </c>
      <c r="I255" s="19" t="str">
        <f t="shared" si="33"/>
        <v/>
      </c>
      <c r="J255" s="19" t="str">
        <f t="shared" si="35"/>
        <v/>
      </c>
      <c r="K255" s="18" t="str">
        <f t="shared" si="36"/>
        <v/>
      </c>
    </row>
    <row r="256" spans="3:11" x14ac:dyDescent="0.25">
      <c r="C256" s="23"/>
      <c r="D256" s="22"/>
      <c r="E256" s="21" t="str">
        <f t="shared" si="30"/>
        <v/>
      </c>
      <c r="F256" s="21" t="str">
        <f t="shared" si="31"/>
        <v/>
      </c>
      <c r="G256" s="21" t="str">
        <f t="shared" si="32"/>
        <v/>
      </c>
      <c r="H256" s="20" t="str">
        <f t="shared" si="34"/>
        <v/>
      </c>
      <c r="I256" s="19" t="str">
        <f t="shared" si="33"/>
        <v/>
      </c>
      <c r="J256" s="19" t="str">
        <f t="shared" si="35"/>
        <v/>
      </c>
      <c r="K256" s="18" t="str">
        <f t="shared" si="36"/>
        <v/>
      </c>
    </row>
    <row r="257" spans="3:11" x14ac:dyDescent="0.25">
      <c r="C257" s="23"/>
      <c r="D257" s="22"/>
      <c r="E257" s="21" t="str">
        <f t="shared" si="30"/>
        <v/>
      </c>
      <c r="F257" s="21" t="str">
        <f t="shared" si="31"/>
        <v/>
      </c>
      <c r="G257" s="21" t="str">
        <f t="shared" si="32"/>
        <v/>
      </c>
      <c r="H257" s="20" t="str">
        <f t="shared" si="34"/>
        <v/>
      </c>
      <c r="I257" s="19" t="str">
        <f t="shared" si="33"/>
        <v/>
      </c>
      <c r="J257" s="19" t="str">
        <f t="shared" si="35"/>
        <v/>
      </c>
      <c r="K257" s="18" t="str">
        <f t="shared" si="36"/>
        <v/>
      </c>
    </row>
    <row r="258" spans="3:11" x14ac:dyDescent="0.25">
      <c r="C258" s="23"/>
      <c r="D258" s="22"/>
      <c r="E258" s="21" t="str">
        <f t="shared" si="30"/>
        <v/>
      </c>
      <c r="F258" s="21" t="str">
        <f t="shared" si="31"/>
        <v/>
      </c>
      <c r="G258" s="21" t="str">
        <f t="shared" si="32"/>
        <v/>
      </c>
      <c r="H258" s="20" t="str">
        <f t="shared" si="34"/>
        <v/>
      </c>
      <c r="I258" s="19" t="str">
        <f t="shared" si="33"/>
        <v/>
      </c>
      <c r="J258" s="19" t="str">
        <f t="shared" si="35"/>
        <v/>
      </c>
      <c r="K258" s="18" t="str">
        <f t="shared" si="36"/>
        <v/>
      </c>
    </row>
    <row r="259" spans="3:11" x14ac:dyDescent="0.25">
      <c r="C259" s="23"/>
      <c r="D259" s="22"/>
      <c r="E259" s="21" t="str">
        <f t="shared" si="30"/>
        <v/>
      </c>
      <c r="F259" s="21" t="str">
        <f t="shared" si="31"/>
        <v/>
      </c>
      <c r="G259" s="21" t="str">
        <f t="shared" si="32"/>
        <v/>
      </c>
      <c r="H259" s="20" t="str">
        <f t="shared" si="34"/>
        <v/>
      </c>
      <c r="I259" s="19" t="str">
        <f t="shared" si="33"/>
        <v/>
      </c>
      <c r="J259" s="19" t="str">
        <f t="shared" si="35"/>
        <v/>
      </c>
      <c r="K259" s="18" t="str">
        <f t="shared" si="36"/>
        <v/>
      </c>
    </row>
    <row r="260" spans="3:11" x14ac:dyDescent="0.25">
      <c r="C260" s="23"/>
      <c r="D260" s="22"/>
      <c r="E260" s="21" t="str">
        <f t="shared" si="30"/>
        <v/>
      </c>
      <c r="F260" s="21" t="str">
        <f t="shared" si="31"/>
        <v/>
      </c>
      <c r="G260" s="21" t="str">
        <f t="shared" si="32"/>
        <v/>
      </c>
      <c r="H260" s="20" t="str">
        <f t="shared" si="34"/>
        <v/>
      </c>
      <c r="I260" s="19" t="str">
        <f t="shared" si="33"/>
        <v/>
      </c>
      <c r="J260" s="19" t="str">
        <f t="shared" si="35"/>
        <v/>
      </c>
      <c r="K260" s="18" t="str">
        <f t="shared" si="36"/>
        <v/>
      </c>
    </row>
    <row r="261" spans="3:11" x14ac:dyDescent="0.25">
      <c r="C261" s="23"/>
      <c r="D261" s="22"/>
      <c r="E261" s="21" t="str">
        <f t="shared" si="30"/>
        <v/>
      </c>
      <c r="F261" s="21" t="str">
        <f t="shared" si="31"/>
        <v/>
      </c>
      <c r="G261" s="21" t="str">
        <f t="shared" si="32"/>
        <v/>
      </c>
      <c r="H261" s="20" t="str">
        <f t="shared" si="34"/>
        <v/>
      </c>
      <c r="I261" s="19" t="str">
        <f t="shared" si="33"/>
        <v/>
      </c>
      <c r="J261" s="19" t="str">
        <f t="shared" si="35"/>
        <v/>
      </c>
      <c r="K261" s="18" t="str">
        <f t="shared" si="36"/>
        <v/>
      </c>
    </row>
    <row r="262" spans="3:11" x14ac:dyDescent="0.25">
      <c r="C262" s="23"/>
      <c r="D262" s="22"/>
      <c r="E262" s="21" t="str">
        <f t="shared" si="30"/>
        <v/>
      </c>
      <c r="F262" s="21" t="str">
        <f t="shared" si="31"/>
        <v/>
      </c>
      <c r="G262" s="21" t="str">
        <f t="shared" si="32"/>
        <v/>
      </c>
      <c r="H262" s="20" t="str">
        <f t="shared" si="34"/>
        <v/>
      </c>
      <c r="I262" s="19" t="str">
        <f t="shared" si="33"/>
        <v/>
      </c>
      <c r="J262" s="19" t="str">
        <f t="shared" si="35"/>
        <v/>
      </c>
      <c r="K262" s="18" t="str">
        <f t="shared" si="36"/>
        <v/>
      </c>
    </row>
    <row r="263" spans="3:11" x14ac:dyDescent="0.25">
      <c r="C263" s="23"/>
      <c r="D263" s="22"/>
      <c r="E263" s="21" t="str">
        <f t="shared" si="30"/>
        <v/>
      </c>
      <c r="F263" s="21" t="str">
        <f t="shared" si="31"/>
        <v/>
      </c>
      <c r="G263" s="21" t="str">
        <f t="shared" si="32"/>
        <v/>
      </c>
      <c r="H263" s="20" t="str">
        <f t="shared" si="34"/>
        <v/>
      </c>
      <c r="I263" s="19" t="str">
        <f t="shared" si="33"/>
        <v/>
      </c>
      <c r="J263" s="19" t="str">
        <f t="shared" si="35"/>
        <v/>
      </c>
      <c r="K263" s="18" t="str">
        <f t="shared" si="36"/>
        <v/>
      </c>
    </row>
    <row r="264" spans="3:11" x14ac:dyDescent="0.25">
      <c r="C264" s="23"/>
      <c r="D264" s="22"/>
      <c r="E264" s="21" t="str">
        <f t="shared" ref="E264:E327" si="37">MID(C264,LEN("UTC ")+1,LEN("UTC - "))</f>
        <v/>
      </c>
      <c r="F264" s="21" t="str">
        <f t="shared" ref="F264:F327" si="38">IF(D264="Y",E264+1,E264)</f>
        <v/>
      </c>
      <c r="G264" s="21" t="str">
        <f t="shared" ref="G264:G327" si="39">IF(F264="","",IF(rDST="N",F264,F264+1))</f>
        <v/>
      </c>
      <c r="H264" s="20" t="str">
        <f t="shared" si="34"/>
        <v/>
      </c>
      <c r="I264" s="19" t="str">
        <f t="shared" ref="I264:I327" si="40">IF(B264="","",IF(F264&lt;0,rGreenwich-TIME(ABS(F264),(H264),0),rGreenwich+TIME(ABS(F264),(H264),0)))</f>
        <v/>
      </c>
      <c r="J264" s="19" t="str">
        <f t="shared" si="35"/>
        <v/>
      </c>
      <c r="K264" s="18" t="str">
        <f t="shared" si="36"/>
        <v/>
      </c>
    </row>
    <row r="265" spans="3:11" x14ac:dyDescent="0.25">
      <c r="C265" s="23"/>
      <c r="D265" s="22"/>
      <c r="E265" s="21" t="str">
        <f t="shared" si="37"/>
        <v/>
      </c>
      <c r="F265" s="21" t="str">
        <f t="shared" si="38"/>
        <v/>
      </c>
      <c r="G265" s="21" t="str">
        <f t="shared" si="39"/>
        <v/>
      </c>
      <c r="H265" s="20" t="str">
        <f t="shared" si="34"/>
        <v/>
      </c>
      <c r="I265" s="19" t="str">
        <f t="shared" si="40"/>
        <v/>
      </c>
      <c r="J265" s="19" t="str">
        <f t="shared" si="35"/>
        <v/>
      </c>
      <c r="K265" s="18" t="str">
        <f t="shared" si="36"/>
        <v/>
      </c>
    </row>
    <row r="266" spans="3:11" x14ac:dyDescent="0.25">
      <c r="C266" s="23"/>
      <c r="D266" s="22"/>
      <c r="E266" s="21" t="str">
        <f t="shared" si="37"/>
        <v/>
      </c>
      <c r="F266" s="21" t="str">
        <f t="shared" si="38"/>
        <v/>
      </c>
      <c r="G266" s="21" t="str">
        <f t="shared" si="39"/>
        <v/>
      </c>
      <c r="H266" s="20" t="str">
        <f t="shared" si="34"/>
        <v/>
      </c>
      <c r="I266" s="19" t="str">
        <f t="shared" si="40"/>
        <v/>
      </c>
      <c r="J266" s="19" t="str">
        <f t="shared" si="35"/>
        <v/>
      </c>
      <c r="K266" s="18" t="str">
        <f t="shared" si="36"/>
        <v/>
      </c>
    </row>
    <row r="267" spans="3:11" x14ac:dyDescent="0.25">
      <c r="C267" s="23"/>
      <c r="D267" s="22"/>
      <c r="E267" s="21" t="str">
        <f t="shared" si="37"/>
        <v/>
      </c>
      <c r="F267" s="21" t="str">
        <f t="shared" si="38"/>
        <v/>
      </c>
      <c r="G267" s="21" t="str">
        <f t="shared" si="39"/>
        <v/>
      </c>
      <c r="H267" s="20" t="str">
        <f t="shared" si="34"/>
        <v/>
      </c>
      <c r="I267" s="19" t="str">
        <f t="shared" si="40"/>
        <v/>
      </c>
      <c r="J267" s="19" t="str">
        <f t="shared" si="35"/>
        <v/>
      </c>
      <c r="K267" s="18" t="str">
        <f t="shared" si="36"/>
        <v/>
      </c>
    </row>
    <row r="268" spans="3:11" x14ac:dyDescent="0.25">
      <c r="C268" s="23"/>
      <c r="D268" s="22"/>
      <c r="E268" s="21" t="str">
        <f t="shared" si="37"/>
        <v/>
      </c>
      <c r="F268" s="21" t="str">
        <f t="shared" si="38"/>
        <v/>
      </c>
      <c r="G268" s="21" t="str">
        <f t="shared" si="39"/>
        <v/>
      </c>
      <c r="H268" s="20" t="str">
        <f t="shared" si="34"/>
        <v/>
      </c>
      <c r="I268" s="19" t="str">
        <f t="shared" si="40"/>
        <v/>
      </c>
      <c r="J268" s="19" t="str">
        <f t="shared" si="35"/>
        <v/>
      </c>
      <c r="K268" s="18" t="str">
        <f t="shared" si="36"/>
        <v/>
      </c>
    </row>
    <row r="269" spans="3:11" x14ac:dyDescent="0.25">
      <c r="C269" s="23"/>
      <c r="D269" s="22"/>
      <c r="E269" s="21" t="str">
        <f t="shared" si="37"/>
        <v/>
      </c>
      <c r="F269" s="21" t="str">
        <f t="shared" si="38"/>
        <v/>
      </c>
      <c r="G269" s="21" t="str">
        <f t="shared" si="39"/>
        <v/>
      </c>
      <c r="H269" s="20" t="str">
        <f t="shared" si="34"/>
        <v/>
      </c>
      <c r="I269" s="19" t="str">
        <f t="shared" si="40"/>
        <v/>
      </c>
      <c r="J269" s="19" t="str">
        <f t="shared" si="35"/>
        <v/>
      </c>
      <c r="K269" s="18" t="str">
        <f t="shared" si="36"/>
        <v/>
      </c>
    </row>
    <row r="270" spans="3:11" x14ac:dyDescent="0.25">
      <c r="C270" s="23"/>
      <c r="D270" s="22"/>
      <c r="E270" s="21" t="str">
        <f t="shared" si="37"/>
        <v/>
      </c>
      <c r="F270" s="21" t="str">
        <f t="shared" si="38"/>
        <v/>
      </c>
      <c r="G270" s="21" t="str">
        <f t="shared" si="39"/>
        <v/>
      </c>
      <c r="H270" s="20" t="str">
        <f t="shared" si="34"/>
        <v/>
      </c>
      <c r="I270" s="19" t="str">
        <f t="shared" si="40"/>
        <v/>
      </c>
      <c r="J270" s="19" t="str">
        <f t="shared" si="35"/>
        <v/>
      </c>
      <c r="K270" s="18" t="str">
        <f t="shared" si="36"/>
        <v/>
      </c>
    </row>
    <row r="271" spans="3:11" x14ac:dyDescent="0.25">
      <c r="C271" s="23"/>
      <c r="D271" s="22"/>
      <c r="E271" s="21" t="str">
        <f t="shared" si="37"/>
        <v/>
      </c>
      <c r="F271" s="21" t="str">
        <f t="shared" si="38"/>
        <v/>
      </c>
      <c r="G271" s="21" t="str">
        <f t="shared" si="39"/>
        <v/>
      </c>
      <c r="H271" s="20" t="str">
        <f t="shared" si="34"/>
        <v/>
      </c>
      <c r="I271" s="19" t="str">
        <f t="shared" si="40"/>
        <v/>
      </c>
      <c r="J271" s="19" t="str">
        <f t="shared" si="35"/>
        <v/>
      </c>
      <c r="K271" s="18" t="str">
        <f t="shared" si="36"/>
        <v/>
      </c>
    </row>
    <row r="272" spans="3:11" x14ac:dyDescent="0.25">
      <c r="C272" s="23"/>
      <c r="D272" s="22"/>
      <c r="E272" s="21" t="str">
        <f t="shared" si="37"/>
        <v/>
      </c>
      <c r="F272" s="21" t="str">
        <f t="shared" si="38"/>
        <v/>
      </c>
      <c r="G272" s="21" t="str">
        <f t="shared" si="39"/>
        <v/>
      </c>
      <c r="H272" s="20" t="str">
        <f t="shared" si="34"/>
        <v/>
      </c>
      <c r="I272" s="19" t="str">
        <f t="shared" si="40"/>
        <v/>
      </c>
      <c r="J272" s="19" t="str">
        <f t="shared" si="35"/>
        <v/>
      </c>
      <c r="K272" s="18" t="str">
        <f t="shared" si="36"/>
        <v/>
      </c>
    </row>
    <row r="273" spans="3:11" x14ac:dyDescent="0.25">
      <c r="C273" s="23"/>
      <c r="D273" s="22"/>
      <c r="E273" s="21" t="str">
        <f t="shared" si="37"/>
        <v/>
      </c>
      <c r="F273" s="21" t="str">
        <f t="shared" si="38"/>
        <v/>
      </c>
      <c r="G273" s="21" t="str">
        <f t="shared" si="39"/>
        <v/>
      </c>
      <c r="H273" s="20" t="str">
        <f t="shared" si="34"/>
        <v/>
      </c>
      <c r="I273" s="19" t="str">
        <f t="shared" si="40"/>
        <v/>
      </c>
      <c r="J273" s="19" t="str">
        <f t="shared" si="35"/>
        <v/>
      </c>
      <c r="K273" s="18" t="str">
        <f t="shared" si="36"/>
        <v/>
      </c>
    </row>
    <row r="274" spans="3:11" x14ac:dyDescent="0.25">
      <c r="C274" s="23"/>
      <c r="D274" s="22"/>
      <c r="E274" s="21" t="str">
        <f t="shared" si="37"/>
        <v/>
      </c>
      <c r="F274" s="21" t="str">
        <f t="shared" si="38"/>
        <v/>
      </c>
      <c r="G274" s="21" t="str">
        <f t="shared" si="39"/>
        <v/>
      </c>
      <c r="H274" s="20" t="str">
        <f t="shared" si="34"/>
        <v/>
      </c>
      <c r="I274" s="19" t="str">
        <f t="shared" si="40"/>
        <v/>
      </c>
      <c r="J274" s="19" t="str">
        <f t="shared" si="35"/>
        <v/>
      </c>
      <c r="K274" s="18" t="str">
        <f t="shared" si="36"/>
        <v/>
      </c>
    </row>
    <row r="275" spans="3:11" x14ac:dyDescent="0.25">
      <c r="C275" s="23"/>
      <c r="D275" s="22"/>
      <c r="E275" s="21" t="str">
        <f t="shared" si="37"/>
        <v/>
      </c>
      <c r="F275" s="21" t="str">
        <f t="shared" si="38"/>
        <v/>
      </c>
      <c r="G275" s="21" t="str">
        <f t="shared" si="39"/>
        <v/>
      </c>
      <c r="H275" s="20" t="str">
        <f t="shared" si="34"/>
        <v/>
      </c>
      <c r="I275" s="19" t="str">
        <f t="shared" si="40"/>
        <v/>
      </c>
      <c r="J275" s="19" t="str">
        <f t="shared" si="35"/>
        <v/>
      </c>
      <c r="K275" s="18" t="str">
        <f t="shared" si="36"/>
        <v/>
      </c>
    </row>
    <row r="276" spans="3:11" x14ac:dyDescent="0.25">
      <c r="C276" s="23"/>
      <c r="D276" s="22"/>
      <c r="E276" s="21" t="str">
        <f t="shared" si="37"/>
        <v/>
      </c>
      <c r="F276" s="21" t="str">
        <f t="shared" si="38"/>
        <v/>
      </c>
      <c r="G276" s="21" t="str">
        <f t="shared" si="39"/>
        <v/>
      </c>
      <c r="H276" s="20" t="str">
        <f t="shared" si="34"/>
        <v/>
      </c>
      <c r="I276" s="19" t="str">
        <f t="shared" si="40"/>
        <v/>
      </c>
      <c r="J276" s="19" t="str">
        <f t="shared" si="35"/>
        <v/>
      </c>
      <c r="K276" s="18" t="str">
        <f t="shared" si="36"/>
        <v/>
      </c>
    </row>
    <row r="277" spans="3:11" x14ac:dyDescent="0.25">
      <c r="C277" s="23"/>
      <c r="D277" s="22"/>
      <c r="E277" s="21" t="str">
        <f t="shared" si="37"/>
        <v/>
      </c>
      <c r="F277" s="21" t="str">
        <f t="shared" si="38"/>
        <v/>
      </c>
      <c r="G277" s="21" t="str">
        <f t="shared" si="39"/>
        <v/>
      </c>
      <c r="H277" s="20" t="str">
        <f t="shared" si="34"/>
        <v/>
      </c>
      <c r="I277" s="19" t="str">
        <f t="shared" si="40"/>
        <v/>
      </c>
      <c r="J277" s="19" t="str">
        <f t="shared" si="35"/>
        <v/>
      </c>
      <c r="K277" s="18" t="str">
        <f t="shared" si="36"/>
        <v/>
      </c>
    </row>
    <row r="278" spans="3:11" x14ac:dyDescent="0.25">
      <c r="C278" s="23"/>
      <c r="D278" s="22"/>
      <c r="E278" s="21" t="str">
        <f t="shared" si="37"/>
        <v/>
      </c>
      <c r="F278" s="21" t="str">
        <f t="shared" si="38"/>
        <v/>
      </c>
      <c r="G278" s="21" t="str">
        <f t="shared" si="39"/>
        <v/>
      </c>
      <c r="H278" s="20" t="str">
        <f t="shared" si="34"/>
        <v/>
      </c>
      <c r="I278" s="19" t="str">
        <f t="shared" si="40"/>
        <v/>
      </c>
      <c r="J278" s="19" t="str">
        <f t="shared" si="35"/>
        <v/>
      </c>
      <c r="K278" s="18" t="str">
        <f t="shared" si="36"/>
        <v/>
      </c>
    </row>
    <row r="279" spans="3:11" x14ac:dyDescent="0.25">
      <c r="C279" s="23"/>
      <c r="D279" s="22"/>
      <c r="E279" s="21" t="str">
        <f t="shared" si="37"/>
        <v/>
      </c>
      <c r="F279" s="21" t="str">
        <f t="shared" si="38"/>
        <v/>
      </c>
      <c r="G279" s="21" t="str">
        <f t="shared" si="39"/>
        <v/>
      </c>
      <c r="H279" s="20" t="str">
        <f t="shared" si="34"/>
        <v/>
      </c>
      <c r="I279" s="19" t="str">
        <f t="shared" si="40"/>
        <v/>
      </c>
      <c r="J279" s="19" t="str">
        <f t="shared" si="35"/>
        <v/>
      </c>
      <c r="K279" s="18" t="str">
        <f t="shared" si="36"/>
        <v/>
      </c>
    </row>
    <row r="280" spans="3:11" x14ac:dyDescent="0.25">
      <c r="C280" s="23"/>
      <c r="D280" s="22"/>
      <c r="E280" s="21" t="str">
        <f t="shared" si="37"/>
        <v/>
      </c>
      <c r="F280" s="21" t="str">
        <f t="shared" si="38"/>
        <v/>
      </c>
      <c r="G280" s="21" t="str">
        <f t="shared" si="39"/>
        <v/>
      </c>
      <c r="H280" s="20" t="str">
        <f t="shared" si="34"/>
        <v/>
      </c>
      <c r="I280" s="19" t="str">
        <f t="shared" si="40"/>
        <v/>
      </c>
      <c r="J280" s="19" t="str">
        <f t="shared" si="35"/>
        <v/>
      </c>
      <c r="K280" s="18" t="str">
        <f t="shared" si="36"/>
        <v/>
      </c>
    </row>
    <row r="281" spans="3:11" x14ac:dyDescent="0.25">
      <c r="C281" s="23"/>
      <c r="D281" s="22"/>
      <c r="E281" s="21" t="str">
        <f t="shared" si="37"/>
        <v/>
      </c>
      <c r="F281" s="21" t="str">
        <f t="shared" si="38"/>
        <v/>
      </c>
      <c r="G281" s="21" t="str">
        <f t="shared" si="39"/>
        <v/>
      </c>
      <c r="H281" s="20" t="str">
        <f t="shared" si="34"/>
        <v/>
      </c>
      <c r="I281" s="19" t="str">
        <f t="shared" si="40"/>
        <v/>
      </c>
      <c r="J281" s="19" t="str">
        <f t="shared" si="35"/>
        <v/>
      </c>
      <c r="K281" s="18" t="str">
        <f t="shared" si="36"/>
        <v/>
      </c>
    </row>
    <row r="282" spans="3:11" x14ac:dyDescent="0.25">
      <c r="C282" s="23"/>
      <c r="D282" s="22"/>
      <c r="E282" s="21" t="str">
        <f t="shared" si="37"/>
        <v/>
      </c>
      <c r="F282" s="21" t="str">
        <f t="shared" si="38"/>
        <v/>
      </c>
      <c r="G282" s="21" t="str">
        <f t="shared" si="39"/>
        <v/>
      </c>
      <c r="H282" s="20" t="str">
        <f t="shared" si="34"/>
        <v/>
      </c>
      <c r="I282" s="19" t="str">
        <f t="shared" si="40"/>
        <v/>
      </c>
      <c r="J282" s="19" t="str">
        <f t="shared" si="35"/>
        <v/>
      </c>
      <c r="K282" s="18" t="str">
        <f t="shared" si="36"/>
        <v/>
      </c>
    </row>
    <row r="283" spans="3:11" x14ac:dyDescent="0.25">
      <c r="C283" s="23"/>
      <c r="D283" s="22"/>
      <c r="E283" s="21" t="str">
        <f t="shared" si="37"/>
        <v/>
      </c>
      <c r="F283" s="21" t="str">
        <f t="shared" si="38"/>
        <v/>
      </c>
      <c r="G283" s="21" t="str">
        <f t="shared" si="39"/>
        <v/>
      </c>
      <c r="H283" s="20" t="str">
        <f t="shared" si="34"/>
        <v/>
      </c>
      <c r="I283" s="19" t="str">
        <f t="shared" si="40"/>
        <v/>
      </c>
      <c r="J283" s="19" t="str">
        <f t="shared" si="35"/>
        <v/>
      </c>
      <c r="K283" s="18" t="str">
        <f t="shared" si="36"/>
        <v/>
      </c>
    </row>
    <row r="284" spans="3:11" x14ac:dyDescent="0.25">
      <c r="C284" s="23"/>
      <c r="D284" s="22"/>
      <c r="E284" s="21" t="str">
        <f t="shared" si="37"/>
        <v/>
      </c>
      <c r="F284" s="21" t="str">
        <f t="shared" si="38"/>
        <v/>
      </c>
      <c r="G284" s="21" t="str">
        <f t="shared" si="39"/>
        <v/>
      </c>
      <c r="H284" s="20" t="str">
        <f t="shared" si="34"/>
        <v/>
      </c>
      <c r="I284" s="19" t="str">
        <f t="shared" si="40"/>
        <v/>
      </c>
      <c r="J284" s="19" t="str">
        <f t="shared" si="35"/>
        <v/>
      </c>
      <c r="K284" s="18" t="str">
        <f t="shared" si="36"/>
        <v/>
      </c>
    </row>
    <row r="285" spans="3:11" x14ac:dyDescent="0.25">
      <c r="C285" s="23"/>
      <c r="D285" s="22"/>
      <c r="E285" s="21" t="str">
        <f t="shared" si="37"/>
        <v/>
      </c>
      <c r="F285" s="21" t="str">
        <f t="shared" si="38"/>
        <v/>
      </c>
      <c r="G285" s="21" t="str">
        <f t="shared" si="39"/>
        <v/>
      </c>
      <c r="H285" s="20" t="str">
        <f t="shared" si="34"/>
        <v/>
      </c>
      <c r="I285" s="19" t="str">
        <f t="shared" si="40"/>
        <v/>
      </c>
      <c r="J285" s="19" t="str">
        <f t="shared" si="35"/>
        <v/>
      </c>
      <c r="K285" s="18" t="str">
        <f t="shared" si="36"/>
        <v/>
      </c>
    </row>
    <row r="286" spans="3:11" x14ac:dyDescent="0.25">
      <c r="C286" s="23"/>
      <c r="D286" s="22"/>
      <c r="E286" s="21" t="str">
        <f t="shared" si="37"/>
        <v/>
      </c>
      <c r="F286" s="21" t="str">
        <f t="shared" si="38"/>
        <v/>
      </c>
      <c r="G286" s="21" t="str">
        <f t="shared" si="39"/>
        <v/>
      </c>
      <c r="H286" s="20" t="str">
        <f t="shared" si="34"/>
        <v/>
      </c>
      <c r="I286" s="19" t="str">
        <f t="shared" si="40"/>
        <v/>
      </c>
      <c r="J286" s="19" t="str">
        <f t="shared" si="35"/>
        <v/>
      </c>
      <c r="K286" s="18" t="str">
        <f t="shared" si="36"/>
        <v/>
      </c>
    </row>
    <row r="287" spans="3:11" x14ac:dyDescent="0.25">
      <c r="C287" s="23"/>
      <c r="D287" s="22"/>
      <c r="E287" s="21" t="str">
        <f t="shared" si="37"/>
        <v/>
      </c>
      <c r="F287" s="21" t="str">
        <f t="shared" si="38"/>
        <v/>
      </c>
      <c r="G287" s="21" t="str">
        <f t="shared" si="39"/>
        <v/>
      </c>
      <c r="H287" s="20" t="str">
        <f t="shared" si="34"/>
        <v/>
      </c>
      <c r="I287" s="19" t="str">
        <f t="shared" si="40"/>
        <v/>
      </c>
      <c r="J287" s="19" t="str">
        <f t="shared" si="35"/>
        <v/>
      </c>
      <c r="K287" s="18" t="str">
        <f t="shared" si="36"/>
        <v/>
      </c>
    </row>
    <row r="288" spans="3:11" x14ac:dyDescent="0.25">
      <c r="C288" s="23"/>
      <c r="D288" s="22"/>
      <c r="E288" s="21" t="str">
        <f t="shared" si="37"/>
        <v/>
      </c>
      <c r="F288" s="21" t="str">
        <f t="shared" si="38"/>
        <v/>
      </c>
      <c r="G288" s="21" t="str">
        <f t="shared" si="39"/>
        <v/>
      </c>
      <c r="H288" s="20" t="str">
        <f t="shared" si="34"/>
        <v/>
      </c>
      <c r="I288" s="19" t="str">
        <f t="shared" si="40"/>
        <v/>
      </c>
      <c r="J288" s="19" t="str">
        <f t="shared" si="35"/>
        <v/>
      </c>
      <c r="K288" s="18" t="str">
        <f t="shared" si="36"/>
        <v/>
      </c>
    </row>
    <row r="289" spans="3:11" x14ac:dyDescent="0.25">
      <c r="C289" s="23"/>
      <c r="D289" s="22"/>
      <c r="E289" s="21" t="str">
        <f t="shared" si="37"/>
        <v/>
      </c>
      <c r="F289" s="21" t="str">
        <f t="shared" si="38"/>
        <v/>
      </c>
      <c r="G289" s="21" t="str">
        <f t="shared" si="39"/>
        <v/>
      </c>
      <c r="H289" s="20" t="str">
        <f t="shared" ref="H289:H352" si="41">IF(F289="","",MOD(F289,1)*60)</f>
        <v/>
      </c>
      <c r="I289" s="19" t="str">
        <f t="shared" si="40"/>
        <v/>
      </c>
      <c r="J289" s="19" t="str">
        <f t="shared" ref="J289:J352" si="42">IF(B289="","",I289+TIME(ABS($F$8),0,0))</f>
        <v/>
      </c>
      <c r="K289" s="18" t="str">
        <f t="shared" ref="K289:K352" si="43">IF(F289="","",ABS(T$12)+F289)</f>
        <v/>
      </c>
    </row>
    <row r="290" spans="3:11" x14ac:dyDescent="0.25">
      <c r="C290" s="23"/>
      <c r="D290" s="22"/>
      <c r="E290" s="21" t="str">
        <f t="shared" si="37"/>
        <v/>
      </c>
      <c r="F290" s="21" t="str">
        <f t="shared" si="38"/>
        <v/>
      </c>
      <c r="G290" s="21" t="str">
        <f t="shared" si="39"/>
        <v/>
      </c>
      <c r="H290" s="20" t="str">
        <f t="shared" si="41"/>
        <v/>
      </c>
      <c r="I290" s="19" t="str">
        <f t="shared" si="40"/>
        <v/>
      </c>
      <c r="J290" s="19" t="str">
        <f t="shared" si="42"/>
        <v/>
      </c>
      <c r="K290" s="18" t="str">
        <f t="shared" si="43"/>
        <v/>
      </c>
    </row>
    <row r="291" spans="3:11" x14ac:dyDescent="0.25">
      <c r="C291" s="23"/>
      <c r="D291" s="22"/>
      <c r="E291" s="21" t="str">
        <f t="shared" si="37"/>
        <v/>
      </c>
      <c r="F291" s="21" t="str">
        <f t="shared" si="38"/>
        <v/>
      </c>
      <c r="G291" s="21" t="str">
        <f t="shared" si="39"/>
        <v/>
      </c>
      <c r="H291" s="20" t="str">
        <f t="shared" si="41"/>
        <v/>
      </c>
      <c r="I291" s="19" t="str">
        <f t="shared" si="40"/>
        <v/>
      </c>
      <c r="J291" s="19" t="str">
        <f t="shared" si="42"/>
        <v/>
      </c>
      <c r="K291" s="18" t="str">
        <f t="shared" si="43"/>
        <v/>
      </c>
    </row>
    <row r="292" spans="3:11" x14ac:dyDescent="0.25">
      <c r="C292" s="23"/>
      <c r="D292" s="22"/>
      <c r="E292" s="21" t="str">
        <f t="shared" si="37"/>
        <v/>
      </c>
      <c r="F292" s="21" t="str">
        <f t="shared" si="38"/>
        <v/>
      </c>
      <c r="G292" s="21" t="str">
        <f t="shared" si="39"/>
        <v/>
      </c>
      <c r="H292" s="20" t="str">
        <f t="shared" si="41"/>
        <v/>
      </c>
      <c r="I292" s="19" t="str">
        <f t="shared" si="40"/>
        <v/>
      </c>
      <c r="J292" s="19" t="str">
        <f t="shared" si="42"/>
        <v/>
      </c>
      <c r="K292" s="18" t="str">
        <f t="shared" si="43"/>
        <v/>
      </c>
    </row>
    <row r="293" spans="3:11" x14ac:dyDescent="0.25">
      <c r="C293" s="23"/>
      <c r="D293" s="22"/>
      <c r="E293" s="21" t="str">
        <f t="shared" si="37"/>
        <v/>
      </c>
      <c r="F293" s="21" t="str">
        <f t="shared" si="38"/>
        <v/>
      </c>
      <c r="G293" s="21" t="str">
        <f t="shared" si="39"/>
        <v/>
      </c>
      <c r="H293" s="20" t="str">
        <f t="shared" si="41"/>
        <v/>
      </c>
      <c r="I293" s="19" t="str">
        <f t="shared" si="40"/>
        <v/>
      </c>
      <c r="J293" s="19" t="str">
        <f t="shared" si="42"/>
        <v/>
      </c>
      <c r="K293" s="18" t="str">
        <f t="shared" si="43"/>
        <v/>
      </c>
    </row>
    <row r="294" spans="3:11" x14ac:dyDescent="0.25">
      <c r="C294" s="23"/>
      <c r="D294" s="22"/>
      <c r="E294" s="21" t="str">
        <f t="shared" si="37"/>
        <v/>
      </c>
      <c r="F294" s="21" t="str">
        <f t="shared" si="38"/>
        <v/>
      </c>
      <c r="G294" s="21" t="str">
        <f t="shared" si="39"/>
        <v/>
      </c>
      <c r="H294" s="20" t="str">
        <f t="shared" si="41"/>
        <v/>
      </c>
      <c r="I294" s="19" t="str">
        <f t="shared" si="40"/>
        <v/>
      </c>
      <c r="J294" s="19" t="str">
        <f t="shared" si="42"/>
        <v/>
      </c>
      <c r="K294" s="18" t="str">
        <f t="shared" si="43"/>
        <v/>
      </c>
    </row>
    <row r="295" spans="3:11" x14ac:dyDescent="0.25">
      <c r="C295" s="23"/>
      <c r="D295" s="22"/>
      <c r="E295" s="21" t="str">
        <f t="shared" si="37"/>
        <v/>
      </c>
      <c r="F295" s="21" t="str">
        <f t="shared" si="38"/>
        <v/>
      </c>
      <c r="G295" s="21" t="str">
        <f t="shared" si="39"/>
        <v/>
      </c>
      <c r="H295" s="20" t="str">
        <f t="shared" si="41"/>
        <v/>
      </c>
      <c r="I295" s="19" t="str">
        <f t="shared" si="40"/>
        <v/>
      </c>
      <c r="J295" s="19" t="str">
        <f t="shared" si="42"/>
        <v/>
      </c>
      <c r="K295" s="18" t="str">
        <f t="shared" si="43"/>
        <v/>
      </c>
    </row>
    <row r="296" spans="3:11" x14ac:dyDescent="0.25">
      <c r="C296" s="23"/>
      <c r="D296" s="22"/>
      <c r="E296" s="21" t="str">
        <f t="shared" si="37"/>
        <v/>
      </c>
      <c r="F296" s="21" t="str">
        <f t="shared" si="38"/>
        <v/>
      </c>
      <c r="G296" s="21" t="str">
        <f t="shared" si="39"/>
        <v/>
      </c>
      <c r="H296" s="20" t="str">
        <f t="shared" si="41"/>
        <v/>
      </c>
      <c r="I296" s="19" t="str">
        <f t="shared" si="40"/>
        <v/>
      </c>
      <c r="J296" s="19" t="str">
        <f t="shared" si="42"/>
        <v/>
      </c>
      <c r="K296" s="18" t="str">
        <f t="shared" si="43"/>
        <v/>
      </c>
    </row>
    <row r="297" spans="3:11" x14ac:dyDescent="0.25">
      <c r="C297" s="23"/>
      <c r="D297" s="22"/>
      <c r="E297" s="21" t="str">
        <f t="shared" si="37"/>
        <v/>
      </c>
      <c r="F297" s="21" t="str">
        <f t="shared" si="38"/>
        <v/>
      </c>
      <c r="G297" s="21" t="str">
        <f t="shared" si="39"/>
        <v/>
      </c>
      <c r="H297" s="20" t="str">
        <f t="shared" si="41"/>
        <v/>
      </c>
      <c r="I297" s="19" t="str">
        <f t="shared" si="40"/>
        <v/>
      </c>
      <c r="J297" s="19" t="str">
        <f t="shared" si="42"/>
        <v/>
      </c>
      <c r="K297" s="18" t="str">
        <f t="shared" si="43"/>
        <v/>
      </c>
    </row>
    <row r="298" spans="3:11" x14ac:dyDescent="0.25">
      <c r="C298" s="23"/>
      <c r="D298" s="22"/>
      <c r="E298" s="21" t="str">
        <f t="shared" si="37"/>
        <v/>
      </c>
      <c r="F298" s="21" t="str">
        <f t="shared" si="38"/>
        <v/>
      </c>
      <c r="G298" s="21" t="str">
        <f t="shared" si="39"/>
        <v/>
      </c>
      <c r="H298" s="20" t="str">
        <f t="shared" si="41"/>
        <v/>
      </c>
      <c r="I298" s="19" t="str">
        <f t="shared" si="40"/>
        <v/>
      </c>
      <c r="J298" s="19" t="str">
        <f t="shared" si="42"/>
        <v/>
      </c>
      <c r="K298" s="18" t="str">
        <f t="shared" si="43"/>
        <v/>
      </c>
    </row>
    <row r="299" spans="3:11" x14ac:dyDescent="0.25">
      <c r="C299" s="23"/>
      <c r="D299" s="22"/>
      <c r="E299" s="21" t="str">
        <f t="shared" si="37"/>
        <v/>
      </c>
      <c r="F299" s="21" t="str">
        <f t="shared" si="38"/>
        <v/>
      </c>
      <c r="G299" s="21" t="str">
        <f t="shared" si="39"/>
        <v/>
      </c>
      <c r="H299" s="20" t="str">
        <f t="shared" si="41"/>
        <v/>
      </c>
      <c r="I299" s="19" t="str">
        <f t="shared" si="40"/>
        <v/>
      </c>
      <c r="J299" s="19" t="str">
        <f t="shared" si="42"/>
        <v/>
      </c>
      <c r="K299" s="18" t="str">
        <f t="shared" si="43"/>
        <v/>
      </c>
    </row>
    <row r="300" spans="3:11" x14ac:dyDescent="0.25">
      <c r="C300" s="23"/>
      <c r="D300" s="22"/>
      <c r="E300" s="21" t="str">
        <f t="shared" si="37"/>
        <v/>
      </c>
      <c r="F300" s="21" t="str">
        <f t="shared" si="38"/>
        <v/>
      </c>
      <c r="G300" s="21" t="str">
        <f t="shared" si="39"/>
        <v/>
      </c>
      <c r="H300" s="20" t="str">
        <f t="shared" si="41"/>
        <v/>
      </c>
      <c r="I300" s="19" t="str">
        <f t="shared" si="40"/>
        <v/>
      </c>
      <c r="J300" s="19" t="str">
        <f t="shared" si="42"/>
        <v/>
      </c>
      <c r="K300" s="18" t="str">
        <f t="shared" si="43"/>
        <v/>
      </c>
    </row>
    <row r="301" spans="3:11" x14ac:dyDescent="0.25">
      <c r="C301" s="23"/>
      <c r="D301" s="22"/>
      <c r="E301" s="21" t="str">
        <f t="shared" si="37"/>
        <v/>
      </c>
      <c r="F301" s="21" t="str">
        <f t="shared" si="38"/>
        <v/>
      </c>
      <c r="G301" s="21" t="str">
        <f t="shared" si="39"/>
        <v/>
      </c>
      <c r="H301" s="20" t="str">
        <f t="shared" si="41"/>
        <v/>
      </c>
      <c r="I301" s="19" t="str">
        <f t="shared" si="40"/>
        <v/>
      </c>
      <c r="J301" s="19" t="str">
        <f t="shared" si="42"/>
        <v/>
      </c>
      <c r="K301" s="18" t="str">
        <f t="shared" si="43"/>
        <v/>
      </c>
    </row>
    <row r="302" spans="3:11" x14ac:dyDescent="0.25">
      <c r="C302" s="23"/>
      <c r="D302" s="22"/>
      <c r="E302" s="21" t="str">
        <f t="shared" si="37"/>
        <v/>
      </c>
      <c r="F302" s="21" t="str">
        <f t="shared" si="38"/>
        <v/>
      </c>
      <c r="G302" s="21" t="str">
        <f t="shared" si="39"/>
        <v/>
      </c>
      <c r="H302" s="20" t="str">
        <f t="shared" si="41"/>
        <v/>
      </c>
      <c r="I302" s="19" t="str">
        <f t="shared" si="40"/>
        <v/>
      </c>
      <c r="J302" s="19" t="str">
        <f t="shared" si="42"/>
        <v/>
      </c>
      <c r="K302" s="18" t="str">
        <f t="shared" si="43"/>
        <v/>
      </c>
    </row>
    <row r="303" spans="3:11" x14ac:dyDescent="0.25">
      <c r="C303" s="23"/>
      <c r="D303" s="22"/>
      <c r="E303" s="21" t="str">
        <f t="shared" si="37"/>
        <v/>
      </c>
      <c r="F303" s="21" t="str">
        <f t="shared" si="38"/>
        <v/>
      </c>
      <c r="G303" s="21" t="str">
        <f t="shared" si="39"/>
        <v/>
      </c>
      <c r="H303" s="20" t="str">
        <f t="shared" si="41"/>
        <v/>
      </c>
      <c r="I303" s="19" t="str">
        <f t="shared" si="40"/>
        <v/>
      </c>
      <c r="J303" s="19" t="str">
        <f t="shared" si="42"/>
        <v/>
      </c>
      <c r="K303" s="18" t="str">
        <f t="shared" si="43"/>
        <v/>
      </c>
    </row>
    <row r="304" spans="3:11" x14ac:dyDescent="0.25">
      <c r="C304" s="23"/>
      <c r="D304" s="22"/>
      <c r="E304" s="21" t="str">
        <f t="shared" si="37"/>
        <v/>
      </c>
      <c r="F304" s="21" t="str">
        <f t="shared" si="38"/>
        <v/>
      </c>
      <c r="G304" s="21" t="str">
        <f t="shared" si="39"/>
        <v/>
      </c>
      <c r="H304" s="20" t="str">
        <f t="shared" si="41"/>
        <v/>
      </c>
      <c r="I304" s="19" t="str">
        <f t="shared" si="40"/>
        <v/>
      </c>
      <c r="J304" s="19" t="str">
        <f t="shared" si="42"/>
        <v/>
      </c>
      <c r="K304" s="18" t="str">
        <f t="shared" si="43"/>
        <v/>
      </c>
    </row>
    <row r="305" spans="3:11" x14ac:dyDescent="0.25">
      <c r="C305" s="23"/>
      <c r="D305" s="22"/>
      <c r="E305" s="21" t="str">
        <f t="shared" si="37"/>
        <v/>
      </c>
      <c r="F305" s="21" t="str">
        <f t="shared" si="38"/>
        <v/>
      </c>
      <c r="G305" s="21" t="str">
        <f t="shared" si="39"/>
        <v/>
      </c>
      <c r="H305" s="20" t="str">
        <f t="shared" si="41"/>
        <v/>
      </c>
      <c r="I305" s="19" t="str">
        <f t="shared" si="40"/>
        <v/>
      </c>
      <c r="J305" s="19" t="str">
        <f t="shared" si="42"/>
        <v/>
      </c>
      <c r="K305" s="18" t="str">
        <f t="shared" si="43"/>
        <v/>
      </c>
    </row>
    <row r="306" spans="3:11" x14ac:dyDescent="0.25">
      <c r="C306" s="23"/>
      <c r="D306" s="22"/>
      <c r="E306" s="21" t="str">
        <f t="shared" si="37"/>
        <v/>
      </c>
      <c r="F306" s="21" t="str">
        <f t="shared" si="38"/>
        <v/>
      </c>
      <c r="G306" s="21" t="str">
        <f t="shared" si="39"/>
        <v/>
      </c>
      <c r="H306" s="20" t="str">
        <f t="shared" si="41"/>
        <v/>
      </c>
      <c r="I306" s="19" t="str">
        <f t="shared" si="40"/>
        <v/>
      </c>
      <c r="J306" s="19" t="str">
        <f t="shared" si="42"/>
        <v/>
      </c>
      <c r="K306" s="18" t="str">
        <f t="shared" si="43"/>
        <v/>
      </c>
    </row>
    <row r="307" spans="3:11" x14ac:dyDescent="0.25">
      <c r="C307" s="23"/>
      <c r="D307" s="22"/>
      <c r="E307" s="21" t="str">
        <f t="shared" si="37"/>
        <v/>
      </c>
      <c r="F307" s="21" t="str">
        <f t="shared" si="38"/>
        <v/>
      </c>
      <c r="G307" s="21" t="str">
        <f t="shared" si="39"/>
        <v/>
      </c>
      <c r="H307" s="20" t="str">
        <f t="shared" si="41"/>
        <v/>
      </c>
      <c r="I307" s="19" t="str">
        <f t="shared" si="40"/>
        <v/>
      </c>
      <c r="J307" s="19" t="str">
        <f t="shared" si="42"/>
        <v/>
      </c>
      <c r="K307" s="18" t="str">
        <f t="shared" si="43"/>
        <v/>
      </c>
    </row>
    <row r="308" spans="3:11" x14ac:dyDescent="0.25">
      <c r="C308" s="23"/>
      <c r="D308" s="22"/>
      <c r="E308" s="21" t="str">
        <f t="shared" si="37"/>
        <v/>
      </c>
      <c r="F308" s="21" t="str">
        <f t="shared" si="38"/>
        <v/>
      </c>
      <c r="G308" s="21" t="str">
        <f t="shared" si="39"/>
        <v/>
      </c>
      <c r="H308" s="20" t="str">
        <f t="shared" si="41"/>
        <v/>
      </c>
      <c r="I308" s="19" t="str">
        <f t="shared" si="40"/>
        <v/>
      </c>
      <c r="J308" s="19" t="str">
        <f t="shared" si="42"/>
        <v/>
      </c>
      <c r="K308" s="18" t="str">
        <f t="shared" si="43"/>
        <v/>
      </c>
    </row>
    <row r="309" spans="3:11" x14ac:dyDescent="0.25">
      <c r="C309" s="23"/>
      <c r="D309" s="22"/>
      <c r="E309" s="21" t="str">
        <f t="shared" si="37"/>
        <v/>
      </c>
      <c r="F309" s="21" t="str">
        <f t="shared" si="38"/>
        <v/>
      </c>
      <c r="G309" s="21" t="str">
        <f t="shared" si="39"/>
        <v/>
      </c>
      <c r="H309" s="20" t="str">
        <f t="shared" si="41"/>
        <v/>
      </c>
      <c r="I309" s="19" t="str">
        <f t="shared" si="40"/>
        <v/>
      </c>
      <c r="J309" s="19" t="str">
        <f t="shared" si="42"/>
        <v/>
      </c>
      <c r="K309" s="18" t="str">
        <f t="shared" si="43"/>
        <v/>
      </c>
    </row>
    <row r="310" spans="3:11" x14ac:dyDescent="0.25">
      <c r="C310" s="23"/>
      <c r="D310" s="22"/>
      <c r="E310" s="21" t="str">
        <f t="shared" si="37"/>
        <v/>
      </c>
      <c r="F310" s="21" t="str">
        <f t="shared" si="38"/>
        <v/>
      </c>
      <c r="G310" s="21" t="str">
        <f t="shared" si="39"/>
        <v/>
      </c>
      <c r="H310" s="20" t="str">
        <f t="shared" si="41"/>
        <v/>
      </c>
      <c r="I310" s="19" t="str">
        <f t="shared" si="40"/>
        <v/>
      </c>
      <c r="J310" s="19" t="str">
        <f t="shared" si="42"/>
        <v/>
      </c>
      <c r="K310" s="18" t="str">
        <f t="shared" si="43"/>
        <v/>
      </c>
    </row>
    <row r="311" spans="3:11" x14ac:dyDescent="0.25">
      <c r="C311" s="23"/>
      <c r="D311" s="22"/>
      <c r="E311" s="21" t="str">
        <f t="shared" si="37"/>
        <v/>
      </c>
      <c r="F311" s="21" t="str">
        <f t="shared" si="38"/>
        <v/>
      </c>
      <c r="G311" s="21" t="str">
        <f t="shared" si="39"/>
        <v/>
      </c>
      <c r="H311" s="20" t="str">
        <f t="shared" si="41"/>
        <v/>
      </c>
      <c r="I311" s="19" t="str">
        <f t="shared" si="40"/>
        <v/>
      </c>
      <c r="J311" s="19" t="str">
        <f t="shared" si="42"/>
        <v/>
      </c>
      <c r="K311" s="18" t="str">
        <f t="shared" si="43"/>
        <v/>
      </c>
    </row>
    <row r="312" spans="3:11" x14ac:dyDescent="0.25">
      <c r="C312" s="23"/>
      <c r="D312" s="22"/>
      <c r="E312" s="21" t="str">
        <f t="shared" si="37"/>
        <v/>
      </c>
      <c r="F312" s="21" t="str">
        <f t="shared" si="38"/>
        <v/>
      </c>
      <c r="G312" s="21" t="str">
        <f t="shared" si="39"/>
        <v/>
      </c>
      <c r="H312" s="20" t="str">
        <f t="shared" si="41"/>
        <v/>
      </c>
      <c r="I312" s="19" t="str">
        <f t="shared" si="40"/>
        <v/>
      </c>
      <c r="J312" s="19" t="str">
        <f t="shared" si="42"/>
        <v/>
      </c>
      <c r="K312" s="18" t="str">
        <f t="shared" si="43"/>
        <v/>
      </c>
    </row>
    <row r="313" spans="3:11" x14ac:dyDescent="0.25">
      <c r="C313" s="23"/>
      <c r="D313" s="22"/>
      <c r="E313" s="21" t="str">
        <f t="shared" si="37"/>
        <v/>
      </c>
      <c r="F313" s="21" t="str">
        <f t="shared" si="38"/>
        <v/>
      </c>
      <c r="G313" s="21" t="str">
        <f t="shared" si="39"/>
        <v/>
      </c>
      <c r="H313" s="20" t="str">
        <f t="shared" si="41"/>
        <v/>
      </c>
      <c r="I313" s="19" t="str">
        <f t="shared" si="40"/>
        <v/>
      </c>
      <c r="J313" s="19" t="str">
        <f t="shared" si="42"/>
        <v/>
      </c>
      <c r="K313" s="18" t="str">
        <f t="shared" si="43"/>
        <v/>
      </c>
    </row>
    <row r="314" spans="3:11" x14ac:dyDescent="0.25">
      <c r="C314" s="23"/>
      <c r="D314" s="22"/>
      <c r="E314" s="21" t="str">
        <f t="shared" si="37"/>
        <v/>
      </c>
      <c r="F314" s="21" t="str">
        <f t="shared" si="38"/>
        <v/>
      </c>
      <c r="G314" s="21" t="str">
        <f t="shared" si="39"/>
        <v/>
      </c>
      <c r="H314" s="20" t="str">
        <f t="shared" si="41"/>
        <v/>
      </c>
      <c r="I314" s="19" t="str">
        <f t="shared" si="40"/>
        <v/>
      </c>
      <c r="J314" s="19" t="str">
        <f t="shared" si="42"/>
        <v/>
      </c>
      <c r="K314" s="18" t="str">
        <f t="shared" si="43"/>
        <v/>
      </c>
    </row>
    <row r="315" spans="3:11" x14ac:dyDescent="0.25">
      <c r="C315" s="23"/>
      <c r="D315" s="22"/>
      <c r="E315" s="21" t="str">
        <f t="shared" si="37"/>
        <v/>
      </c>
      <c r="F315" s="21" t="str">
        <f t="shared" si="38"/>
        <v/>
      </c>
      <c r="G315" s="21" t="str">
        <f t="shared" si="39"/>
        <v/>
      </c>
      <c r="H315" s="20" t="str">
        <f t="shared" si="41"/>
        <v/>
      </c>
      <c r="I315" s="19" t="str">
        <f t="shared" si="40"/>
        <v/>
      </c>
      <c r="J315" s="19" t="str">
        <f t="shared" si="42"/>
        <v/>
      </c>
      <c r="K315" s="18" t="str">
        <f t="shared" si="43"/>
        <v/>
      </c>
    </row>
    <row r="316" spans="3:11" x14ac:dyDescent="0.25">
      <c r="C316" s="23"/>
      <c r="D316" s="22"/>
      <c r="E316" s="21" t="str">
        <f t="shared" si="37"/>
        <v/>
      </c>
      <c r="F316" s="21" t="str">
        <f t="shared" si="38"/>
        <v/>
      </c>
      <c r="G316" s="21" t="str">
        <f t="shared" si="39"/>
        <v/>
      </c>
      <c r="H316" s="20" t="str">
        <f t="shared" si="41"/>
        <v/>
      </c>
      <c r="I316" s="19" t="str">
        <f t="shared" si="40"/>
        <v/>
      </c>
      <c r="J316" s="19" t="str">
        <f t="shared" si="42"/>
        <v/>
      </c>
      <c r="K316" s="18" t="str">
        <f t="shared" si="43"/>
        <v/>
      </c>
    </row>
    <row r="317" spans="3:11" x14ac:dyDescent="0.25">
      <c r="C317" s="23"/>
      <c r="D317" s="22"/>
      <c r="E317" s="21" t="str">
        <f t="shared" si="37"/>
        <v/>
      </c>
      <c r="F317" s="21" t="str">
        <f t="shared" si="38"/>
        <v/>
      </c>
      <c r="G317" s="21" t="str">
        <f t="shared" si="39"/>
        <v/>
      </c>
      <c r="H317" s="20" t="str">
        <f t="shared" si="41"/>
        <v/>
      </c>
      <c r="I317" s="19" t="str">
        <f t="shared" si="40"/>
        <v/>
      </c>
      <c r="J317" s="19" t="str">
        <f t="shared" si="42"/>
        <v/>
      </c>
      <c r="K317" s="18" t="str">
        <f t="shared" si="43"/>
        <v/>
      </c>
    </row>
    <row r="318" spans="3:11" x14ac:dyDescent="0.25">
      <c r="C318" s="23"/>
      <c r="D318" s="22"/>
      <c r="E318" s="21" t="str">
        <f t="shared" si="37"/>
        <v/>
      </c>
      <c r="F318" s="21" t="str">
        <f t="shared" si="38"/>
        <v/>
      </c>
      <c r="G318" s="21" t="str">
        <f t="shared" si="39"/>
        <v/>
      </c>
      <c r="H318" s="20" t="str">
        <f t="shared" si="41"/>
        <v/>
      </c>
      <c r="I318" s="19" t="str">
        <f t="shared" si="40"/>
        <v/>
      </c>
      <c r="J318" s="19" t="str">
        <f t="shared" si="42"/>
        <v/>
      </c>
      <c r="K318" s="18" t="str">
        <f t="shared" si="43"/>
        <v/>
      </c>
    </row>
    <row r="319" spans="3:11" x14ac:dyDescent="0.25">
      <c r="C319" s="23"/>
      <c r="D319" s="22"/>
      <c r="E319" s="21" t="str">
        <f t="shared" si="37"/>
        <v/>
      </c>
      <c r="F319" s="21" t="str">
        <f t="shared" si="38"/>
        <v/>
      </c>
      <c r="G319" s="21" t="str">
        <f t="shared" si="39"/>
        <v/>
      </c>
      <c r="H319" s="20" t="str">
        <f t="shared" si="41"/>
        <v/>
      </c>
      <c r="I319" s="19" t="str">
        <f t="shared" si="40"/>
        <v/>
      </c>
      <c r="J319" s="19" t="str">
        <f t="shared" si="42"/>
        <v/>
      </c>
      <c r="K319" s="18" t="str">
        <f t="shared" si="43"/>
        <v/>
      </c>
    </row>
    <row r="320" spans="3:11" x14ac:dyDescent="0.25">
      <c r="C320" s="23"/>
      <c r="D320" s="22"/>
      <c r="E320" s="21" t="str">
        <f t="shared" si="37"/>
        <v/>
      </c>
      <c r="F320" s="21" t="str">
        <f t="shared" si="38"/>
        <v/>
      </c>
      <c r="G320" s="21" t="str">
        <f t="shared" si="39"/>
        <v/>
      </c>
      <c r="H320" s="20" t="str">
        <f t="shared" si="41"/>
        <v/>
      </c>
      <c r="I320" s="19" t="str">
        <f t="shared" si="40"/>
        <v/>
      </c>
      <c r="J320" s="19" t="str">
        <f t="shared" si="42"/>
        <v/>
      </c>
      <c r="K320" s="18" t="str">
        <f t="shared" si="43"/>
        <v/>
      </c>
    </row>
    <row r="321" spans="3:11" x14ac:dyDescent="0.25">
      <c r="C321" s="23"/>
      <c r="D321" s="22"/>
      <c r="E321" s="21" t="str">
        <f t="shared" si="37"/>
        <v/>
      </c>
      <c r="F321" s="21" t="str">
        <f t="shared" si="38"/>
        <v/>
      </c>
      <c r="G321" s="21" t="str">
        <f t="shared" si="39"/>
        <v/>
      </c>
      <c r="H321" s="20" t="str">
        <f t="shared" si="41"/>
        <v/>
      </c>
      <c r="I321" s="19" t="str">
        <f t="shared" si="40"/>
        <v/>
      </c>
      <c r="J321" s="19" t="str">
        <f t="shared" si="42"/>
        <v/>
      </c>
      <c r="K321" s="18" t="str">
        <f t="shared" si="43"/>
        <v/>
      </c>
    </row>
    <row r="322" spans="3:11" x14ac:dyDescent="0.25">
      <c r="C322" s="23"/>
      <c r="D322" s="22"/>
      <c r="E322" s="21" t="str">
        <f t="shared" si="37"/>
        <v/>
      </c>
      <c r="F322" s="21" t="str">
        <f t="shared" si="38"/>
        <v/>
      </c>
      <c r="G322" s="21" t="str">
        <f t="shared" si="39"/>
        <v/>
      </c>
      <c r="H322" s="20" t="str">
        <f t="shared" si="41"/>
        <v/>
      </c>
      <c r="I322" s="19" t="str">
        <f t="shared" si="40"/>
        <v/>
      </c>
      <c r="J322" s="19" t="str">
        <f t="shared" si="42"/>
        <v/>
      </c>
      <c r="K322" s="18" t="str">
        <f t="shared" si="43"/>
        <v/>
      </c>
    </row>
    <row r="323" spans="3:11" x14ac:dyDescent="0.25">
      <c r="C323" s="23"/>
      <c r="D323" s="22"/>
      <c r="E323" s="21" t="str">
        <f t="shared" si="37"/>
        <v/>
      </c>
      <c r="F323" s="21" t="str">
        <f t="shared" si="38"/>
        <v/>
      </c>
      <c r="G323" s="21" t="str">
        <f t="shared" si="39"/>
        <v/>
      </c>
      <c r="H323" s="20" t="str">
        <f t="shared" si="41"/>
        <v/>
      </c>
      <c r="I323" s="19" t="str">
        <f t="shared" si="40"/>
        <v/>
      </c>
      <c r="J323" s="19" t="str">
        <f t="shared" si="42"/>
        <v/>
      </c>
      <c r="K323" s="18" t="str">
        <f t="shared" si="43"/>
        <v/>
      </c>
    </row>
    <row r="324" spans="3:11" x14ac:dyDescent="0.25">
      <c r="C324" s="23"/>
      <c r="D324" s="22"/>
      <c r="E324" s="21" t="str">
        <f t="shared" si="37"/>
        <v/>
      </c>
      <c r="F324" s="21" t="str">
        <f t="shared" si="38"/>
        <v/>
      </c>
      <c r="G324" s="21" t="str">
        <f t="shared" si="39"/>
        <v/>
      </c>
      <c r="H324" s="20" t="str">
        <f t="shared" si="41"/>
        <v/>
      </c>
      <c r="I324" s="19" t="str">
        <f t="shared" si="40"/>
        <v/>
      </c>
      <c r="J324" s="19" t="str">
        <f t="shared" si="42"/>
        <v/>
      </c>
      <c r="K324" s="18" t="str">
        <f t="shared" si="43"/>
        <v/>
      </c>
    </row>
    <row r="325" spans="3:11" x14ac:dyDescent="0.25">
      <c r="C325" s="23"/>
      <c r="D325" s="22"/>
      <c r="E325" s="21" t="str">
        <f t="shared" si="37"/>
        <v/>
      </c>
      <c r="F325" s="21" t="str">
        <f t="shared" si="38"/>
        <v/>
      </c>
      <c r="G325" s="21" t="str">
        <f t="shared" si="39"/>
        <v/>
      </c>
      <c r="H325" s="20" t="str">
        <f t="shared" si="41"/>
        <v/>
      </c>
      <c r="I325" s="19" t="str">
        <f t="shared" si="40"/>
        <v/>
      </c>
      <c r="J325" s="19" t="str">
        <f t="shared" si="42"/>
        <v/>
      </c>
      <c r="K325" s="18" t="str">
        <f t="shared" si="43"/>
        <v/>
      </c>
    </row>
    <row r="326" spans="3:11" x14ac:dyDescent="0.25">
      <c r="C326" s="23"/>
      <c r="D326" s="22"/>
      <c r="E326" s="21" t="str">
        <f t="shared" si="37"/>
        <v/>
      </c>
      <c r="F326" s="21" t="str">
        <f t="shared" si="38"/>
        <v/>
      </c>
      <c r="G326" s="21" t="str">
        <f t="shared" si="39"/>
        <v/>
      </c>
      <c r="H326" s="20" t="str">
        <f t="shared" si="41"/>
        <v/>
      </c>
      <c r="I326" s="19" t="str">
        <f t="shared" si="40"/>
        <v/>
      </c>
      <c r="J326" s="19" t="str">
        <f t="shared" si="42"/>
        <v/>
      </c>
      <c r="K326" s="18" t="str">
        <f t="shared" si="43"/>
        <v/>
      </c>
    </row>
    <row r="327" spans="3:11" x14ac:dyDescent="0.25">
      <c r="C327" s="23"/>
      <c r="D327" s="22"/>
      <c r="E327" s="21" t="str">
        <f t="shared" si="37"/>
        <v/>
      </c>
      <c r="F327" s="21" t="str">
        <f t="shared" si="38"/>
        <v/>
      </c>
      <c r="G327" s="21" t="str">
        <f t="shared" si="39"/>
        <v/>
      </c>
      <c r="H327" s="20" t="str">
        <f t="shared" si="41"/>
        <v/>
      </c>
      <c r="I327" s="19" t="str">
        <f t="shared" si="40"/>
        <v/>
      </c>
      <c r="J327" s="19" t="str">
        <f t="shared" si="42"/>
        <v/>
      </c>
      <c r="K327" s="18" t="str">
        <f t="shared" si="43"/>
        <v/>
      </c>
    </row>
    <row r="328" spans="3:11" x14ac:dyDescent="0.25">
      <c r="C328" s="23"/>
      <c r="D328" s="22"/>
      <c r="E328" s="21" t="str">
        <f t="shared" ref="E328:E391" si="44">MID(C328,LEN("UTC ")+1,LEN("UTC - "))</f>
        <v/>
      </c>
      <c r="F328" s="21" t="str">
        <f t="shared" ref="F328:F391" si="45">IF(D328="Y",E328+1,E328)</f>
        <v/>
      </c>
      <c r="G328" s="21" t="str">
        <f t="shared" ref="G328:G391" si="46">IF(F328="","",IF(rDST="N",F328,F328+1))</f>
        <v/>
      </c>
      <c r="H328" s="20" t="str">
        <f t="shared" si="41"/>
        <v/>
      </c>
      <c r="I328" s="19" t="str">
        <f t="shared" ref="I328:I391" si="47">IF(B328="","",IF(F328&lt;0,rGreenwich-TIME(ABS(F328),(H328),0),rGreenwich+TIME(ABS(F328),(H328),0)))</f>
        <v/>
      </c>
      <c r="J328" s="19" t="str">
        <f t="shared" si="42"/>
        <v/>
      </c>
      <c r="K328" s="18" t="str">
        <f t="shared" si="43"/>
        <v/>
      </c>
    </row>
    <row r="329" spans="3:11" x14ac:dyDescent="0.25">
      <c r="C329" s="23"/>
      <c r="D329" s="22"/>
      <c r="E329" s="21" t="str">
        <f t="shared" si="44"/>
        <v/>
      </c>
      <c r="F329" s="21" t="str">
        <f t="shared" si="45"/>
        <v/>
      </c>
      <c r="G329" s="21" t="str">
        <f t="shared" si="46"/>
        <v/>
      </c>
      <c r="H329" s="20" t="str">
        <f t="shared" si="41"/>
        <v/>
      </c>
      <c r="I329" s="19" t="str">
        <f t="shared" si="47"/>
        <v/>
      </c>
      <c r="J329" s="19" t="str">
        <f t="shared" si="42"/>
        <v/>
      </c>
      <c r="K329" s="18" t="str">
        <f t="shared" si="43"/>
        <v/>
      </c>
    </row>
    <row r="330" spans="3:11" x14ac:dyDescent="0.25">
      <c r="C330" s="23"/>
      <c r="D330" s="22"/>
      <c r="E330" s="21" t="str">
        <f t="shared" si="44"/>
        <v/>
      </c>
      <c r="F330" s="21" t="str">
        <f t="shared" si="45"/>
        <v/>
      </c>
      <c r="G330" s="21" t="str">
        <f t="shared" si="46"/>
        <v/>
      </c>
      <c r="H330" s="20" t="str">
        <f t="shared" si="41"/>
        <v/>
      </c>
      <c r="I330" s="19" t="str">
        <f t="shared" si="47"/>
        <v/>
      </c>
      <c r="J330" s="19" t="str">
        <f t="shared" si="42"/>
        <v/>
      </c>
      <c r="K330" s="18" t="str">
        <f t="shared" si="43"/>
        <v/>
      </c>
    </row>
    <row r="331" spans="3:11" x14ac:dyDescent="0.25">
      <c r="C331" s="23"/>
      <c r="D331" s="22"/>
      <c r="E331" s="21" t="str">
        <f t="shared" si="44"/>
        <v/>
      </c>
      <c r="F331" s="21" t="str">
        <f t="shared" si="45"/>
        <v/>
      </c>
      <c r="G331" s="21" t="str">
        <f t="shared" si="46"/>
        <v/>
      </c>
      <c r="H331" s="20" t="str">
        <f t="shared" si="41"/>
        <v/>
      </c>
      <c r="I331" s="19" t="str">
        <f t="shared" si="47"/>
        <v/>
      </c>
      <c r="J331" s="19" t="str">
        <f t="shared" si="42"/>
        <v/>
      </c>
      <c r="K331" s="18" t="str">
        <f t="shared" si="43"/>
        <v/>
      </c>
    </row>
    <row r="332" spans="3:11" x14ac:dyDescent="0.25">
      <c r="C332" s="23"/>
      <c r="D332" s="22"/>
      <c r="E332" s="21" t="str">
        <f t="shared" si="44"/>
        <v/>
      </c>
      <c r="F332" s="21" t="str">
        <f t="shared" si="45"/>
        <v/>
      </c>
      <c r="G332" s="21" t="str">
        <f t="shared" si="46"/>
        <v/>
      </c>
      <c r="H332" s="20" t="str">
        <f t="shared" si="41"/>
        <v/>
      </c>
      <c r="I332" s="19" t="str">
        <f t="shared" si="47"/>
        <v/>
      </c>
      <c r="J332" s="19" t="str">
        <f t="shared" si="42"/>
        <v/>
      </c>
      <c r="K332" s="18" t="str">
        <f t="shared" si="43"/>
        <v/>
      </c>
    </row>
    <row r="333" spans="3:11" x14ac:dyDescent="0.25">
      <c r="C333" s="23"/>
      <c r="D333" s="22"/>
      <c r="E333" s="21" t="str">
        <f t="shared" si="44"/>
        <v/>
      </c>
      <c r="F333" s="21" t="str">
        <f t="shared" si="45"/>
        <v/>
      </c>
      <c r="G333" s="21" t="str">
        <f t="shared" si="46"/>
        <v/>
      </c>
      <c r="H333" s="20" t="str">
        <f t="shared" si="41"/>
        <v/>
      </c>
      <c r="I333" s="19" t="str">
        <f t="shared" si="47"/>
        <v/>
      </c>
      <c r="J333" s="19" t="str">
        <f t="shared" si="42"/>
        <v/>
      </c>
      <c r="K333" s="18" t="str">
        <f t="shared" si="43"/>
        <v/>
      </c>
    </row>
    <row r="334" spans="3:11" x14ac:dyDescent="0.25">
      <c r="C334" s="23"/>
      <c r="D334" s="22"/>
      <c r="E334" s="21" t="str">
        <f t="shared" si="44"/>
        <v/>
      </c>
      <c r="F334" s="21" t="str">
        <f t="shared" si="45"/>
        <v/>
      </c>
      <c r="G334" s="21" t="str">
        <f t="shared" si="46"/>
        <v/>
      </c>
      <c r="H334" s="20" t="str">
        <f t="shared" si="41"/>
        <v/>
      </c>
      <c r="I334" s="19" t="str">
        <f t="shared" si="47"/>
        <v/>
      </c>
      <c r="J334" s="19" t="str">
        <f t="shared" si="42"/>
        <v/>
      </c>
      <c r="K334" s="18" t="str">
        <f t="shared" si="43"/>
        <v/>
      </c>
    </row>
    <row r="335" spans="3:11" x14ac:dyDescent="0.25">
      <c r="C335" s="23"/>
      <c r="D335" s="22"/>
      <c r="E335" s="21" t="str">
        <f t="shared" si="44"/>
        <v/>
      </c>
      <c r="F335" s="21" t="str">
        <f t="shared" si="45"/>
        <v/>
      </c>
      <c r="G335" s="21" t="str">
        <f t="shared" si="46"/>
        <v/>
      </c>
      <c r="H335" s="20" t="str">
        <f t="shared" si="41"/>
        <v/>
      </c>
      <c r="I335" s="19" t="str">
        <f t="shared" si="47"/>
        <v/>
      </c>
      <c r="J335" s="19" t="str">
        <f t="shared" si="42"/>
        <v/>
      </c>
      <c r="K335" s="18" t="str">
        <f t="shared" si="43"/>
        <v/>
      </c>
    </row>
    <row r="336" spans="3:11" x14ac:dyDescent="0.25">
      <c r="C336" s="23"/>
      <c r="D336" s="22"/>
      <c r="E336" s="21" t="str">
        <f t="shared" si="44"/>
        <v/>
      </c>
      <c r="F336" s="21" t="str">
        <f t="shared" si="45"/>
        <v/>
      </c>
      <c r="G336" s="21" t="str">
        <f t="shared" si="46"/>
        <v/>
      </c>
      <c r="H336" s="20" t="str">
        <f t="shared" si="41"/>
        <v/>
      </c>
      <c r="I336" s="19" t="str">
        <f t="shared" si="47"/>
        <v/>
      </c>
      <c r="J336" s="19" t="str">
        <f t="shared" si="42"/>
        <v/>
      </c>
      <c r="K336" s="18" t="str">
        <f t="shared" si="43"/>
        <v/>
      </c>
    </row>
    <row r="337" spans="3:11" x14ac:dyDescent="0.25">
      <c r="C337" s="23"/>
      <c r="D337" s="22"/>
      <c r="E337" s="21" t="str">
        <f t="shared" si="44"/>
        <v/>
      </c>
      <c r="F337" s="21" t="str">
        <f t="shared" si="45"/>
        <v/>
      </c>
      <c r="G337" s="21" t="str">
        <f t="shared" si="46"/>
        <v/>
      </c>
      <c r="H337" s="20" t="str">
        <f t="shared" si="41"/>
        <v/>
      </c>
      <c r="I337" s="19" t="str">
        <f t="shared" si="47"/>
        <v/>
      </c>
      <c r="J337" s="19" t="str">
        <f t="shared" si="42"/>
        <v/>
      </c>
      <c r="K337" s="18" t="str">
        <f t="shared" si="43"/>
        <v/>
      </c>
    </row>
    <row r="338" spans="3:11" x14ac:dyDescent="0.25">
      <c r="C338" s="23"/>
      <c r="D338" s="22"/>
      <c r="E338" s="21" t="str">
        <f t="shared" si="44"/>
        <v/>
      </c>
      <c r="F338" s="21" t="str">
        <f t="shared" si="45"/>
        <v/>
      </c>
      <c r="G338" s="21" t="str">
        <f t="shared" si="46"/>
        <v/>
      </c>
      <c r="H338" s="20" t="str">
        <f t="shared" si="41"/>
        <v/>
      </c>
      <c r="I338" s="19" t="str">
        <f t="shared" si="47"/>
        <v/>
      </c>
      <c r="J338" s="19" t="str">
        <f t="shared" si="42"/>
        <v/>
      </c>
      <c r="K338" s="18" t="str">
        <f t="shared" si="43"/>
        <v/>
      </c>
    </row>
    <row r="339" spans="3:11" x14ac:dyDescent="0.25">
      <c r="C339" s="23"/>
      <c r="D339" s="22"/>
      <c r="E339" s="21" t="str">
        <f t="shared" si="44"/>
        <v/>
      </c>
      <c r="F339" s="21" t="str">
        <f t="shared" si="45"/>
        <v/>
      </c>
      <c r="G339" s="21" t="str">
        <f t="shared" si="46"/>
        <v/>
      </c>
      <c r="H339" s="20" t="str">
        <f t="shared" si="41"/>
        <v/>
      </c>
      <c r="I339" s="19" t="str">
        <f t="shared" si="47"/>
        <v/>
      </c>
      <c r="J339" s="19" t="str">
        <f t="shared" si="42"/>
        <v/>
      </c>
      <c r="K339" s="18" t="str">
        <f t="shared" si="43"/>
        <v/>
      </c>
    </row>
    <row r="340" spans="3:11" x14ac:dyDescent="0.25">
      <c r="C340" s="23"/>
      <c r="D340" s="22"/>
      <c r="E340" s="21" t="str">
        <f t="shared" si="44"/>
        <v/>
      </c>
      <c r="F340" s="21" t="str">
        <f t="shared" si="45"/>
        <v/>
      </c>
      <c r="G340" s="21" t="str">
        <f t="shared" si="46"/>
        <v/>
      </c>
      <c r="H340" s="20" t="str">
        <f t="shared" si="41"/>
        <v/>
      </c>
      <c r="I340" s="19" t="str">
        <f t="shared" si="47"/>
        <v/>
      </c>
      <c r="J340" s="19" t="str">
        <f t="shared" si="42"/>
        <v/>
      </c>
      <c r="K340" s="18" t="str">
        <f t="shared" si="43"/>
        <v/>
      </c>
    </row>
    <row r="341" spans="3:11" x14ac:dyDescent="0.25">
      <c r="C341" s="23"/>
      <c r="D341" s="22"/>
      <c r="E341" s="21" t="str">
        <f t="shared" si="44"/>
        <v/>
      </c>
      <c r="F341" s="21" t="str">
        <f t="shared" si="45"/>
        <v/>
      </c>
      <c r="G341" s="21" t="str">
        <f t="shared" si="46"/>
        <v/>
      </c>
      <c r="H341" s="20" t="str">
        <f t="shared" si="41"/>
        <v/>
      </c>
      <c r="I341" s="19" t="str">
        <f t="shared" si="47"/>
        <v/>
      </c>
      <c r="J341" s="19" t="str">
        <f t="shared" si="42"/>
        <v/>
      </c>
      <c r="K341" s="18" t="str">
        <f t="shared" si="43"/>
        <v/>
      </c>
    </row>
    <row r="342" spans="3:11" x14ac:dyDescent="0.25">
      <c r="C342" s="23"/>
      <c r="D342" s="22"/>
      <c r="E342" s="21" t="str">
        <f t="shared" si="44"/>
        <v/>
      </c>
      <c r="F342" s="21" t="str">
        <f t="shared" si="45"/>
        <v/>
      </c>
      <c r="G342" s="21" t="str">
        <f t="shared" si="46"/>
        <v/>
      </c>
      <c r="H342" s="20" t="str">
        <f t="shared" si="41"/>
        <v/>
      </c>
      <c r="I342" s="19" t="str">
        <f t="shared" si="47"/>
        <v/>
      </c>
      <c r="J342" s="19" t="str">
        <f t="shared" si="42"/>
        <v/>
      </c>
      <c r="K342" s="18" t="str">
        <f t="shared" si="43"/>
        <v/>
      </c>
    </row>
    <row r="343" spans="3:11" x14ac:dyDescent="0.25">
      <c r="C343" s="23"/>
      <c r="D343" s="22"/>
      <c r="E343" s="21" t="str">
        <f t="shared" si="44"/>
        <v/>
      </c>
      <c r="F343" s="21" t="str">
        <f t="shared" si="45"/>
        <v/>
      </c>
      <c r="G343" s="21" t="str">
        <f t="shared" si="46"/>
        <v/>
      </c>
      <c r="H343" s="20" t="str">
        <f t="shared" si="41"/>
        <v/>
      </c>
      <c r="I343" s="19" t="str">
        <f t="shared" si="47"/>
        <v/>
      </c>
      <c r="J343" s="19" t="str">
        <f t="shared" si="42"/>
        <v/>
      </c>
      <c r="K343" s="18" t="str">
        <f t="shared" si="43"/>
        <v/>
      </c>
    </row>
    <row r="344" spans="3:11" x14ac:dyDescent="0.25">
      <c r="C344" s="23"/>
      <c r="D344" s="22"/>
      <c r="E344" s="21" t="str">
        <f t="shared" si="44"/>
        <v/>
      </c>
      <c r="F344" s="21" t="str">
        <f t="shared" si="45"/>
        <v/>
      </c>
      <c r="G344" s="21" t="str">
        <f t="shared" si="46"/>
        <v/>
      </c>
      <c r="H344" s="20" t="str">
        <f t="shared" si="41"/>
        <v/>
      </c>
      <c r="I344" s="19" t="str">
        <f t="shared" si="47"/>
        <v/>
      </c>
      <c r="J344" s="19" t="str">
        <f t="shared" si="42"/>
        <v/>
      </c>
      <c r="K344" s="18" t="str">
        <f t="shared" si="43"/>
        <v/>
      </c>
    </row>
    <row r="345" spans="3:11" x14ac:dyDescent="0.25">
      <c r="C345" s="23"/>
      <c r="D345" s="22"/>
      <c r="E345" s="21" t="str">
        <f t="shared" si="44"/>
        <v/>
      </c>
      <c r="F345" s="21" t="str">
        <f t="shared" si="45"/>
        <v/>
      </c>
      <c r="G345" s="21" t="str">
        <f t="shared" si="46"/>
        <v/>
      </c>
      <c r="H345" s="20" t="str">
        <f t="shared" si="41"/>
        <v/>
      </c>
      <c r="I345" s="19" t="str">
        <f t="shared" si="47"/>
        <v/>
      </c>
      <c r="J345" s="19" t="str">
        <f t="shared" si="42"/>
        <v/>
      </c>
      <c r="K345" s="18" t="str">
        <f t="shared" si="43"/>
        <v/>
      </c>
    </row>
    <row r="346" spans="3:11" x14ac:dyDescent="0.25">
      <c r="C346" s="23"/>
      <c r="D346" s="22"/>
      <c r="E346" s="21" t="str">
        <f t="shared" si="44"/>
        <v/>
      </c>
      <c r="F346" s="21" t="str">
        <f t="shared" si="45"/>
        <v/>
      </c>
      <c r="G346" s="21" t="str">
        <f t="shared" si="46"/>
        <v/>
      </c>
      <c r="H346" s="20" t="str">
        <f t="shared" si="41"/>
        <v/>
      </c>
      <c r="I346" s="19" t="str">
        <f t="shared" si="47"/>
        <v/>
      </c>
      <c r="J346" s="19" t="str">
        <f t="shared" si="42"/>
        <v/>
      </c>
      <c r="K346" s="18" t="str">
        <f t="shared" si="43"/>
        <v/>
      </c>
    </row>
    <row r="347" spans="3:11" x14ac:dyDescent="0.25">
      <c r="C347" s="23"/>
      <c r="D347" s="22"/>
      <c r="E347" s="21" t="str">
        <f t="shared" si="44"/>
        <v/>
      </c>
      <c r="F347" s="21" t="str">
        <f t="shared" si="45"/>
        <v/>
      </c>
      <c r="G347" s="21" t="str">
        <f t="shared" si="46"/>
        <v/>
      </c>
      <c r="H347" s="20" t="str">
        <f t="shared" si="41"/>
        <v/>
      </c>
      <c r="I347" s="19" t="str">
        <f t="shared" si="47"/>
        <v/>
      </c>
      <c r="J347" s="19" t="str">
        <f t="shared" si="42"/>
        <v/>
      </c>
      <c r="K347" s="18" t="str">
        <f t="shared" si="43"/>
        <v/>
      </c>
    </row>
    <row r="348" spans="3:11" x14ac:dyDescent="0.25">
      <c r="C348" s="23"/>
      <c r="D348" s="22"/>
      <c r="E348" s="21" t="str">
        <f t="shared" si="44"/>
        <v/>
      </c>
      <c r="F348" s="21" t="str">
        <f t="shared" si="45"/>
        <v/>
      </c>
      <c r="G348" s="21" t="str">
        <f t="shared" si="46"/>
        <v/>
      </c>
      <c r="H348" s="20" t="str">
        <f t="shared" si="41"/>
        <v/>
      </c>
      <c r="I348" s="19" t="str">
        <f t="shared" si="47"/>
        <v/>
      </c>
      <c r="J348" s="19" t="str">
        <f t="shared" si="42"/>
        <v/>
      </c>
      <c r="K348" s="18" t="str">
        <f t="shared" si="43"/>
        <v/>
      </c>
    </row>
    <row r="349" spans="3:11" x14ac:dyDescent="0.25">
      <c r="C349" s="23"/>
      <c r="D349" s="22"/>
      <c r="E349" s="21" t="str">
        <f t="shared" si="44"/>
        <v/>
      </c>
      <c r="F349" s="21" t="str">
        <f t="shared" si="45"/>
        <v/>
      </c>
      <c r="G349" s="21" t="str">
        <f t="shared" si="46"/>
        <v/>
      </c>
      <c r="H349" s="20" t="str">
        <f t="shared" si="41"/>
        <v/>
      </c>
      <c r="I349" s="19" t="str">
        <f t="shared" si="47"/>
        <v/>
      </c>
      <c r="J349" s="19" t="str">
        <f t="shared" si="42"/>
        <v/>
      </c>
      <c r="K349" s="18" t="str">
        <f t="shared" si="43"/>
        <v/>
      </c>
    </row>
    <row r="350" spans="3:11" x14ac:dyDescent="0.25">
      <c r="C350" s="23"/>
      <c r="D350" s="22"/>
      <c r="E350" s="21" t="str">
        <f t="shared" si="44"/>
        <v/>
      </c>
      <c r="F350" s="21" t="str">
        <f t="shared" si="45"/>
        <v/>
      </c>
      <c r="G350" s="21" t="str">
        <f t="shared" si="46"/>
        <v/>
      </c>
      <c r="H350" s="20" t="str">
        <f t="shared" si="41"/>
        <v/>
      </c>
      <c r="I350" s="19" t="str">
        <f t="shared" si="47"/>
        <v/>
      </c>
      <c r="J350" s="19" t="str">
        <f t="shared" si="42"/>
        <v/>
      </c>
      <c r="K350" s="18" t="str">
        <f t="shared" si="43"/>
        <v/>
      </c>
    </row>
    <row r="351" spans="3:11" x14ac:dyDescent="0.25">
      <c r="C351" s="23"/>
      <c r="D351" s="22"/>
      <c r="E351" s="21" t="str">
        <f t="shared" si="44"/>
        <v/>
      </c>
      <c r="F351" s="21" t="str">
        <f t="shared" si="45"/>
        <v/>
      </c>
      <c r="G351" s="21" t="str">
        <f t="shared" si="46"/>
        <v/>
      </c>
      <c r="H351" s="20" t="str">
        <f t="shared" si="41"/>
        <v/>
      </c>
      <c r="I351" s="19" t="str">
        <f t="shared" si="47"/>
        <v/>
      </c>
      <c r="J351" s="19" t="str">
        <f t="shared" si="42"/>
        <v/>
      </c>
      <c r="K351" s="18" t="str">
        <f t="shared" si="43"/>
        <v/>
      </c>
    </row>
    <row r="352" spans="3:11" x14ac:dyDescent="0.25">
      <c r="C352" s="23"/>
      <c r="D352" s="22"/>
      <c r="E352" s="21" t="str">
        <f t="shared" si="44"/>
        <v/>
      </c>
      <c r="F352" s="21" t="str">
        <f t="shared" si="45"/>
        <v/>
      </c>
      <c r="G352" s="21" t="str">
        <f t="shared" si="46"/>
        <v/>
      </c>
      <c r="H352" s="20" t="str">
        <f t="shared" si="41"/>
        <v/>
      </c>
      <c r="I352" s="19" t="str">
        <f t="shared" si="47"/>
        <v/>
      </c>
      <c r="J352" s="19" t="str">
        <f t="shared" si="42"/>
        <v/>
      </c>
      <c r="K352" s="18" t="str">
        <f t="shared" si="43"/>
        <v/>
      </c>
    </row>
    <row r="353" spans="3:11" x14ac:dyDescent="0.25">
      <c r="C353" s="23"/>
      <c r="D353" s="22"/>
      <c r="E353" s="21" t="str">
        <f t="shared" si="44"/>
        <v/>
      </c>
      <c r="F353" s="21" t="str">
        <f t="shared" si="45"/>
        <v/>
      </c>
      <c r="G353" s="21" t="str">
        <f t="shared" si="46"/>
        <v/>
      </c>
      <c r="H353" s="20" t="str">
        <f t="shared" ref="H353:H416" si="48">IF(F353="","",MOD(F353,1)*60)</f>
        <v/>
      </c>
      <c r="I353" s="19" t="str">
        <f t="shared" si="47"/>
        <v/>
      </c>
      <c r="J353" s="19" t="str">
        <f t="shared" ref="J353:J416" si="49">IF(B353="","",I353+TIME(ABS($F$8),0,0))</f>
        <v/>
      </c>
      <c r="K353" s="18" t="str">
        <f t="shared" ref="K353:K416" si="50">IF(F353="","",ABS(T$12)+F353)</f>
        <v/>
      </c>
    </row>
    <row r="354" spans="3:11" x14ac:dyDescent="0.25">
      <c r="C354" s="23"/>
      <c r="D354" s="22"/>
      <c r="E354" s="21" t="str">
        <f t="shared" si="44"/>
        <v/>
      </c>
      <c r="F354" s="21" t="str">
        <f t="shared" si="45"/>
        <v/>
      </c>
      <c r="G354" s="21" t="str">
        <f t="shared" si="46"/>
        <v/>
      </c>
      <c r="H354" s="20" t="str">
        <f t="shared" si="48"/>
        <v/>
      </c>
      <c r="I354" s="19" t="str">
        <f t="shared" si="47"/>
        <v/>
      </c>
      <c r="J354" s="19" t="str">
        <f t="shared" si="49"/>
        <v/>
      </c>
      <c r="K354" s="18" t="str">
        <f t="shared" si="50"/>
        <v/>
      </c>
    </row>
    <row r="355" spans="3:11" x14ac:dyDescent="0.25">
      <c r="C355" s="23"/>
      <c r="D355" s="22"/>
      <c r="E355" s="21" t="str">
        <f t="shared" si="44"/>
        <v/>
      </c>
      <c r="F355" s="21" t="str">
        <f t="shared" si="45"/>
        <v/>
      </c>
      <c r="G355" s="21" t="str">
        <f t="shared" si="46"/>
        <v/>
      </c>
      <c r="H355" s="20" t="str">
        <f t="shared" si="48"/>
        <v/>
      </c>
      <c r="I355" s="19" t="str">
        <f t="shared" si="47"/>
        <v/>
      </c>
      <c r="J355" s="19" t="str">
        <f t="shared" si="49"/>
        <v/>
      </c>
      <c r="K355" s="18" t="str">
        <f t="shared" si="50"/>
        <v/>
      </c>
    </row>
    <row r="356" spans="3:11" x14ac:dyDescent="0.25">
      <c r="C356" s="23"/>
      <c r="D356" s="22"/>
      <c r="E356" s="21" t="str">
        <f t="shared" si="44"/>
        <v/>
      </c>
      <c r="F356" s="21" t="str">
        <f t="shared" si="45"/>
        <v/>
      </c>
      <c r="G356" s="21" t="str">
        <f t="shared" si="46"/>
        <v/>
      </c>
      <c r="H356" s="20" t="str">
        <f t="shared" si="48"/>
        <v/>
      </c>
      <c r="I356" s="19" t="str">
        <f t="shared" si="47"/>
        <v/>
      </c>
      <c r="J356" s="19" t="str">
        <f t="shared" si="49"/>
        <v/>
      </c>
      <c r="K356" s="18" t="str">
        <f t="shared" si="50"/>
        <v/>
      </c>
    </row>
    <row r="357" spans="3:11" x14ac:dyDescent="0.25">
      <c r="C357" s="23"/>
      <c r="D357" s="22"/>
      <c r="E357" s="21" t="str">
        <f t="shared" si="44"/>
        <v/>
      </c>
      <c r="F357" s="21" t="str">
        <f t="shared" si="45"/>
        <v/>
      </c>
      <c r="G357" s="21" t="str">
        <f t="shared" si="46"/>
        <v/>
      </c>
      <c r="H357" s="20" t="str">
        <f t="shared" si="48"/>
        <v/>
      </c>
      <c r="I357" s="19" t="str">
        <f t="shared" si="47"/>
        <v/>
      </c>
      <c r="J357" s="19" t="str">
        <f t="shared" si="49"/>
        <v/>
      </c>
      <c r="K357" s="18" t="str">
        <f t="shared" si="50"/>
        <v/>
      </c>
    </row>
    <row r="358" spans="3:11" x14ac:dyDescent="0.25">
      <c r="C358" s="23"/>
      <c r="D358" s="22"/>
      <c r="E358" s="21" t="str">
        <f t="shared" si="44"/>
        <v/>
      </c>
      <c r="F358" s="21" t="str">
        <f t="shared" si="45"/>
        <v/>
      </c>
      <c r="G358" s="21" t="str">
        <f t="shared" si="46"/>
        <v/>
      </c>
      <c r="H358" s="20" t="str">
        <f t="shared" si="48"/>
        <v/>
      </c>
      <c r="I358" s="19" t="str">
        <f t="shared" si="47"/>
        <v/>
      </c>
      <c r="J358" s="19" t="str">
        <f t="shared" si="49"/>
        <v/>
      </c>
      <c r="K358" s="18" t="str">
        <f t="shared" si="50"/>
        <v/>
      </c>
    </row>
    <row r="359" spans="3:11" x14ac:dyDescent="0.25">
      <c r="C359" s="23"/>
      <c r="D359" s="22"/>
      <c r="E359" s="21" t="str">
        <f t="shared" si="44"/>
        <v/>
      </c>
      <c r="F359" s="21" t="str">
        <f t="shared" si="45"/>
        <v/>
      </c>
      <c r="G359" s="21" t="str">
        <f t="shared" si="46"/>
        <v/>
      </c>
      <c r="H359" s="20" t="str">
        <f t="shared" si="48"/>
        <v/>
      </c>
      <c r="I359" s="19" t="str">
        <f t="shared" si="47"/>
        <v/>
      </c>
      <c r="J359" s="19" t="str">
        <f t="shared" si="49"/>
        <v/>
      </c>
      <c r="K359" s="18" t="str">
        <f t="shared" si="50"/>
        <v/>
      </c>
    </row>
    <row r="360" spans="3:11" x14ac:dyDescent="0.25">
      <c r="C360" s="23"/>
      <c r="D360" s="22"/>
      <c r="E360" s="21" t="str">
        <f t="shared" si="44"/>
        <v/>
      </c>
      <c r="F360" s="21" t="str">
        <f t="shared" si="45"/>
        <v/>
      </c>
      <c r="G360" s="21" t="str">
        <f t="shared" si="46"/>
        <v/>
      </c>
      <c r="H360" s="20" t="str">
        <f t="shared" si="48"/>
        <v/>
      </c>
      <c r="I360" s="19" t="str">
        <f t="shared" si="47"/>
        <v/>
      </c>
      <c r="J360" s="19" t="str">
        <f t="shared" si="49"/>
        <v/>
      </c>
      <c r="K360" s="18" t="str">
        <f t="shared" si="50"/>
        <v/>
      </c>
    </row>
    <row r="361" spans="3:11" x14ac:dyDescent="0.25">
      <c r="C361" s="23"/>
      <c r="D361" s="22"/>
      <c r="E361" s="21" t="str">
        <f t="shared" si="44"/>
        <v/>
      </c>
      <c r="F361" s="21" t="str">
        <f t="shared" si="45"/>
        <v/>
      </c>
      <c r="G361" s="21" t="str">
        <f t="shared" si="46"/>
        <v/>
      </c>
      <c r="H361" s="20" t="str">
        <f t="shared" si="48"/>
        <v/>
      </c>
      <c r="I361" s="19" t="str">
        <f t="shared" si="47"/>
        <v/>
      </c>
      <c r="J361" s="19" t="str">
        <f t="shared" si="49"/>
        <v/>
      </c>
      <c r="K361" s="18" t="str">
        <f t="shared" si="50"/>
        <v/>
      </c>
    </row>
    <row r="362" spans="3:11" x14ac:dyDescent="0.25">
      <c r="C362" s="23"/>
      <c r="D362" s="22"/>
      <c r="E362" s="21" t="str">
        <f t="shared" si="44"/>
        <v/>
      </c>
      <c r="F362" s="21" t="str">
        <f t="shared" si="45"/>
        <v/>
      </c>
      <c r="G362" s="21" t="str">
        <f t="shared" si="46"/>
        <v/>
      </c>
      <c r="H362" s="20" t="str">
        <f t="shared" si="48"/>
        <v/>
      </c>
      <c r="I362" s="19" t="str">
        <f t="shared" si="47"/>
        <v/>
      </c>
      <c r="J362" s="19" t="str">
        <f t="shared" si="49"/>
        <v/>
      </c>
      <c r="K362" s="18" t="str">
        <f t="shared" si="50"/>
        <v/>
      </c>
    </row>
    <row r="363" spans="3:11" x14ac:dyDescent="0.25">
      <c r="C363" s="23"/>
      <c r="D363" s="22"/>
      <c r="E363" s="21" t="str">
        <f t="shared" si="44"/>
        <v/>
      </c>
      <c r="F363" s="21" t="str">
        <f t="shared" si="45"/>
        <v/>
      </c>
      <c r="G363" s="21" t="str">
        <f t="shared" si="46"/>
        <v/>
      </c>
      <c r="H363" s="20" t="str">
        <f t="shared" si="48"/>
        <v/>
      </c>
      <c r="I363" s="19" t="str">
        <f t="shared" si="47"/>
        <v/>
      </c>
      <c r="J363" s="19" t="str">
        <f t="shared" si="49"/>
        <v/>
      </c>
      <c r="K363" s="18" t="str">
        <f t="shared" si="50"/>
        <v/>
      </c>
    </row>
    <row r="364" spans="3:11" x14ac:dyDescent="0.25">
      <c r="C364" s="23"/>
      <c r="D364" s="22"/>
      <c r="E364" s="21" t="str">
        <f t="shared" si="44"/>
        <v/>
      </c>
      <c r="F364" s="21" t="str">
        <f t="shared" si="45"/>
        <v/>
      </c>
      <c r="G364" s="21" t="str">
        <f t="shared" si="46"/>
        <v/>
      </c>
      <c r="H364" s="20" t="str">
        <f t="shared" si="48"/>
        <v/>
      </c>
      <c r="I364" s="19" t="str">
        <f t="shared" si="47"/>
        <v/>
      </c>
      <c r="J364" s="19" t="str">
        <f t="shared" si="49"/>
        <v/>
      </c>
      <c r="K364" s="18" t="str">
        <f t="shared" si="50"/>
        <v/>
      </c>
    </row>
    <row r="365" spans="3:11" x14ac:dyDescent="0.25">
      <c r="C365" s="23"/>
      <c r="D365" s="22"/>
      <c r="E365" s="21" t="str">
        <f t="shared" si="44"/>
        <v/>
      </c>
      <c r="F365" s="21" t="str">
        <f t="shared" si="45"/>
        <v/>
      </c>
      <c r="G365" s="21" t="str">
        <f t="shared" si="46"/>
        <v/>
      </c>
      <c r="H365" s="20" t="str">
        <f t="shared" si="48"/>
        <v/>
      </c>
      <c r="I365" s="19" t="str">
        <f t="shared" si="47"/>
        <v/>
      </c>
      <c r="J365" s="19" t="str">
        <f t="shared" si="49"/>
        <v/>
      </c>
      <c r="K365" s="18" t="str">
        <f t="shared" si="50"/>
        <v/>
      </c>
    </row>
    <row r="366" spans="3:11" x14ac:dyDescent="0.25">
      <c r="C366" s="23"/>
      <c r="D366" s="22"/>
      <c r="E366" s="21" t="str">
        <f t="shared" si="44"/>
        <v/>
      </c>
      <c r="F366" s="21" t="str">
        <f t="shared" si="45"/>
        <v/>
      </c>
      <c r="G366" s="21" t="str">
        <f t="shared" si="46"/>
        <v/>
      </c>
      <c r="H366" s="20" t="str">
        <f t="shared" si="48"/>
        <v/>
      </c>
      <c r="I366" s="19" t="str">
        <f t="shared" si="47"/>
        <v/>
      </c>
      <c r="J366" s="19" t="str">
        <f t="shared" si="49"/>
        <v/>
      </c>
      <c r="K366" s="18" t="str">
        <f t="shared" si="50"/>
        <v/>
      </c>
    </row>
    <row r="367" spans="3:11" x14ac:dyDescent="0.25">
      <c r="C367" s="23"/>
      <c r="D367" s="22"/>
      <c r="E367" s="21" t="str">
        <f t="shared" si="44"/>
        <v/>
      </c>
      <c r="F367" s="21" t="str">
        <f t="shared" si="45"/>
        <v/>
      </c>
      <c r="G367" s="21" t="str">
        <f t="shared" si="46"/>
        <v/>
      </c>
      <c r="H367" s="20" t="str">
        <f t="shared" si="48"/>
        <v/>
      </c>
      <c r="I367" s="19" t="str">
        <f t="shared" si="47"/>
        <v/>
      </c>
      <c r="J367" s="19" t="str">
        <f t="shared" si="49"/>
        <v/>
      </c>
      <c r="K367" s="18" t="str">
        <f t="shared" si="50"/>
        <v/>
      </c>
    </row>
    <row r="368" spans="3:11" x14ac:dyDescent="0.25">
      <c r="C368" s="23"/>
      <c r="D368" s="22"/>
      <c r="E368" s="21" t="str">
        <f t="shared" si="44"/>
        <v/>
      </c>
      <c r="F368" s="21" t="str">
        <f t="shared" si="45"/>
        <v/>
      </c>
      <c r="G368" s="21" t="str">
        <f t="shared" si="46"/>
        <v/>
      </c>
      <c r="H368" s="20" t="str">
        <f t="shared" si="48"/>
        <v/>
      </c>
      <c r="I368" s="19" t="str">
        <f t="shared" si="47"/>
        <v/>
      </c>
      <c r="J368" s="19" t="str">
        <f t="shared" si="49"/>
        <v/>
      </c>
      <c r="K368" s="18" t="str">
        <f t="shared" si="50"/>
        <v/>
      </c>
    </row>
    <row r="369" spans="3:11" x14ac:dyDescent="0.25">
      <c r="C369" s="23"/>
      <c r="D369" s="22"/>
      <c r="E369" s="21" t="str">
        <f t="shared" si="44"/>
        <v/>
      </c>
      <c r="F369" s="21" t="str">
        <f t="shared" si="45"/>
        <v/>
      </c>
      <c r="G369" s="21" t="str">
        <f t="shared" si="46"/>
        <v/>
      </c>
      <c r="H369" s="20" t="str">
        <f t="shared" si="48"/>
        <v/>
      </c>
      <c r="I369" s="19" t="str">
        <f t="shared" si="47"/>
        <v/>
      </c>
      <c r="J369" s="19" t="str">
        <f t="shared" si="49"/>
        <v/>
      </c>
      <c r="K369" s="18" t="str">
        <f t="shared" si="50"/>
        <v/>
      </c>
    </row>
    <row r="370" spans="3:11" x14ac:dyDescent="0.25">
      <c r="C370" s="23"/>
      <c r="D370" s="22"/>
      <c r="E370" s="21" t="str">
        <f t="shared" si="44"/>
        <v/>
      </c>
      <c r="F370" s="21" t="str">
        <f t="shared" si="45"/>
        <v/>
      </c>
      <c r="G370" s="21" t="str">
        <f t="shared" si="46"/>
        <v/>
      </c>
      <c r="H370" s="20" t="str">
        <f t="shared" si="48"/>
        <v/>
      </c>
      <c r="I370" s="19" t="str">
        <f t="shared" si="47"/>
        <v/>
      </c>
      <c r="J370" s="19" t="str">
        <f t="shared" si="49"/>
        <v/>
      </c>
      <c r="K370" s="18" t="str">
        <f t="shared" si="50"/>
        <v/>
      </c>
    </row>
    <row r="371" spans="3:11" x14ac:dyDescent="0.25">
      <c r="C371" s="23"/>
      <c r="D371" s="22"/>
      <c r="E371" s="21" t="str">
        <f t="shared" si="44"/>
        <v/>
      </c>
      <c r="F371" s="21" t="str">
        <f t="shared" si="45"/>
        <v/>
      </c>
      <c r="G371" s="21" t="str">
        <f t="shared" si="46"/>
        <v/>
      </c>
      <c r="H371" s="20" t="str">
        <f t="shared" si="48"/>
        <v/>
      </c>
      <c r="I371" s="19" t="str">
        <f t="shared" si="47"/>
        <v/>
      </c>
      <c r="J371" s="19" t="str">
        <f t="shared" si="49"/>
        <v/>
      </c>
      <c r="K371" s="18" t="str">
        <f t="shared" si="50"/>
        <v/>
      </c>
    </row>
    <row r="372" spans="3:11" x14ac:dyDescent="0.25">
      <c r="C372" s="23"/>
      <c r="D372" s="22"/>
      <c r="E372" s="21" t="str">
        <f t="shared" si="44"/>
        <v/>
      </c>
      <c r="F372" s="21" t="str">
        <f t="shared" si="45"/>
        <v/>
      </c>
      <c r="G372" s="21" t="str">
        <f t="shared" si="46"/>
        <v/>
      </c>
      <c r="H372" s="20" t="str">
        <f t="shared" si="48"/>
        <v/>
      </c>
      <c r="I372" s="19" t="str">
        <f t="shared" si="47"/>
        <v/>
      </c>
      <c r="J372" s="19" t="str">
        <f t="shared" si="49"/>
        <v/>
      </c>
      <c r="K372" s="18" t="str">
        <f t="shared" si="50"/>
        <v/>
      </c>
    </row>
    <row r="373" spans="3:11" x14ac:dyDescent="0.25">
      <c r="C373" s="23"/>
      <c r="D373" s="22"/>
      <c r="E373" s="21" t="str">
        <f t="shared" si="44"/>
        <v/>
      </c>
      <c r="F373" s="21" t="str">
        <f t="shared" si="45"/>
        <v/>
      </c>
      <c r="G373" s="21" t="str">
        <f t="shared" si="46"/>
        <v/>
      </c>
      <c r="H373" s="20" t="str">
        <f t="shared" si="48"/>
        <v/>
      </c>
      <c r="I373" s="19" t="str">
        <f t="shared" si="47"/>
        <v/>
      </c>
      <c r="J373" s="19" t="str">
        <f t="shared" si="49"/>
        <v/>
      </c>
      <c r="K373" s="18" t="str">
        <f t="shared" si="50"/>
        <v/>
      </c>
    </row>
    <row r="374" spans="3:11" x14ac:dyDescent="0.25">
      <c r="C374" s="23"/>
      <c r="D374" s="22"/>
      <c r="E374" s="21" t="str">
        <f t="shared" si="44"/>
        <v/>
      </c>
      <c r="F374" s="21" t="str">
        <f t="shared" si="45"/>
        <v/>
      </c>
      <c r="G374" s="21" t="str">
        <f t="shared" si="46"/>
        <v/>
      </c>
      <c r="H374" s="20" t="str">
        <f t="shared" si="48"/>
        <v/>
      </c>
      <c r="I374" s="19" t="str">
        <f t="shared" si="47"/>
        <v/>
      </c>
      <c r="J374" s="19" t="str">
        <f t="shared" si="49"/>
        <v/>
      </c>
      <c r="K374" s="18" t="str">
        <f t="shared" si="50"/>
        <v/>
      </c>
    </row>
    <row r="375" spans="3:11" x14ac:dyDescent="0.25">
      <c r="C375" s="23"/>
      <c r="D375" s="22"/>
      <c r="E375" s="21" t="str">
        <f t="shared" si="44"/>
        <v/>
      </c>
      <c r="F375" s="21" t="str">
        <f t="shared" si="45"/>
        <v/>
      </c>
      <c r="G375" s="21" t="str">
        <f t="shared" si="46"/>
        <v/>
      </c>
      <c r="H375" s="20" t="str">
        <f t="shared" si="48"/>
        <v/>
      </c>
      <c r="I375" s="19" t="str">
        <f t="shared" si="47"/>
        <v/>
      </c>
      <c r="J375" s="19" t="str">
        <f t="shared" si="49"/>
        <v/>
      </c>
      <c r="K375" s="18" t="str">
        <f t="shared" si="50"/>
        <v/>
      </c>
    </row>
    <row r="376" spans="3:11" x14ac:dyDescent="0.25">
      <c r="C376" s="23"/>
      <c r="D376" s="22"/>
      <c r="E376" s="21" t="str">
        <f t="shared" si="44"/>
        <v/>
      </c>
      <c r="F376" s="21" t="str">
        <f t="shared" si="45"/>
        <v/>
      </c>
      <c r="G376" s="21" t="str">
        <f t="shared" si="46"/>
        <v/>
      </c>
      <c r="H376" s="20" t="str">
        <f t="shared" si="48"/>
        <v/>
      </c>
      <c r="I376" s="19" t="str">
        <f t="shared" si="47"/>
        <v/>
      </c>
      <c r="J376" s="19" t="str">
        <f t="shared" si="49"/>
        <v/>
      </c>
      <c r="K376" s="18" t="str">
        <f t="shared" si="50"/>
        <v/>
      </c>
    </row>
    <row r="377" spans="3:11" x14ac:dyDescent="0.25">
      <c r="C377" s="23"/>
      <c r="D377" s="22"/>
      <c r="E377" s="21" t="str">
        <f t="shared" si="44"/>
        <v/>
      </c>
      <c r="F377" s="21" t="str">
        <f t="shared" si="45"/>
        <v/>
      </c>
      <c r="G377" s="21" t="str">
        <f t="shared" si="46"/>
        <v/>
      </c>
      <c r="H377" s="20" t="str">
        <f t="shared" si="48"/>
        <v/>
      </c>
      <c r="I377" s="19" t="str">
        <f t="shared" si="47"/>
        <v/>
      </c>
      <c r="J377" s="19" t="str">
        <f t="shared" si="49"/>
        <v/>
      </c>
      <c r="K377" s="18" t="str">
        <f t="shared" si="50"/>
        <v/>
      </c>
    </row>
    <row r="378" spans="3:11" x14ac:dyDescent="0.25">
      <c r="C378" s="23"/>
      <c r="D378" s="22"/>
      <c r="E378" s="21" t="str">
        <f t="shared" si="44"/>
        <v/>
      </c>
      <c r="F378" s="21" t="str">
        <f t="shared" si="45"/>
        <v/>
      </c>
      <c r="G378" s="21" t="str">
        <f t="shared" si="46"/>
        <v/>
      </c>
      <c r="H378" s="20" t="str">
        <f t="shared" si="48"/>
        <v/>
      </c>
      <c r="I378" s="19" t="str">
        <f t="shared" si="47"/>
        <v/>
      </c>
      <c r="J378" s="19" t="str">
        <f t="shared" si="49"/>
        <v/>
      </c>
      <c r="K378" s="18" t="str">
        <f t="shared" si="50"/>
        <v/>
      </c>
    </row>
    <row r="379" spans="3:11" x14ac:dyDescent="0.25">
      <c r="C379" s="23"/>
      <c r="D379" s="22"/>
      <c r="E379" s="21" t="str">
        <f t="shared" si="44"/>
        <v/>
      </c>
      <c r="F379" s="21" t="str">
        <f t="shared" si="45"/>
        <v/>
      </c>
      <c r="G379" s="21" t="str">
        <f t="shared" si="46"/>
        <v/>
      </c>
      <c r="H379" s="20" t="str">
        <f t="shared" si="48"/>
        <v/>
      </c>
      <c r="I379" s="19" t="str">
        <f t="shared" si="47"/>
        <v/>
      </c>
      <c r="J379" s="19" t="str">
        <f t="shared" si="49"/>
        <v/>
      </c>
      <c r="K379" s="18" t="str">
        <f t="shared" si="50"/>
        <v/>
      </c>
    </row>
    <row r="380" spans="3:11" x14ac:dyDescent="0.25">
      <c r="C380" s="23"/>
      <c r="D380" s="22"/>
      <c r="E380" s="21" t="str">
        <f t="shared" si="44"/>
        <v/>
      </c>
      <c r="F380" s="21" t="str">
        <f t="shared" si="45"/>
        <v/>
      </c>
      <c r="G380" s="21" t="str">
        <f t="shared" si="46"/>
        <v/>
      </c>
      <c r="H380" s="20" t="str">
        <f t="shared" si="48"/>
        <v/>
      </c>
      <c r="I380" s="19" t="str">
        <f t="shared" si="47"/>
        <v/>
      </c>
      <c r="J380" s="19" t="str">
        <f t="shared" si="49"/>
        <v/>
      </c>
      <c r="K380" s="18" t="str">
        <f t="shared" si="50"/>
        <v/>
      </c>
    </row>
    <row r="381" spans="3:11" x14ac:dyDescent="0.25">
      <c r="C381" s="23"/>
      <c r="D381" s="22"/>
      <c r="E381" s="21" t="str">
        <f t="shared" si="44"/>
        <v/>
      </c>
      <c r="F381" s="21" t="str">
        <f t="shared" si="45"/>
        <v/>
      </c>
      <c r="G381" s="21" t="str">
        <f t="shared" si="46"/>
        <v/>
      </c>
      <c r="H381" s="20" t="str">
        <f t="shared" si="48"/>
        <v/>
      </c>
      <c r="I381" s="19" t="str">
        <f t="shared" si="47"/>
        <v/>
      </c>
      <c r="J381" s="19" t="str">
        <f t="shared" si="49"/>
        <v/>
      </c>
      <c r="K381" s="18" t="str">
        <f t="shared" si="50"/>
        <v/>
      </c>
    </row>
    <row r="382" spans="3:11" x14ac:dyDescent="0.25">
      <c r="C382" s="23"/>
      <c r="D382" s="22"/>
      <c r="E382" s="21" t="str">
        <f t="shared" si="44"/>
        <v/>
      </c>
      <c r="F382" s="21" t="str">
        <f t="shared" si="45"/>
        <v/>
      </c>
      <c r="G382" s="21" t="str">
        <f t="shared" si="46"/>
        <v/>
      </c>
      <c r="H382" s="20" t="str">
        <f t="shared" si="48"/>
        <v/>
      </c>
      <c r="I382" s="19" t="str">
        <f t="shared" si="47"/>
        <v/>
      </c>
      <c r="J382" s="19" t="str">
        <f t="shared" si="49"/>
        <v/>
      </c>
      <c r="K382" s="18" t="str">
        <f t="shared" si="50"/>
        <v/>
      </c>
    </row>
    <row r="383" spans="3:11" x14ac:dyDescent="0.25">
      <c r="C383" s="23"/>
      <c r="D383" s="22"/>
      <c r="E383" s="21" t="str">
        <f t="shared" si="44"/>
        <v/>
      </c>
      <c r="F383" s="21" t="str">
        <f t="shared" si="45"/>
        <v/>
      </c>
      <c r="G383" s="21" t="str">
        <f t="shared" si="46"/>
        <v/>
      </c>
      <c r="H383" s="20" t="str">
        <f t="shared" si="48"/>
        <v/>
      </c>
      <c r="I383" s="19" t="str">
        <f t="shared" si="47"/>
        <v/>
      </c>
      <c r="J383" s="19" t="str">
        <f t="shared" si="49"/>
        <v/>
      </c>
      <c r="K383" s="18" t="str">
        <f t="shared" si="50"/>
        <v/>
      </c>
    </row>
    <row r="384" spans="3:11" x14ac:dyDescent="0.25">
      <c r="C384" s="23"/>
      <c r="D384" s="22"/>
      <c r="E384" s="21" t="str">
        <f t="shared" si="44"/>
        <v/>
      </c>
      <c r="F384" s="21" t="str">
        <f t="shared" si="45"/>
        <v/>
      </c>
      <c r="G384" s="21" t="str">
        <f t="shared" si="46"/>
        <v/>
      </c>
      <c r="H384" s="20" t="str">
        <f t="shared" si="48"/>
        <v/>
      </c>
      <c r="I384" s="19" t="str">
        <f t="shared" si="47"/>
        <v/>
      </c>
      <c r="J384" s="19" t="str">
        <f t="shared" si="49"/>
        <v/>
      </c>
      <c r="K384" s="18" t="str">
        <f t="shared" si="50"/>
        <v/>
      </c>
    </row>
    <row r="385" spans="3:11" x14ac:dyDescent="0.25">
      <c r="C385" s="23"/>
      <c r="D385" s="22"/>
      <c r="E385" s="21" t="str">
        <f t="shared" si="44"/>
        <v/>
      </c>
      <c r="F385" s="21" t="str">
        <f t="shared" si="45"/>
        <v/>
      </c>
      <c r="G385" s="21" t="str">
        <f t="shared" si="46"/>
        <v/>
      </c>
      <c r="H385" s="20" t="str">
        <f t="shared" si="48"/>
        <v/>
      </c>
      <c r="I385" s="19" t="str">
        <f t="shared" si="47"/>
        <v/>
      </c>
      <c r="J385" s="19" t="str">
        <f t="shared" si="49"/>
        <v/>
      </c>
      <c r="K385" s="18" t="str">
        <f t="shared" si="50"/>
        <v/>
      </c>
    </row>
    <row r="386" spans="3:11" x14ac:dyDescent="0.25">
      <c r="C386" s="23"/>
      <c r="D386" s="22"/>
      <c r="E386" s="21" t="str">
        <f t="shared" si="44"/>
        <v/>
      </c>
      <c r="F386" s="21" t="str">
        <f t="shared" si="45"/>
        <v/>
      </c>
      <c r="G386" s="21" t="str">
        <f t="shared" si="46"/>
        <v/>
      </c>
      <c r="H386" s="20" t="str">
        <f t="shared" si="48"/>
        <v/>
      </c>
      <c r="I386" s="19" t="str">
        <f t="shared" si="47"/>
        <v/>
      </c>
      <c r="J386" s="19" t="str">
        <f t="shared" si="49"/>
        <v/>
      </c>
      <c r="K386" s="18" t="str">
        <f t="shared" si="50"/>
        <v/>
      </c>
    </row>
    <row r="387" spans="3:11" x14ac:dyDescent="0.25">
      <c r="C387" s="23"/>
      <c r="D387" s="22"/>
      <c r="E387" s="21" t="str">
        <f t="shared" si="44"/>
        <v/>
      </c>
      <c r="F387" s="21" t="str">
        <f t="shared" si="45"/>
        <v/>
      </c>
      <c r="G387" s="21" t="str">
        <f t="shared" si="46"/>
        <v/>
      </c>
      <c r="H387" s="20" t="str">
        <f t="shared" si="48"/>
        <v/>
      </c>
      <c r="I387" s="19" t="str">
        <f t="shared" si="47"/>
        <v/>
      </c>
      <c r="J387" s="19" t="str">
        <f t="shared" si="49"/>
        <v/>
      </c>
      <c r="K387" s="18" t="str">
        <f t="shared" si="50"/>
        <v/>
      </c>
    </row>
    <row r="388" spans="3:11" x14ac:dyDescent="0.25">
      <c r="C388" s="23"/>
      <c r="D388" s="22"/>
      <c r="E388" s="21" t="str">
        <f t="shared" si="44"/>
        <v/>
      </c>
      <c r="F388" s="21" t="str">
        <f t="shared" si="45"/>
        <v/>
      </c>
      <c r="G388" s="21" t="str">
        <f t="shared" si="46"/>
        <v/>
      </c>
      <c r="H388" s="20" t="str">
        <f t="shared" si="48"/>
        <v/>
      </c>
      <c r="I388" s="19" t="str">
        <f t="shared" si="47"/>
        <v/>
      </c>
      <c r="J388" s="19" t="str">
        <f t="shared" si="49"/>
        <v/>
      </c>
      <c r="K388" s="18" t="str">
        <f t="shared" si="50"/>
        <v/>
      </c>
    </row>
    <row r="389" spans="3:11" x14ac:dyDescent="0.25">
      <c r="C389" s="23"/>
      <c r="D389" s="22"/>
      <c r="E389" s="21" t="str">
        <f t="shared" si="44"/>
        <v/>
      </c>
      <c r="F389" s="21" t="str">
        <f t="shared" si="45"/>
        <v/>
      </c>
      <c r="G389" s="21" t="str">
        <f t="shared" si="46"/>
        <v/>
      </c>
      <c r="H389" s="20" t="str">
        <f t="shared" si="48"/>
        <v/>
      </c>
      <c r="I389" s="19" t="str">
        <f t="shared" si="47"/>
        <v/>
      </c>
      <c r="J389" s="19" t="str">
        <f t="shared" si="49"/>
        <v/>
      </c>
      <c r="K389" s="18" t="str">
        <f t="shared" si="50"/>
        <v/>
      </c>
    </row>
    <row r="390" spans="3:11" x14ac:dyDescent="0.25">
      <c r="C390" s="23"/>
      <c r="D390" s="22"/>
      <c r="E390" s="21" t="str">
        <f t="shared" si="44"/>
        <v/>
      </c>
      <c r="F390" s="21" t="str">
        <f t="shared" si="45"/>
        <v/>
      </c>
      <c r="G390" s="21" t="str">
        <f t="shared" si="46"/>
        <v/>
      </c>
      <c r="H390" s="20" t="str">
        <f t="shared" si="48"/>
        <v/>
      </c>
      <c r="I390" s="19" t="str">
        <f t="shared" si="47"/>
        <v/>
      </c>
      <c r="J390" s="19" t="str">
        <f t="shared" si="49"/>
        <v/>
      </c>
      <c r="K390" s="18" t="str">
        <f t="shared" si="50"/>
        <v/>
      </c>
    </row>
    <row r="391" spans="3:11" x14ac:dyDescent="0.25">
      <c r="C391" s="23"/>
      <c r="D391" s="22"/>
      <c r="E391" s="21" t="str">
        <f t="shared" si="44"/>
        <v/>
      </c>
      <c r="F391" s="21" t="str">
        <f t="shared" si="45"/>
        <v/>
      </c>
      <c r="G391" s="21" t="str">
        <f t="shared" si="46"/>
        <v/>
      </c>
      <c r="H391" s="20" t="str">
        <f t="shared" si="48"/>
        <v/>
      </c>
      <c r="I391" s="19" t="str">
        <f t="shared" si="47"/>
        <v/>
      </c>
      <c r="J391" s="19" t="str">
        <f t="shared" si="49"/>
        <v/>
      </c>
      <c r="K391" s="18" t="str">
        <f t="shared" si="50"/>
        <v/>
      </c>
    </row>
    <row r="392" spans="3:11" x14ac:dyDescent="0.25">
      <c r="C392" s="23"/>
      <c r="D392" s="22"/>
      <c r="E392" s="21" t="str">
        <f t="shared" ref="E392:E455" si="51">MID(C392,LEN("UTC ")+1,LEN("UTC - "))</f>
        <v/>
      </c>
      <c r="F392" s="21" t="str">
        <f t="shared" ref="F392:F455" si="52">IF(D392="Y",E392+1,E392)</f>
        <v/>
      </c>
      <c r="G392" s="21" t="str">
        <f t="shared" ref="G392:G455" si="53">IF(F392="","",IF(rDST="N",F392,F392+1))</f>
        <v/>
      </c>
      <c r="H392" s="20" t="str">
        <f t="shared" si="48"/>
        <v/>
      </c>
      <c r="I392" s="19" t="str">
        <f t="shared" ref="I392:I455" si="54">IF(B392="","",IF(F392&lt;0,rGreenwich-TIME(ABS(F392),(H392),0),rGreenwich+TIME(ABS(F392),(H392),0)))</f>
        <v/>
      </c>
      <c r="J392" s="19" t="str">
        <f t="shared" si="49"/>
        <v/>
      </c>
      <c r="K392" s="18" t="str">
        <f t="shared" si="50"/>
        <v/>
      </c>
    </row>
    <row r="393" spans="3:11" x14ac:dyDescent="0.25">
      <c r="C393" s="23"/>
      <c r="D393" s="22"/>
      <c r="E393" s="21" t="str">
        <f t="shared" si="51"/>
        <v/>
      </c>
      <c r="F393" s="21" t="str">
        <f t="shared" si="52"/>
        <v/>
      </c>
      <c r="G393" s="21" t="str">
        <f t="shared" si="53"/>
        <v/>
      </c>
      <c r="H393" s="20" t="str">
        <f t="shared" si="48"/>
        <v/>
      </c>
      <c r="I393" s="19" t="str">
        <f t="shared" si="54"/>
        <v/>
      </c>
      <c r="J393" s="19" t="str">
        <f t="shared" si="49"/>
        <v/>
      </c>
      <c r="K393" s="18" t="str">
        <f t="shared" si="50"/>
        <v/>
      </c>
    </row>
    <row r="394" spans="3:11" x14ac:dyDescent="0.25">
      <c r="C394" s="23"/>
      <c r="D394" s="22"/>
      <c r="E394" s="21" t="str">
        <f t="shared" si="51"/>
        <v/>
      </c>
      <c r="F394" s="21" t="str">
        <f t="shared" si="52"/>
        <v/>
      </c>
      <c r="G394" s="21" t="str">
        <f t="shared" si="53"/>
        <v/>
      </c>
      <c r="H394" s="20" t="str">
        <f t="shared" si="48"/>
        <v/>
      </c>
      <c r="I394" s="19" t="str">
        <f t="shared" si="54"/>
        <v/>
      </c>
      <c r="J394" s="19" t="str">
        <f t="shared" si="49"/>
        <v/>
      </c>
      <c r="K394" s="18" t="str">
        <f t="shared" si="50"/>
        <v/>
      </c>
    </row>
    <row r="395" spans="3:11" x14ac:dyDescent="0.25">
      <c r="C395" s="23"/>
      <c r="D395" s="22"/>
      <c r="E395" s="21" t="str">
        <f t="shared" si="51"/>
        <v/>
      </c>
      <c r="F395" s="21" t="str">
        <f t="shared" si="52"/>
        <v/>
      </c>
      <c r="G395" s="21" t="str">
        <f t="shared" si="53"/>
        <v/>
      </c>
      <c r="H395" s="20" t="str">
        <f t="shared" si="48"/>
        <v/>
      </c>
      <c r="I395" s="19" t="str">
        <f t="shared" si="54"/>
        <v/>
      </c>
      <c r="J395" s="19" t="str">
        <f t="shared" si="49"/>
        <v/>
      </c>
      <c r="K395" s="18" t="str">
        <f t="shared" si="50"/>
        <v/>
      </c>
    </row>
    <row r="396" spans="3:11" x14ac:dyDescent="0.25">
      <c r="C396" s="23"/>
      <c r="D396" s="22"/>
      <c r="E396" s="21" t="str">
        <f t="shared" si="51"/>
        <v/>
      </c>
      <c r="F396" s="21" t="str">
        <f t="shared" si="52"/>
        <v/>
      </c>
      <c r="G396" s="21" t="str">
        <f t="shared" si="53"/>
        <v/>
      </c>
      <c r="H396" s="20" t="str">
        <f t="shared" si="48"/>
        <v/>
      </c>
      <c r="I396" s="19" t="str">
        <f t="shared" si="54"/>
        <v/>
      </c>
      <c r="J396" s="19" t="str">
        <f t="shared" si="49"/>
        <v/>
      </c>
      <c r="K396" s="18" t="str">
        <f t="shared" si="50"/>
        <v/>
      </c>
    </row>
    <row r="397" spans="3:11" x14ac:dyDescent="0.25">
      <c r="C397" s="23"/>
      <c r="D397" s="22"/>
      <c r="E397" s="21" t="str">
        <f t="shared" si="51"/>
        <v/>
      </c>
      <c r="F397" s="21" t="str">
        <f t="shared" si="52"/>
        <v/>
      </c>
      <c r="G397" s="21" t="str">
        <f t="shared" si="53"/>
        <v/>
      </c>
      <c r="H397" s="20" t="str">
        <f t="shared" si="48"/>
        <v/>
      </c>
      <c r="I397" s="19" t="str">
        <f t="shared" si="54"/>
        <v/>
      </c>
      <c r="J397" s="19" t="str">
        <f t="shared" si="49"/>
        <v/>
      </c>
      <c r="K397" s="18" t="str">
        <f t="shared" si="50"/>
        <v/>
      </c>
    </row>
    <row r="398" spans="3:11" x14ac:dyDescent="0.25">
      <c r="C398" s="23"/>
      <c r="D398" s="22"/>
      <c r="E398" s="21" t="str">
        <f t="shared" si="51"/>
        <v/>
      </c>
      <c r="F398" s="21" t="str">
        <f t="shared" si="52"/>
        <v/>
      </c>
      <c r="G398" s="21" t="str">
        <f t="shared" si="53"/>
        <v/>
      </c>
      <c r="H398" s="20" t="str">
        <f t="shared" si="48"/>
        <v/>
      </c>
      <c r="I398" s="19" t="str">
        <f t="shared" si="54"/>
        <v/>
      </c>
      <c r="J398" s="19" t="str">
        <f t="shared" si="49"/>
        <v/>
      </c>
      <c r="K398" s="18" t="str">
        <f t="shared" si="50"/>
        <v/>
      </c>
    </row>
    <row r="399" spans="3:11" x14ac:dyDescent="0.25">
      <c r="C399" s="23"/>
      <c r="D399" s="22"/>
      <c r="E399" s="21" t="str">
        <f t="shared" si="51"/>
        <v/>
      </c>
      <c r="F399" s="21" t="str">
        <f t="shared" si="52"/>
        <v/>
      </c>
      <c r="G399" s="21" t="str">
        <f t="shared" si="53"/>
        <v/>
      </c>
      <c r="H399" s="20" t="str">
        <f t="shared" si="48"/>
        <v/>
      </c>
      <c r="I399" s="19" t="str">
        <f t="shared" si="54"/>
        <v/>
      </c>
      <c r="J399" s="19" t="str">
        <f t="shared" si="49"/>
        <v/>
      </c>
      <c r="K399" s="18" t="str">
        <f t="shared" si="50"/>
        <v/>
      </c>
    </row>
    <row r="400" spans="3:11" x14ac:dyDescent="0.25">
      <c r="C400" s="23"/>
      <c r="D400" s="22"/>
      <c r="E400" s="21" t="str">
        <f t="shared" si="51"/>
        <v/>
      </c>
      <c r="F400" s="21" t="str">
        <f t="shared" si="52"/>
        <v/>
      </c>
      <c r="G400" s="21" t="str">
        <f t="shared" si="53"/>
        <v/>
      </c>
      <c r="H400" s="20" t="str">
        <f t="shared" si="48"/>
        <v/>
      </c>
      <c r="I400" s="19" t="str">
        <f t="shared" si="54"/>
        <v/>
      </c>
      <c r="J400" s="19" t="str">
        <f t="shared" si="49"/>
        <v/>
      </c>
      <c r="K400" s="18" t="str">
        <f t="shared" si="50"/>
        <v/>
      </c>
    </row>
    <row r="401" spans="3:11" x14ac:dyDescent="0.25">
      <c r="C401" s="23"/>
      <c r="D401" s="22"/>
      <c r="E401" s="21" t="str">
        <f t="shared" si="51"/>
        <v/>
      </c>
      <c r="F401" s="21" t="str">
        <f t="shared" si="52"/>
        <v/>
      </c>
      <c r="G401" s="21" t="str">
        <f t="shared" si="53"/>
        <v/>
      </c>
      <c r="H401" s="20" t="str">
        <f t="shared" si="48"/>
        <v/>
      </c>
      <c r="I401" s="19" t="str">
        <f t="shared" si="54"/>
        <v/>
      </c>
      <c r="J401" s="19" t="str">
        <f t="shared" si="49"/>
        <v/>
      </c>
      <c r="K401" s="18" t="str">
        <f t="shared" si="50"/>
        <v/>
      </c>
    </row>
    <row r="402" spans="3:11" x14ac:dyDescent="0.25">
      <c r="C402" s="23"/>
      <c r="D402" s="22"/>
      <c r="E402" s="21" t="str">
        <f t="shared" si="51"/>
        <v/>
      </c>
      <c r="F402" s="21" t="str">
        <f t="shared" si="52"/>
        <v/>
      </c>
      <c r="G402" s="21" t="str">
        <f t="shared" si="53"/>
        <v/>
      </c>
      <c r="H402" s="20" t="str">
        <f t="shared" si="48"/>
        <v/>
      </c>
      <c r="I402" s="19" t="str">
        <f t="shared" si="54"/>
        <v/>
      </c>
      <c r="J402" s="19" t="str">
        <f t="shared" si="49"/>
        <v/>
      </c>
      <c r="K402" s="18" t="str">
        <f t="shared" si="50"/>
        <v/>
      </c>
    </row>
    <row r="403" spans="3:11" x14ac:dyDescent="0.25">
      <c r="C403" s="23"/>
      <c r="D403" s="22"/>
      <c r="E403" s="21" t="str">
        <f t="shared" si="51"/>
        <v/>
      </c>
      <c r="F403" s="21" t="str">
        <f t="shared" si="52"/>
        <v/>
      </c>
      <c r="G403" s="21" t="str">
        <f t="shared" si="53"/>
        <v/>
      </c>
      <c r="H403" s="20" t="str">
        <f t="shared" si="48"/>
        <v/>
      </c>
      <c r="I403" s="19" t="str">
        <f t="shared" si="54"/>
        <v/>
      </c>
      <c r="J403" s="19" t="str">
        <f t="shared" si="49"/>
        <v/>
      </c>
      <c r="K403" s="18" t="str">
        <f t="shared" si="50"/>
        <v/>
      </c>
    </row>
    <row r="404" spans="3:11" x14ac:dyDescent="0.25">
      <c r="C404" s="23"/>
      <c r="D404" s="22"/>
      <c r="E404" s="21" t="str">
        <f t="shared" si="51"/>
        <v/>
      </c>
      <c r="F404" s="21" t="str">
        <f t="shared" si="52"/>
        <v/>
      </c>
      <c r="G404" s="21" t="str">
        <f t="shared" si="53"/>
        <v/>
      </c>
      <c r="H404" s="20" t="str">
        <f t="shared" si="48"/>
        <v/>
      </c>
      <c r="I404" s="19" t="str">
        <f t="shared" si="54"/>
        <v/>
      </c>
      <c r="J404" s="19" t="str">
        <f t="shared" si="49"/>
        <v/>
      </c>
      <c r="K404" s="18" t="str">
        <f t="shared" si="50"/>
        <v/>
      </c>
    </row>
    <row r="405" spans="3:11" x14ac:dyDescent="0.25">
      <c r="C405" s="23"/>
      <c r="D405" s="22"/>
      <c r="E405" s="21" t="str">
        <f t="shared" si="51"/>
        <v/>
      </c>
      <c r="F405" s="21" t="str">
        <f t="shared" si="52"/>
        <v/>
      </c>
      <c r="G405" s="21" t="str">
        <f t="shared" si="53"/>
        <v/>
      </c>
      <c r="H405" s="20" t="str">
        <f t="shared" si="48"/>
        <v/>
      </c>
      <c r="I405" s="19" t="str">
        <f t="shared" si="54"/>
        <v/>
      </c>
      <c r="J405" s="19" t="str">
        <f t="shared" si="49"/>
        <v/>
      </c>
      <c r="K405" s="18" t="str">
        <f t="shared" si="50"/>
        <v/>
      </c>
    </row>
    <row r="406" spans="3:11" x14ac:dyDescent="0.25">
      <c r="C406" s="23"/>
      <c r="D406" s="22"/>
      <c r="E406" s="21" t="str">
        <f t="shared" si="51"/>
        <v/>
      </c>
      <c r="F406" s="21" t="str">
        <f t="shared" si="52"/>
        <v/>
      </c>
      <c r="G406" s="21" t="str">
        <f t="shared" si="53"/>
        <v/>
      </c>
      <c r="H406" s="20" t="str">
        <f t="shared" si="48"/>
        <v/>
      </c>
      <c r="I406" s="19" t="str">
        <f t="shared" si="54"/>
        <v/>
      </c>
      <c r="J406" s="19" t="str">
        <f t="shared" si="49"/>
        <v/>
      </c>
      <c r="K406" s="18" t="str">
        <f t="shared" si="50"/>
        <v/>
      </c>
    </row>
    <row r="407" spans="3:11" x14ac:dyDescent="0.25">
      <c r="C407" s="23"/>
      <c r="D407" s="22"/>
      <c r="E407" s="21" t="str">
        <f t="shared" si="51"/>
        <v/>
      </c>
      <c r="F407" s="21" t="str">
        <f t="shared" si="52"/>
        <v/>
      </c>
      <c r="G407" s="21" t="str">
        <f t="shared" si="53"/>
        <v/>
      </c>
      <c r="H407" s="20" t="str">
        <f t="shared" si="48"/>
        <v/>
      </c>
      <c r="I407" s="19" t="str">
        <f t="shared" si="54"/>
        <v/>
      </c>
      <c r="J407" s="19" t="str">
        <f t="shared" si="49"/>
        <v/>
      </c>
      <c r="K407" s="18" t="str">
        <f t="shared" si="50"/>
        <v/>
      </c>
    </row>
    <row r="408" spans="3:11" x14ac:dyDescent="0.25">
      <c r="C408" s="23"/>
      <c r="D408" s="22"/>
      <c r="E408" s="21" t="str">
        <f t="shared" si="51"/>
        <v/>
      </c>
      <c r="F408" s="21" t="str">
        <f t="shared" si="52"/>
        <v/>
      </c>
      <c r="G408" s="21" t="str">
        <f t="shared" si="53"/>
        <v/>
      </c>
      <c r="H408" s="20" t="str">
        <f t="shared" si="48"/>
        <v/>
      </c>
      <c r="I408" s="19" t="str">
        <f t="shared" si="54"/>
        <v/>
      </c>
      <c r="J408" s="19" t="str">
        <f t="shared" si="49"/>
        <v/>
      </c>
      <c r="K408" s="18" t="str">
        <f t="shared" si="50"/>
        <v/>
      </c>
    </row>
    <row r="409" spans="3:11" x14ac:dyDescent="0.25">
      <c r="C409" s="23"/>
      <c r="D409" s="22"/>
      <c r="E409" s="21" t="str">
        <f t="shared" si="51"/>
        <v/>
      </c>
      <c r="F409" s="21" t="str">
        <f t="shared" si="52"/>
        <v/>
      </c>
      <c r="G409" s="21" t="str">
        <f t="shared" si="53"/>
        <v/>
      </c>
      <c r="H409" s="20" t="str">
        <f t="shared" si="48"/>
        <v/>
      </c>
      <c r="I409" s="19" t="str">
        <f t="shared" si="54"/>
        <v/>
      </c>
      <c r="J409" s="19" t="str">
        <f t="shared" si="49"/>
        <v/>
      </c>
      <c r="K409" s="18" t="str">
        <f t="shared" si="50"/>
        <v/>
      </c>
    </row>
    <row r="410" spans="3:11" x14ac:dyDescent="0.25">
      <c r="C410" s="23"/>
      <c r="D410" s="22"/>
      <c r="E410" s="21" t="str">
        <f t="shared" si="51"/>
        <v/>
      </c>
      <c r="F410" s="21" t="str">
        <f t="shared" si="52"/>
        <v/>
      </c>
      <c r="G410" s="21" t="str">
        <f t="shared" si="53"/>
        <v/>
      </c>
      <c r="H410" s="20" t="str">
        <f t="shared" si="48"/>
        <v/>
      </c>
      <c r="I410" s="19" t="str">
        <f t="shared" si="54"/>
        <v/>
      </c>
      <c r="J410" s="19" t="str">
        <f t="shared" si="49"/>
        <v/>
      </c>
      <c r="K410" s="18" t="str">
        <f t="shared" si="50"/>
        <v/>
      </c>
    </row>
    <row r="411" spans="3:11" x14ac:dyDescent="0.25">
      <c r="C411" s="23"/>
      <c r="D411" s="22"/>
      <c r="E411" s="21" t="str">
        <f t="shared" si="51"/>
        <v/>
      </c>
      <c r="F411" s="21" t="str">
        <f t="shared" si="52"/>
        <v/>
      </c>
      <c r="G411" s="21" t="str">
        <f t="shared" si="53"/>
        <v/>
      </c>
      <c r="H411" s="20" t="str">
        <f t="shared" si="48"/>
        <v/>
      </c>
      <c r="I411" s="19" t="str">
        <f t="shared" si="54"/>
        <v/>
      </c>
      <c r="J411" s="19" t="str">
        <f t="shared" si="49"/>
        <v/>
      </c>
      <c r="K411" s="18" t="str">
        <f t="shared" si="50"/>
        <v/>
      </c>
    </row>
    <row r="412" spans="3:11" x14ac:dyDescent="0.25">
      <c r="C412" s="23"/>
      <c r="D412" s="22"/>
      <c r="E412" s="21" t="str">
        <f t="shared" si="51"/>
        <v/>
      </c>
      <c r="F412" s="21" t="str">
        <f t="shared" si="52"/>
        <v/>
      </c>
      <c r="G412" s="21" t="str">
        <f t="shared" si="53"/>
        <v/>
      </c>
      <c r="H412" s="20" t="str">
        <f t="shared" si="48"/>
        <v/>
      </c>
      <c r="I412" s="19" t="str">
        <f t="shared" si="54"/>
        <v/>
      </c>
      <c r="J412" s="19" t="str">
        <f t="shared" si="49"/>
        <v/>
      </c>
      <c r="K412" s="18" t="str">
        <f t="shared" si="50"/>
        <v/>
      </c>
    </row>
    <row r="413" spans="3:11" x14ac:dyDescent="0.25">
      <c r="C413" s="23"/>
      <c r="D413" s="22"/>
      <c r="E413" s="21" t="str">
        <f t="shared" si="51"/>
        <v/>
      </c>
      <c r="F413" s="21" t="str">
        <f t="shared" si="52"/>
        <v/>
      </c>
      <c r="G413" s="21" t="str">
        <f t="shared" si="53"/>
        <v/>
      </c>
      <c r="H413" s="20" t="str">
        <f t="shared" si="48"/>
        <v/>
      </c>
      <c r="I413" s="19" t="str">
        <f t="shared" si="54"/>
        <v/>
      </c>
      <c r="J413" s="19" t="str">
        <f t="shared" si="49"/>
        <v/>
      </c>
      <c r="K413" s="18" t="str">
        <f t="shared" si="50"/>
        <v/>
      </c>
    </row>
    <row r="414" spans="3:11" x14ac:dyDescent="0.25">
      <c r="C414" s="23"/>
      <c r="D414" s="22"/>
      <c r="E414" s="21" t="str">
        <f t="shared" si="51"/>
        <v/>
      </c>
      <c r="F414" s="21" t="str">
        <f t="shared" si="52"/>
        <v/>
      </c>
      <c r="G414" s="21" t="str">
        <f t="shared" si="53"/>
        <v/>
      </c>
      <c r="H414" s="20" t="str">
        <f t="shared" si="48"/>
        <v/>
      </c>
      <c r="I414" s="19" t="str">
        <f t="shared" si="54"/>
        <v/>
      </c>
      <c r="J414" s="19" t="str">
        <f t="shared" si="49"/>
        <v/>
      </c>
      <c r="K414" s="18" t="str">
        <f t="shared" si="50"/>
        <v/>
      </c>
    </row>
    <row r="415" spans="3:11" x14ac:dyDescent="0.25">
      <c r="C415" s="23"/>
      <c r="D415" s="22"/>
      <c r="E415" s="21" t="str">
        <f t="shared" si="51"/>
        <v/>
      </c>
      <c r="F415" s="21" t="str">
        <f t="shared" si="52"/>
        <v/>
      </c>
      <c r="G415" s="21" t="str">
        <f t="shared" si="53"/>
        <v/>
      </c>
      <c r="H415" s="20" t="str">
        <f t="shared" si="48"/>
        <v/>
      </c>
      <c r="I415" s="19" t="str">
        <f t="shared" si="54"/>
        <v/>
      </c>
      <c r="J415" s="19" t="str">
        <f t="shared" si="49"/>
        <v/>
      </c>
      <c r="K415" s="18" t="str">
        <f t="shared" si="50"/>
        <v/>
      </c>
    </row>
    <row r="416" spans="3:11" x14ac:dyDescent="0.25">
      <c r="C416" s="23"/>
      <c r="D416" s="22"/>
      <c r="E416" s="21" t="str">
        <f t="shared" si="51"/>
        <v/>
      </c>
      <c r="F416" s="21" t="str">
        <f t="shared" si="52"/>
        <v/>
      </c>
      <c r="G416" s="21" t="str">
        <f t="shared" si="53"/>
        <v/>
      </c>
      <c r="H416" s="20" t="str">
        <f t="shared" si="48"/>
        <v/>
      </c>
      <c r="I416" s="19" t="str">
        <f t="shared" si="54"/>
        <v/>
      </c>
      <c r="J416" s="19" t="str">
        <f t="shared" si="49"/>
        <v/>
      </c>
      <c r="K416" s="18" t="str">
        <f t="shared" si="50"/>
        <v/>
      </c>
    </row>
    <row r="417" spans="3:11" x14ac:dyDescent="0.25">
      <c r="C417" s="23"/>
      <c r="D417" s="22"/>
      <c r="E417" s="21" t="str">
        <f t="shared" si="51"/>
        <v/>
      </c>
      <c r="F417" s="21" t="str">
        <f t="shared" si="52"/>
        <v/>
      </c>
      <c r="G417" s="21" t="str">
        <f t="shared" si="53"/>
        <v/>
      </c>
      <c r="H417" s="20" t="str">
        <f t="shared" ref="H417:H480" si="55">IF(F417="","",MOD(F417,1)*60)</f>
        <v/>
      </c>
      <c r="I417" s="19" t="str">
        <f t="shared" si="54"/>
        <v/>
      </c>
      <c r="J417" s="19" t="str">
        <f t="shared" ref="J417:J480" si="56">IF(B417="","",I417+TIME(ABS($F$8),0,0))</f>
        <v/>
      </c>
      <c r="K417" s="18" t="str">
        <f t="shared" ref="K417:K480" si="57">IF(F417="","",ABS(T$12)+F417)</f>
        <v/>
      </c>
    </row>
    <row r="418" spans="3:11" x14ac:dyDescent="0.25">
      <c r="C418" s="23"/>
      <c r="D418" s="22"/>
      <c r="E418" s="21" t="str">
        <f t="shared" si="51"/>
        <v/>
      </c>
      <c r="F418" s="21" t="str">
        <f t="shared" si="52"/>
        <v/>
      </c>
      <c r="G418" s="21" t="str">
        <f t="shared" si="53"/>
        <v/>
      </c>
      <c r="H418" s="20" t="str">
        <f t="shared" si="55"/>
        <v/>
      </c>
      <c r="I418" s="19" t="str">
        <f t="shared" si="54"/>
        <v/>
      </c>
      <c r="J418" s="19" t="str">
        <f t="shared" si="56"/>
        <v/>
      </c>
      <c r="K418" s="18" t="str">
        <f t="shared" si="57"/>
        <v/>
      </c>
    </row>
    <row r="419" spans="3:11" x14ac:dyDescent="0.25">
      <c r="C419" s="23"/>
      <c r="D419" s="22"/>
      <c r="E419" s="21" t="str">
        <f t="shared" si="51"/>
        <v/>
      </c>
      <c r="F419" s="21" t="str">
        <f t="shared" si="52"/>
        <v/>
      </c>
      <c r="G419" s="21" t="str">
        <f t="shared" si="53"/>
        <v/>
      </c>
      <c r="H419" s="20" t="str">
        <f t="shared" si="55"/>
        <v/>
      </c>
      <c r="I419" s="19" t="str">
        <f t="shared" si="54"/>
        <v/>
      </c>
      <c r="J419" s="19" t="str">
        <f t="shared" si="56"/>
        <v/>
      </c>
      <c r="K419" s="18" t="str">
        <f t="shared" si="57"/>
        <v/>
      </c>
    </row>
    <row r="420" spans="3:11" x14ac:dyDescent="0.25">
      <c r="C420" s="23"/>
      <c r="D420" s="22"/>
      <c r="E420" s="21" t="str">
        <f t="shared" si="51"/>
        <v/>
      </c>
      <c r="F420" s="21" t="str">
        <f t="shared" si="52"/>
        <v/>
      </c>
      <c r="G420" s="21" t="str">
        <f t="shared" si="53"/>
        <v/>
      </c>
      <c r="H420" s="20" t="str">
        <f t="shared" si="55"/>
        <v/>
      </c>
      <c r="I420" s="19" t="str">
        <f t="shared" si="54"/>
        <v/>
      </c>
      <c r="J420" s="19" t="str">
        <f t="shared" si="56"/>
        <v/>
      </c>
      <c r="K420" s="18" t="str">
        <f t="shared" si="57"/>
        <v/>
      </c>
    </row>
    <row r="421" spans="3:11" x14ac:dyDescent="0.25">
      <c r="C421" s="23"/>
      <c r="D421" s="22"/>
      <c r="E421" s="21" t="str">
        <f t="shared" si="51"/>
        <v/>
      </c>
      <c r="F421" s="21" t="str">
        <f t="shared" si="52"/>
        <v/>
      </c>
      <c r="G421" s="21" t="str">
        <f t="shared" si="53"/>
        <v/>
      </c>
      <c r="H421" s="20" t="str">
        <f t="shared" si="55"/>
        <v/>
      </c>
      <c r="I421" s="19" t="str">
        <f t="shared" si="54"/>
        <v/>
      </c>
      <c r="J421" s="19" t="str">
        <f t="shared" si="56"/>
        <v/>
      </c>
      <c r="K421" s="18" t="str">
        <f t="shared" si="57"/>
        <v/>
      </c>
    </row>
    <row r="422" spans="3:11" x14ac:dyDescent="0.25">
      <c r="C422" s="23"/>
      <c r="D422" s="22"/>
      <c r="E422" s="21" t="str">
        <f t="shared" si="51"/>
        <v/>
      </c>
      <c r="F422" s="21" t="str">
        <f t="shared" si="52"/>
        <v/>
      </c>
      <c r="G422" s="21" t="str">
        <f t="shared" si="53"/>
        <v/>
      </c>
      <c r="H422" s="20" t="str">
        <f t="shared" si="55"/>
        <v/>
      </c>
      <c r="I422" s="19" t="str">
        <f t="shared" si="54"/>
        <v/>
      </c>
      <c r="J422" s="19" t="str">
        <f t="shared" si="56"/>
        <v/>
      </c>
      <c r="K422" s="18" t="str">
        <f t="shared" si="57"/>
        <v/>
      </c>
    </row>
    <row r="423" spans="3:11" x14ac:dyDescent="0.25">
      <c r="C423" s="23"/>
      <c r="D423" s="22"/>
      <c r="E423" s="21" t="str">
        <f t="shared" si="51"/>
        <v/>
      </c>
      <c r="F423" s="21" t="str">
        <f t="shared" si="52"/>
        <v/>
      </c>
      <c r="G423" s="21" t="str">
        <f t="shared" si="53"/>
        <v/>
      </c>
      <c r="H423" s="20" t="str">
        <f t="shared" si="55"/>
        <v/>
      </c>
      <c r="I423" s="19" t="str">
        <f t="shared" si="54"/>
        <v/>
      </c>
      <c r="J423" s="19" t="str">
        <f t="shared" si="56"/>
        <v/>
      </c>
      <c r="K423" s="18" t="str">
        <f t="shared" si="57"/>
        <v/>
      </c>
    </row>
    <row r="424" spans="3:11" x14ac:dyDescent="0.25">
      <c r="C424" s="23"/>
      <c r="D424" s="22"/>
      <c r="E424" s="21" t="str">
        <f t="shared" si="51"/>
        <v/>
      </c>
      <c r="F424" s="21" t="str">
        <f t="shared" si="52"/>
        <v/>
      </c>
      <c r="G424" s="21" t="str">
        <f t="shared" si="53"/>
        <v/>
      </c>
      <c r="H424" s="20" t="str">
        <f t="shared" si="55"/>
        <v/>
      </c>
      <c r="I424" s="19" t="str">
        <f t="shared" si="54"/>
        <v/>
      </c>
      <c r="J424" s="19" t="str">
        <f t="shared" si="56"/>
        <v/>
      </c>
      <c r="K424" s="18" t="str">
        <f t="shared" si="57"/>
        <v/>
      </c>
    </row>
    <row r="425" spans="3:11" x14ac:dyDescent="0.25">
      <c r="C425" s="23"/>
      <c r="D425" s="22"/>
      <c r="E425" s="21" t="str">
        <f t="shared" si="51"/>
        <v/>
      </c>
      <c r="F425" s="21" t="str">
        <f t="shared" si="52"/>
        <v/>
      </c>
      <c r="G425" s="21" t="str">
        <f t="shared" si="53"/>
        <v/>
      </c>
      <c r="H425" s="20" t="str">
        <f t="shared" si="55"/>
        <v/>
      </c>
      <c r="I425" s="19" t="str">
        <f t="shared" si="54"/>
        <v/>
      </c>
      <c r="J425" s="19" t="str">
        <f t="shared" si="56"/>
        <v/>
      </c>
      <c r="K425" s="18" t="str">
        <f t="shared" si="57"/>
        <v/>
      </c>
    </row>
    <row r="426" spans="3:11" x14ac:dyDescent="0.25">
      <c r="C426" s="23"/>
      <c r="D426" s="22"/>
      <c r="E426" s="21" t="str">
        <f t="shared" si="51"/>
        <v/>
      </c>
      <c r="F426" s="21" t="str">
        <f t="shared" si="52"/>
        <v/>
      </c>
      <c r="G426" s="21" t="str">
        <f t="shared" si="53"/>
        <v/>
      </c>
      <c r="H426" s="20" t="str">
        <f t="shared" si="55"/>
        <v/>
      </c>
      <c r="I426" s="19" t="str">
        <f t="shared" si="54"/>
        <v/>
      </c>
      <c r="J426" s="19" t="str">
        <f t="shared" si="56"/>
        <v/>
      </c>
      <c r="K426" s="18" t="str">
        <f t="shared" si="57"/>
        <v/>
      </c>
    </row>
    <row r="427" spans="3:11" x14ac:dyDescent="0.25">
      <c r="C427" s="23"/>
      <c r="D427" s="22"/>
      <c r="E427" s="21" t="str">
        <f t="shared" si="51"/>
        <v/>
      </c>
      <c r="F427" s="21" t="str">
        <f t="shared" si="52"/>
        <v/>
      </c>
      <c r="G427" s="21" t="str">
        <f t="shared" si="53"/>
        <v/>
      </c>
      <c r="H427" s="20" t="str">
        <f t="shared" si="55"/>
        <v/>
      </c>
      <c r="I427" s="19" t="str">
        <f t="shared" si="54"/>
        <v/>
      </c>
      <c r="J427" s="19" t="str">
        <f t="shared" si="56"/>
        <v/>
      </c>
      <c r="K427" s="18" t="str">
        <f t="shared" si="57"/>
        <v/>
      </c>
    </row>
    <row r="428" spans="3:11" x14ac:dyDescent="0.25">
      <c r="C428" s="23"/>
      <c r="D428" s="22"/>
      <c r="E428" s="21" t="str">
        <f t="shared" si="51"/>
        <v/>
      </c>
      <c r="F428" s="21" t="str">
        <f t="shared" si="52"/>
        <v/>
      </c>
      <c r="G428" s="21" t="str">
        <f t="shared" si="53"/>
        <v/>
      </c>
      <c r="H428" s="20" t="str">
        <f t="shared" si="55"/>
        <v/>
      </c>
      <c r="I428" s="19" t="str">
        <f t="shared" si="54"/>
        <v/>
      </c>
      <c r="J428" s="19" t="str">
        <f t="shared" si="56"/>
        <v/>
      </c>
      <c r="K428" s="18" t="str">
        <f t="shared" si="57"/>
        <v/>
      </c>
    </row>
    <row r="429" spans="3:11" x14ac:dyDescent="0.25">
      <c r="C429" s="23"/>
      <c r="D429" s="22"/>
      <c r="E429" s="21" t="str">
        <f t="shared" si="51"/>
        <v/>
      </c>
      <c r="F429" s="21" t="str">
        <f t="shared" si="52"/>
        <v/>
      </c>
      <c r="G429" s="21" t="str">
        <f t="shared" si="53"/>
        <v/>
      </c>
      <c r="H429" s="20" t="str">
        <f t="shared" si="55"/>
        <v/>
      </c>
      <c r="I429" s="19" t="str">
        <f t="shared" si="54"/>
        <v/>
      </c>
      <c r="J429" s="19" t="str">
        <f t="shared" si="56"/>
        <v/>
      </c>
      <c r="K429" s="18" t="str">
        <f t="shared" si="57"/>
        <v/>
      </c>
    </row>
    <row r="430" spans="3:11" x14ac:dyDescent="0.25">
      <c r="C430" s="23"/>
      <c r="D430" s="22"/>
      <c r="E430" s="21" t="str">
        <f t="shared" si="51"/>
        <v/>
      </c>
      <c r="F430" s="21" t="str">
        <f t="shared" si="52"/>
        <v/>
      </c>
      <c r="G430" s="21" t="str">
        <f t="shared" si="53"/>
        <v/>
      </c>
      <c r="H430" s="20" t="str">
        <f t="shared" si="55"/>
        <v/>
      </c>
      <c r="I430" s="19" t="str">
        <f t="shared" si="54"/>
        <v/>
      </c>
      <c r="J430" s="19" t="str">
        <f t="shared" si="56"/>
        <v/>
      </c>
      <c r="K430" s="18" t="str">
        <f t="shared" si="57"/>
        <v/>
      </c>
    </row>
    <row r="431" spans="3:11" x14ac:dyDescent="0.25">
      <c r="C431" s="23"/>
      <c r="D431" s="22"/>
      <c r="E431" s="21" t="str">
        <f t="shared" si="51"/>
        <v/>
      </c>
      <c r="F431" s="21" t="str">
        <f t="shared" si="52"/>
        <v/>
      </c>
      <c r="G431" s="21" t="str">
        <f t="shared" si="53"/>
        <v/>
      </c>
      <c r="H431" s="20" t="str">
        <f t="shared" si="55"/>
        <v/>
      </c>
      <c r="I431" s="19" t="str">
        <f t="shared" si="54"/>
        <v/>
      </c>
      <c r="J431" s="19" t="str">
        <f t="shared" si="56"/>
        <v/>
      </c>
      <c r="K431" s="18" t="str">
        <f t="shared" si="57"/>
        <v/>
      </c>
    </row>
    <row r="432" spans="3:11" x14ac:dyDescent="0.25">
      <c r="C432" s="23"/>
      <c r="D432" s="22"/>
      <c r="E432" s="21" t="str">
        <f t="shared" si="51"/>
        <v/>
      </c>
      <c r="F432" s="21" t="str">
        <f t="shared" si="52"/>
        <v/>
      </c>
      <c r="G432" s="21" t="str">
        <f t="shared" si="53"/>
        <v/>
      </c>
      <c r="H432" s="20" t="str">
        <f t="shared" si="55"/>
        <v/>
      </c>
      <c r="I432" s="19" t="str">
        <f t="shared" si="54"/>
        <v/>
      </c>
      <c r="J432" s="19" t="str">
        <f t="shared" si="56"/>
        <v/>
      </c>
      <c r="K432" s="18" t="str">
        <f t="shared" si="57"/>
        <v/>
      </c>
    </row>
    <row r="433" spans="3:11" x14ac:dyDescent="0.25">
      <c r="C433" s="23"/>
      <c r="D433" s="22"/>
      <c r="E433" s="21" t="str">
        <f t="shared" si="51"/>
        <v/>
      </c>
      <c r="F433" s="21" t="str">
        <f t="shared" si="52"/>
        <v/>
      </c>
      <c r="G433" s="21" t="str">
        <f t="shared" si="53"/>
        <v/>
      </c>
      <c r="H433" s="20" t="str">
        <f t="shared" si="55"/>
        <v/>
      </c>
      <c r="I433" s="19" t="str">
        <f t="shared" si="54"/>
        <v/>
      </c>
      <c r="J433" s="19" t="str">
        <f t="shared" si="56"/>
        <v/>
      </c>
      <c r="K433" s="18" t="str">
        <f t="shared" si="57"/>
        <v/>
      </c>
    </row>
    <row r="434" spans="3:11" x14ac:dyDescent="0.25">
      <c r="C434" s="23"/>
      <c r="D434" s="22"/>
      <c r="E434" s="21" t="str">
        <f t="shared" si="51"/>
        <v/>
      </c>
      <c r="F434" s="21" t="str">
        <f t="shared" si="52"/>
        <v/>
      </c>
      <c r="G434" s="21" t="str">
        <f t="shared" si="53"/>
        <v/>
      </c>
      <c r="H434" s="20" t="str">
        <f t="shared" si="55"/>
        <v/>
      </c>
      <c r="I434" s="19" t="str">
        <f t="shared" si="54"/>
        <v/>
      </c>
      <c r="J434" s="19" t="str">
        <f t="shared" si="56"/>
        <v/>
      </c>
      <c r="K434" s="18" t="str">
        <f t="shared" si="57"/>
        <v/>
      </c>
    </row>
    <row r="435" spans="3:11" x14ac:dyDescent="0.25">
      <c r="C435" s="23"/>
      <c r="D435" s="22"/>
      <c r="E435" s="21" t="str">
        <f t="shared" si="51"/>
        <v/>
      </c>
      <c r="F435" s="21" t="str">
        <f t="shared" si="52"/>
        <v/>
      </c>
      <c r="G435" s="21" t="str">
        <f t="shared" si="53"/>
        <v/>
      </c>
      <c r="H435" s="20" t="str">
        <f t="shared" si="55"/>
        <v/>
      </c>
      <c r="I435" s="19" t="str">
        <f t="shared" si="54"/>
        <v/>
      </c>
      <c r="J435" s="19" t="str">
        <f t="shared" si="56"/>
        <v/>
      </c>
      <c r="K435" s="18" t="str">
        <f t="shared" si="57"/>
        <v/>
      </c>
    </row>
    <row r="436" spans="3:11" x14ac:dyDescent="0.25">
      <c r="C436" s="23"/>
      <c r="D436" s="22"/>
      <c r="E436" s="21" t="str">
        <f t="shared" si="51"/>
        <v/>
      </c>
      <c r="F436" s="21" t="str">
        <f t="shared" si="52"/>
        <v/>
      </c>
      <c r="G436" s="21" t="str">
        <f t="shared" si="53"/>
        <v/>
      </c>
      <c r="H436" s="20" t="str">
        <f t="shared" si="55"/>
        <v/>
      </c>
      <c r="I436" s="19" t="str">
        <f t="shared" si="54"/>
        <v/>
      </c>
      <c r="J436" s="19" t="str">
        <f t="shared" si="56"/>
        <v/>
      </c>
      <c r="K436" s="18" t="str">
        <f t="shared" si="57"/>
        <v/>
      </c>
    </row>
    <row r="437" spans="3:11" x14ac:dyDescent="0.25">
      <c r="C437" s="23"/>
      <c r="D437" s="22"/>
      <c r="E437" s="21" t="str">
        <f t="shared" si="51"/>
        <v/>
      </c>
      <c r="F437" s="21" t="str">
        <f t="shared" si="52"/>
        <v/>
      </c>
      <c r="G437" s="21" t="str">
        <f t="shared" si="53"/>
        <v/>
      </c>
      <c r="H437" s="20" t="str">
        <f t="shared" si="55"/>
        <v/>
      </c>
      <c r="I437" s="19" t="str">
        <f t="shared" si="54"/>
        <v/>
      </c>
      <c r="J437" s="19" t="str">
        <f t="shared" si="56"/>
        <v/>
      </c>
      <c r="K437" s="18" t="str">
        <f t="shared" si="57"/>
        <v/>
      </c>
    </row>
    <row r="438" spans="3:11" x14ac:dyDescent="0.25">
      <c r="C438" s="23"/>
      <c r="D438" s="22"/>
      <c r="E438" s="21" t="str">
        <f t="shared" si="51"/>
        <v/>
      </c>
      <c r="F438" s="21" t="str">
        <f t="shared" si="52"/>
        <v/>
      </c>
      <c r="G438" s="21" t="str">
        <f t="shared" si="53"/>
        <v/>
      </c>
      <c r="H438" s="20" t="str">
        <f t="shared" si="55"/>
        <v/>
      </c>
      <c r="I438" s="19" t="str">
        <f t="shared" si="54"/>
        <v/>
      </c>
      <c r="J438" s="19" t="str">
        <f t="shared" si="56"/>
        <v/>
      </c>
      <c r="K438" s="18" t="str">
        <f t="shared" si="57"/>
        <v/>
      </c>
    </row>
    <row r="439" spans="3:11" x14ac:dyDescent="0.25">
      <c r="C439" s="23"/>
      <c r="D439" s="22"/>
      <c r="E439" s="21" t="str">
        <f t="shared" si="51"/>
        <v/>
      </c>
      <c r="F439" s="21" t="str">
        <f t="shared" si="52"/>
        <v/>
      </c>
      <c r="G439" s="21" t="str">
        <f t="shared" si="53"/>
        <v/>
      </c>
      <c r="H439" s="20" t="str">
        <f t="shared" si="55"/>
        <v/>
      </c>
      <c r="I439" s="19" t="str">
        <f t="shared" si="54"/>
        <v/>
      </c>
      <c r="J439" s="19" t="str">
        <f t="shared" si="56"/>
        <v/>
      </c>
      <c r="K439" s="18" t="str">
        <f t="shared" si="57"/>
        <v/>
      </c>
    </row>
    <row r="440" spans="3:11" x14ac:dyDescent="0.25">
      <c r="C440" s="23"/>
      <c r="D440" s="22"/>
      <c r="E440" s="21" t="str">
        <f t="shared" si="51"/>
        <v/>
      </c>
      <c r="F440" s="21" t="str">
        <f t="shared" si="52"/>
        <v/>
      </c>
      <c r="G440" s="21" t="str">
        <f t="shared" si="53"/>
        <v/>
      </c>
      <c r="H440" s="20" t="str">
        <f t="shared" si="55"/>
        <v/>
      </c>
      <c r="I440" s="19" t="str">
        <f t="shared" si="54"/>
        <v/>
      </c>
      <c r="J440" s="19" t="str">
        <f t="shared" si="56"/>
        <v/>
      </c>
      <c r="K440" s="18" t="str">
        <f t="shared" si="57"/>
        <v/>
      </c>
    </row>
    <row r="441" spans="3:11" x14ac:dyDescent="0.25">
      <c r="C441" s="23"/>
      <c r="D441" s="22"/>
      <c r="E441" s="21" t="str">
        <f t="shared" si="51"/>
        <v/>
      </c>
      <c r="F441" s="21" t="str">
        <f t="shared" si="52"/>
        <v/>
      </c>
      <c r="G441" s="21" t="str">
        <f t="shared" si="53"/>
        <v/>
      </c>
      <c r="H441" s="20" t="str">
        <f t="shared" si="55"/>
        <v/>
      </c>
      <c r="I441" s="19" t="str">
        <f t="shared" si="54"/>
        <v/>
      </c>
      <c r="J441" s="19" t="str">
        <f t="shared" si="56"/>
        <v/>
      </c>
      <c r="K441" s="18" t="str">
        <f t="shared" si="57"/>
        <v/>
      </c>
    </row>
    <row r="442" spans="3:11" x14ac:dyDescent="0.25">
      <c r="C442" s="23"/>
      <c r="D442" s="22"/>
      <c r="E442" s="21" t="str">
        <f t="shared" si="51"/>
        <v/>
      </c>
      <c r="F442" s="21" t="str">
        <f t="shared" si="52"/>
        <v/>
      </c>
      <c r="G442" s="21" t="str">
        <f t="shared" si="53"/>
        <v/>
      </c>
      <c r="H442" s="20" t="str">
        <f t="shared" si="55"/>
        <v/>
      </c>
      <c r="I442" s="19" t="str">
        <f t="shared" si="54"/>
        <v/>
      </c>
      <c r="J442" s="19" t="str">
        <f t="shared" si="56"/>
        <v/>
      </c>
      <c r="K442" s="18" t="str">
        <f t="shared" si="57"/>
        <v/>
      </c>
    </row>
    <row r="443" spans="3:11" x14ac:dyDescent="0.25">
      <c r="C443" s="23"/>
      <c r="D443" s="22"/>
      <c r="E443" s="21" t="str">
        <f t="shared" si="51"/>
        <v/>
      </c>
      <c r="F443" s="21" t="str">
        <f t="shared" si="52"/>
        <v/>
      </c>
      <c r="G443" s="21" t="str">
        <f t="shared" si="53"/>
        <v/>
      </c>
      <c r="H443" s="20" t="str">
        <f t="shared" si="55"/>
        <v/>
      </c>
      <c r="I443" s="19" t="str">
        <f t="shared" si="54"/>
        <v/>
      </c>
      <c r="J443" s="19" t="str">
        <f t="shared" si="56"/>
        <v/>
      </c>
      <c r="K443" s="18" t="str">
        <f t="shared" si="57"/>
        <v/>
      </c>
    </row>
    <row r="444" spans="3:11" x14ac:dyDescent="0.25">
      <c r="C444" s="23"/>
      <c r="D444" s="22"/>
      <c r="E444" s="21" t="str">
        <f t="shared" si="51"/>
        <v/>
      </c>
      <c r="F444" s="21" t="str">
        <f t="shared" si="52"/>
        <v/>
      </c>
      <c r="G444" s="21" t="str">
        <f t="shared" si="53"/>
        <v/>
      </c>
      <c r="H444" s="20" t="str">
        <f t="shared" si="55"/>
        <v/>
      </c>
      <c r="I444" s="19" t="str">
        <f t="shared" si="54"/>
        <v/>
      </c>
      <c r="J444" s="19" t="str">
        <f t="shared" si="56"/>
        <v/>
      </c>
      <c r="K444" s="18" t="str">
        <f t="shared" si="57"/>
        <v/>
      </c>
    </row>
    <row r="445" spans="3:11" x14ac:dyDescent="0.25">
      <c r="C445" s="23"/>
      <c r="D445" s="22"/>
      <c r="E445" s="21" t="str">
        <f t="shared" si="51"/>
        <v/>
      </c>
      <c r="F445" s="21" t="str">
        <f t="shared" si="52"/>
        <v/>
      </c>
      <c r="G445" s="21" t="str">
        <f t="shared" si="53"/>
        <v/>
      </c>
      <c r="H445" s="20" t="str">
        <f t="shared" si="55"/>
        <v/>
      </c>
      <c r="I445" s="19" t="str">
        <f t="shared" si="54"/>
        <v/>
      </c>
      <c r="J445" s="19" t="str">
        <f t="shared" si="56"/>
        <v/>
      </c>
      <c r="K445" s="18" t="str">
        <f t="shared" si="57"/>
        <v/>
      </c>
    </row>
    <row r="446" spans="3:11" x14ac:dyDescent="0.25">
      <c r="C446" s="23"/>
      <c r="D446" s="22"/>
      <c r="E446" s="21" t="str">
        <f t="shared" si="51"/>
        <v/>
      </c>
      <c r="F446" s="21" t="str">
        <f t="shared" si="52"/>
        <v/>
      </c>
      <c r="G446" s="21" t="str">
        <f t="shared" si="53"/>
        <v/>
      </c>
      <c r="H446" s="20" t="str">
        <f t="shared" si="55"/>
        <v/>
      </c>
      <c r="I446" s="19" t="str">
        <f t="shared" si="54"/>
        <v/>
      </c>
      <c r="J446" s="19" t="str">
        <f t="shared" si="56"/>
        <v/>
      </c>
      <c r="K446" s="18" t="str">
        <f t="shared" si="57"/>
        <v/>
      </c>
    </row>
    <row r="447" spans="3:11" x14ac:dyDescent="0.25">
      <c r="C447" s="23"/>
      <c r="D447" s="22"/>
      <c r="E447" s="21" t="str">
        <f t="shared" si="51"/>
        <v/>
      </c>
      <c r="F447" s="21" t="str">
        <f t="shared" si="52"/>
        <v/>
      </c>
      <c r="G447" s="21" t="str">
        <f t="shared" si="53"/>
        <v/>
      </c>
      <c r="H447" s="20" t="str">
        <f t="shared" si="55"/>
        <v/>
      </c>
      <c r="I447" s="19" t="str">
        <f t="shared" si="54"/>
        <v/>
      </c>
      <c r="J447" s="19" t="str">
        <f t="shared" si="56"/>
        <v/>
      </c>
      <c r="K447" s="18" t="str">
        <f t="shared" si="57"/>
        <v/>
      </c>
    </row>
    <row r="448" spans="3:11" x14ac:dyDescent="0.25">
      <c r="C448" s="23"/>
      <c r="D448" s="22"/>
      <c r="E448" s="21" t="str">
        <f t="shared" si="51"/>
        <v/>
      </c>
      <c r="F448" s="21" t="str">
        <f t="shared" si="52"/>
        <v/>
      </c>
      <c r="G448" s="21" t="str">
        <f t="shared" si="53"/>
        <v/>
      </c>
      <c r="H448" s="20" t="str">
        <f t="shared" si="55"/>
        <v/>
      </c>
      <c r="I448" s="19" t="str">
        <f t="shared" si="54"/>
        <v/>
      </c>
      <c r="J448" s="19" t="str">
        <f t="shared" si="56"/>
        <v/>
      </c>
      <c r="K448" s="18" t="str">
        <f t="shared" si="57"/>
        <v/>
      </c>
    </row>
    <row r="449" spans="3:11" x14ac:dyDescent="0.25">
      <c r="C449" s="23"/>
      <c r="D449" s="22"/>
      <c r="E449" s="21" t="str">
        <f t="shared" si="51"/>
        <v/>
      </c>
      <c r="F449" s="21" t="str">
        <f t="shared" si="52"/>
        <v/>
      </c>
      <c r="G449" s="21" t="str">
        <f t="shared" si="53"/>
        <v/>
      </c>
      <c r="H449" s="20" t="str">
        <f t="shared" si="55"/>
        <v/>
      </c>
      <c r="I449" s="19" t="str">
        <f t="shared" si="54"/>
        <v/>
      </c>
      <c r="J449" s="19" t="str">
        <f t="shared" si="56"/>
        <v/>
      </c>
      <c r="K449" s="18" t="str">
        <f t="shared" si="57"/>
        <v/>
      </c>
    </row>
    <row r="450" spans="3:11" x14ac:dyDescent="0.25">
      <c r="C450" s="23"/>
      <c r="D450" s="22"/>
      <c r="E450" s="21" t="str">
        <f t="shared" si="51"/>
        <v/>
      </c>
      <c r="F450" s="21" t="str">
        <f t="shared" si="52"/>
        <v/>
      </c>
      <c r="G450" s="21" t="str">
        <f t="shared" si="53"/>
        <v/>
      </c>
      <c r="H450" s="20" t="str">
        <f t="shared" si="55"/>
        <v/>
      </c>
      <c r="I450" s="19" t="str">
        <f t="shared" si="54"/>
        <v/>
      </c>
      <c r="J450" s="19" t="str">
        <f t="shared" si="56"/>
        <v/>
      </c>
      <c r="K450" s="18" t="str">
        <f t="shared" si="57"/>
        <v/>
      </c>
    </row>
    <row r="451" spans="3:11" x14ac:dyDescent="0.25">
      <c r="C451" s="23"/>
      <c r="D451" s="22"/>
      <c r="E451" s="21" t="str">
        <f t="shared" si="51"/>
        <v/>
      </c>
      <c r="F451" s="21" t="str">
        <f t="shared" si="52"/>
        <v/>
      </c>
      <c r="G451" s="21" t="str">
        <f t="shared" si="53"/>
        <v/>
      </c>
      <c r="H451" s="20" t="str">
        <f t="shared" si="55"/>
        <v/>
      </c>
      <c r="I451" s="19" t="str">
        <f t="shared" si="54"/>
        <v/>
      </c>
      <c r="J451" s="19" t="str">
        <f t="shared" si="56"/>
        <v/>
      </c>
      <c r="K451" s="18" t="str">
        <f t="shared" si="57"/>
        <v/>
      </c>
    </row>
    <row r="452" spans="3:11" x14ac:dyDescent="0.25">
      <c r="C452" s="23"/>
      <c r="D452" s="22"/>
      <c r="E452" s="21" t="str">
        <f t="shared" si="51"/>
        <v/>
      </c>
      <c r="F452" s="21" t="str">
        <f t="shared" si="52"/>
        <v/>
      </c>
      <c r="G452" s="21" t="str">
        <f t="shared" si="53"/>
        <v/>
      </c>
      <c r="H452" s="20" t="str">
        <f t="shared" si="55"/>
        <v/>
      </c>
      <c r="I452" s="19" t="str">
        <f t="shared" si="54"/>
        <v/>
      </c>
      <c r="J452" s="19" t="str">
        <f t="shared" si="56"/>
        <v/>
      </c>
      <c r="K452" s="18" t="str">
        <f t="shared" si="57"/>
        <v/>
      </c>
    </row>
    <row r="453" spans="3:11" x14ac:dyDescent="0.25">
      <c r="C453" s="23"/>
      <c r="D453" s="22"/>
      <c r="E453" s="21" t="str">
        <f t="shared" si="51"/>
        <v/>
      </c>
      <c r="F453" s="21" t="str">
        <f t="shared" si="52"/>
        <v/>
      </c>
      <c r="G453" s="21" t="str">
        <f t="shared" si="53"/>
        <v/>
      </c>
      <c r="H453" s="20" t="str">
        <f t="shared" si="55"/>
        <v/>
      </c>
      <c r="I453" s="19" t="str">
        <f t="shared" si="54"/>
        <v/>
      </c>
      <c r="J453" s="19" t="str">
        <f t="shared" si="56"/>
        <v/>
      </c>
      <c r="K453" s="18" t="str">
        <f t="shared" si="57"/>
        <v/>
      </c>
    </row>
    <row r="454" spans="3:11" x14ac:dyDescent="0.25">
      <c r="C454" s="23"/>
      <c r="D454" s="22"/>
      <c r="E454" s="21" t="str">
        <f t="shared" si="51"/>
        <v/>
      </c>
      <c r="F454" s="21" t="str">
        <f t="shared" si="52"/>
        <v/>
      </c>
      <c r="G454" s="21" t="str">
        <f t="shared" si="53"/>
        <v/>
      </c>
      <c r="H454" s="20" t="str">
        <f t="shared" si="55"/>
        <v/>
      </c>
      <c r="I454" s="19" t="str">
        <f t="shared" si="54"/>
        <v/>
      </c>
      <c r="J454" s="19" t="str">
        <f t="shared" si="56"/>
        <v/>
      </c>
      <c r="K454" s="18" t="str">
        <f t="shared" si="57"/>
        <v/>
      </c>
    </row>
    <row r="455" spans="3:11" x14ac:dyDescent="0.25">
      <c r="C455" s="23"/>
      <c r="D455" s="22"/>
      <c r="E455" s="21" t="str">
        <f t="shared" si="51"/>
        <v/>
      </c>
      <c r="F455" s="21" t="str">
        <f t="shared" si="52"/>
        <v/>
      </c>
      <c r="G455" s="21" t="str">
        <f t="shared" si="53"/>
        <v/>
      </c>
      <c r="H455" s="20" t="str">
        <f t="shared" si="55"/>
        <v/>
      </c>
      <c r="I455" s="19" t="str">
        <f t="shared" si="54"/>
        <v/>
      </c>
      <c r="J455" s="19" t="str">
        <f t="shared" si="56"/>
        <v/>
      </c>
      <c r="K455" s="18" t="str">
        <f t="shared" si="57"/>
        <v/>
      </c>
    </row>
    <row r="456" spans="3:11" x14ac:dyDescent="0.25">
      <c r="C456" s="23"/>
      <c r="D456" s="22"/>
      <c r="E456" s="21" t="str">
        <f t="shared" ref="E456:E519" si="58">MID(C456,LEN("UTC ")+1,LEN("UTC - "))</f>
        <v/>
      </c>
      <c r="F456" s="21" t="str">
        <f t="shared" ref="F456:F519" si="59">IF(D456="Y",E456+1,E456)</f>
        <v/>
      </c>
      <c r="G456" s="21" t="str">
        <f t="shared" ref="G456:G519" si="60">IF(F456="","",IF(rDST="N",F456,F456+1))</f>
        <v/>
      </c>
      <c r="H456" s="20" t="str">
        <f t="shared" si="55"/>
        <v/>
      </c>
      <c r="I456" s="19" t="str">
        <f t="shared" ref="I456:I519" si="61">IF(B456="","",IF(F456&lt;0,rGreenwich-TIME(ABS(F456),(H456),0),rGreenwich+TIME(ABS(F456),(H456),0)))</f>
        <v/>
      </c>
      <c r="J456" s="19" t="str">
        <f t="shared" si="56"/>
        <v/>
      </c>
      <c r="K456" s="18" t="str">
        <f t="shared" si="57"/>
        <v/>
      </c>
    </row>
    <row r="457" spans="3:11" x14ac:dyDescent="0.25">
      <c r="C457" s="23"/>
      <c r="D457" s="22"/>
      <c r="E457" s="21" t="str">
        <f t="shared" si="58"/>
        <v/>
      </c>
      <c r="F457" s="21" t="str">
        <f t="shared" si="59"/>
        <v/>
      </c>
      <c r="G457" s="21" t="str">
        <f t="shared" si="60"/>
        <v/>
      </c>
      <c r="H457" s="20" t="str">
        <f t="shared" si="55"/>
        <v/>
      </c>
      <c r="I457" s="19" t="str">
        <f t="shared" si="61"/>
        <v/>
      </c>
      <c r="J457" s="19" t="str">
        <f t="shared" si="56"/>
        <v/>
      </c>
      <c r="K457" s="18" t="str">
        <f t="shared" si="57"/>
        <v/>
      </c>
    </row>
    <row r="458" spans="3:11" x14ac:dyDescent="0.25">
      <c r="C458" s="23"/>
      <c r="D458" s="22"/>
      <c r="E458" s="21" t="str">
        <f t="shared" si="58"/>
        <v/>
      </c>
      <c r="F458" s="21" t="str">
        <f t="shared" si="59"/>
        <v/>
      </c>
      <c r="G458" s="21" t="str">
        <f t="shared" si="60"/>
        <v/>
      </c>
      <c r="H458" s="20" t="str">
        <f t="shared" si="55"/>
        <v/>
      </c>
      <c r="I458" s="19" t="str">
        <f t="shared" si="61"/>
        <v/>
      </c>
      <c r="J458" s="19" t="str">
        <f t="shared" si="56"/>
        <v/>
      </c>
      <c r="K458" s="18" t="str">
        <f t="shared" si="57"/>
        <v/>
      </c>
    </row>
    <row r="459" spans="3:11" x14ac:dyDescent="0.25">
      <c r="C459" s="23"/>
      <c r="D459" s="22"/>
      <c r="E459" s="21" t="str">
        <f t="shared" si="58"/>
        <v/>
      </c>
      <c r="F459" s="21" t="str">
        <f t="shared" si="59"/>
        <v/>
      </c>
      <c r="G459" s="21" t="str">
        <f t="shared" si="60"/>
        <v/>
      </c>
      <c r="H459" s="20" t="str">
        <f t="shared" si="55"/>
        <v/>
      </c>
      <c r="I459" s="19" t="str">
        <f t="shared" si="61"/>
        <v/>
      </c>
      <c r="J459" s="19" t="str">
        <f t="shared" si="56"/>
        <v/>
      </c>
      <c r="K459" s="18" t="str">
        <f t="shared" si="57"/>
        <v/>
      </c>
    </row>
    <row r="460" spans="3:11" x14ac:dyDescent="0.25">
      <c r="C460" s="23"/>
      <c r="D460" s="22"/>
      <c r="E460" s="21" t="str">
        <f t="shared" si="58"/>
        <v/>
      </c>
      <c r="F460" s="21" t="str">
        <f t="shared" si="59"/>
        <v/>
      </c>
      <c r="G460" s="21" t="str">
        <f t="shared" si="60"/>
        <v/>
      </c>
      <c r="H460" s="20" t="str">
        <f t="shared" si="55"/>
        <v/>
      </c>
      <c r="I460" s="19" t="str">
        <f t="shared" si="61"/>
        <v/>
      </c>
      <c r="J460" s="19" t="str">
        <f t="shared" si="56"/>
        <v/>
      </c>
      <c r="K460" s="18" t="str">
        <f t="shared" si="57"/>
        <v/>
      </c>
    </row>
    <row r="461" spans="3:11" x14ac:dyDescent="0.25">
      <c r="C461" s="23"/>
      <c r="D461" s="22"/>
      <c r="E461" s="21" t="str">
        <f t="shared" si="58"/>
        <v/>
      </c>
      <c r="F461" s="21" t="str">
        <f t="shared" si="59"/>
        <v/>
      </c>
      <c r="G461" s="21" t="str">
        <f t="shared" si="60"/>
        <v/>
      </c>
      <c r="H461" s="20" t="str">
        <f t="shared" si="55"/>
        <v/>
      </c>
      <c r="I461" s="19" t="str">
        <f t="shared" si="61"/>
        <v/>
      </c>
      <c r="J461" s="19" t="str">
        <f t="shared" si="56"/>
        <v/>
      </c>
      <c r="K461" s="18" t="str">
        <f t="shared" si="57"/>
        <v/>
      </c>
    </row>
    <row r="462" spans="3:11" x14ac:dyDescent="0.25">
      <c r="C462" s="23"/>
      <c r="D462" s="22"/>
      <c r="E462" s="21" t="str">
        <f t="shared" si="58"/>
        <v/>
      </c>
      <c r="F462" s="21" t="str">
        <f t="shared" si="59"/>
        <v/>
      </c>
      <c r="G462" s="21" t="str">
        <f t="shared" si="60"/>
        <v/>
      </c>
      <c r="H462" s="20" t="str">
        <f t="shared" si="55"/>
        <v/>
      </c>
      <c r="I462" s="19" t="str">
        <f t="shared" si="61"/>
        <v/>
      </c>
      <c r="J462" s="19" t="str">
        <f t="shared" si="56"/>
        <v/>
      </c>
      <c r="K462" s="18" t="str">
        <f t="shared" si="57"/>
        <v/>
      </c>
    </row>
    <row r="463" spans="3:11" x14ac:dyDescent="0.25">
      <c r="C463" s="23"/>
      <c r="D463" s="22"/>
      <c r="E463" s="21" t="str">
        <f t="shared" si="58"/>
        <v/>
      </c>
      <c r="F463" s="21" t="str">
        <f t="shared" si="59"/>
        <v/>
      </c>
      <c r="G463" s="21" t="str">
        <f t="shared" si="60"/>
        <v/>
      </c>
      <c r="H463" s="20" t="str">
        <f t="shared" si="55"/>
        <v/>
      </c>
      <c r="I463" s="19" t="str">
        <f t="shared" si="61"/>
        <v/>
      </c>
      <c r="J463" s="19" t="str">
        <f t="shared" si="56"/>
        <v/>
      </c>
      <c r="K463" s="18" t="str">
        <f t="shared" si="57"/>
        <v/>
      </c>
    </row>
    <row r="464" spans="3:11" x14ac:dyDescent="0.25">
      <c r="C464" s="23"/>
      <c r="D464" s="22"/>
      <c r="E464" s="21" t="str">
        <f t="shared" si="58"/>
        <v/>
      </c>
      <c r="F464" s="21" t="str">
        <f t="shared" si="59"/>
        <v/>
      </c>
      <c r="G464" s="21" t="str">
        <f t="shared" si="60"/>
        <v/>
      </c>
      <c r="H464" s="20" t="str">
        <f t="shared" si="55"/>
        <v/>
      </c>
      <c r="I464" s="19" t="str">
        <f t="shared" si="61"/>
        <v/>
      </c>
      <c r="J464" s="19" t="str">
        <f t="shared" si="56"/>
        <v/>
      </c>
      <c r="K464" s="18" t="str">
        <f t="shared" si="57"/>
        <v/>
      </c>
    </row>
    <row r="465" spans="3:11" x14ac:dyDescent="0.25">
      <c r="C465" s="23"/>
      <c r="D465" s="22"/>
      <c r="E465" s="21" t="str">
        <f t="shared" si="58"/>
        <v/>
      </c>
      <c r="F465" s="21" t="str">
        <f t="shared" si="59"/>
        <v/>
      </c>
      <c r="G465" s="21" t="str">
        <f t="shared" si="60"/>
        <v/>
      </c>
      <c r="H465" s="20" t="str">
        <f t="shared" si="55"/>
        <v/>
      </c>
      <c r="I465" s="19" t="str">
        <f t="shared" si="61"/>
        <v/>
      </c>
      <c r="J465" s="19" t="str">
        <f t="shared" si="56"/>
        <v/>
      </c>
      <c r="K465" s="18" t="str">
        <f t="shared" si="57"/>
        <v/>
      </c>
    </row>
    <row r="466" spans="3:11" x14ac:dyDescent="0.25">
      <c r="C466" s="23"/>
      <c r="D466" s="22"/>
      <c r="E466" s="21" t="str">
        <f t="shared" si="58"/>
        <v/>
      </c>
      <c r="F466" s="21" t="str">
        <f t="shared" si="59"/>
        <v/>
      </c>
      <c r="G466" s="21" t="str">
        <f t="shared" si="60"/>
        <v/>
      </c>
      <c r="H466" s="20" t="str">
        <f t="shared" si="55"/>
        <v/>
      </c>
      <c r="I466" s="19" t="str">
        <f t="shared" si="61"/>
        <v/>
      </c>
      <c r="J466" s="19" t="str">
        <f t="shared" si="56"/>
        <v/>
      </c>
      <c r="K466" s="18" t="str">
        <f t="shared" si="57"/>
        <v/>
      </c>
    </row>
    <row r="467" spans="3:11" x14ac:dyDescent="0.25">
      <c r="C467" s="23"/>
      <c r="D467" s="22"/>
      <c r="E467" s="21" t="str">
        <f t="shared" si="58"/>
        <v/>
      </c>
      <c r="F467" s="21" t="str">
        <f t="shared" si="59"/>
        <v/>
      </c>
      <c r="G467" s="21" t="str">
        <f t="shared" si="60"/>
        <v/>
      </c>
      <c r="H467" s="20" t="str">
        <f t="shared" si="55"/>
        <v/>
      </c>
      <c r="I467" s="19" t="str">
        <f t="shared" si="61"/>
        <v/>
      </c>
      <c r="J467" s="19" t="str">
        <f t="shared" si="56"/>
        <v/>
      </c>
      <c r="K467" s="18" t="str">
        <f t="shared" si="57"/>
        <v/>
      </c>
    </row>
    <row r="468" spans="3:11" x14ac:dyDescent="0.25">
      <c r="C468" s="23"/>
      <c r="D468" s="22"/>
      <c r="E468" s="21" t="str">
        <f t="shared" si="58"/>
        <v/>
      </c>
      <c r="F468" s="21" t="str">
        <f t="shared" si="59"/>
        <v/>
      </c>
      <c r="G468" s="21" t="str">
        <f t="shared" si="60"/>
        <v/>
      </c>
      <c r="H468" s="20" t="str">
        <f t="shared" si="55"/>
        <v/>
      </c>
      <c r="I468" s="19" t="str">
        <f t="shared" si="61"/>
        <v/>
      </c>
      <c r="J468" s="19" t="str">
        <f t="shared" si="56"/>
        <v/>
      </c>
      <c r="K468" s="18" t="str">
        <f t="shared" si="57"/>
        <v/>
      </c>
    </row>
    <row r="469" spans="3:11" x14ac:dyDescent="0.25">
      <c r="C469" s="23"/>
      <c r="D469" s="22"/>
      <c r="E469" s="21" t="str">
        <f t="shared" si="58"/>
        <v/>
      </c>
      <c r="F469" s="21" t="str">
        <f t="shared" si="59"/>
        <v/>
      </c>
      <c r="G469" s="21" t="str">
        <f t="shared" si="60"/>
        <v/>
      </c>
      <c r="H469" s="20" t="str">
        <f t="shared" si="55"/>
        <v/>
      </c>
      <c r="I469" s="19" t="str">
        <f t="shared" si="61"/>
        <v/>
      </c>
      <c r="J469" s="19" t="str">
        <f t="shared" si="56"/>
        <v/>
      </c>
      <c r="K469" s="18" t="str">
        <f t="shared" si="57"/>
        <v/>
      </c>
    </row>
    <row r="470" spans="3:11" x14ac:dyDescent="0.25">
      <c r="C470" s="23"/>
      <c r="D470" s="22"/>
      <c r="E470" s="21" t="str">
        <f t="shared" si="58"/>
        <v/>
      </c>
      <c r="F470" s="21" t="str">
        <f t="shared" si="59"/>
        <v/>
      </c>
      <c r="G470" s="21" t="str">
        <f t="shared" si="60"/>
        <v/>
      </c>
      <c r="H470" s="20" t="str">
        <f t="shared" si="55"/>
        <v/>
      </c>
      <c r="I470" s="19" t="str">
        <f t="shared" si="61"/>
        <v/>
      </c>
      <c r="J470" s="19" t="str">
        <f t="shared" si="56"/>
        <v/>
      </c>
      <c r="K470" s="18" t="str">
        <f t="shared" si="57"/>
        <v/>
      </c>
    </row>
    <row r="471" spans="3:11" x14ac:dyDescent="0.25">
      <c r="C471" s="23"/>
      <c r="D471" s="22"/>
      <c r="E471" s="21" t="str">
        <f t="shared" si="58"/>
        <v/>
      </c>
      <c r="F471" s="21" t="str">
        <f t="shared" si="59"/>
        <v/>
      </c>
      <c r="G471" s="21" t="str">
        <f t="shared" si="60"/>
        <v/>
      </c>
      <c r="H471" s="20" t="str">
        <f t="shared" si="55"/>
        <v/>
      </c>
      <c r="I471" s="19" t="str">
        <f t="shared" si="61"/>
        <v/>
      </c>
      <c r="J471" s="19" t="str">
        <f t="shared" si="56"/>
        <v/>
      </c>
      <c r="K471" s="18" t="str">
        <f t="shared" si="57"/>
        <v/>
      </c>
    </row>
    <row r="472" spans="3:11" x14ac:dyDescent="0.25">
      <c r="C472" s="23"/>
      <c r="D472" s="22"/>
      <c r="E472" s="21" t="str">
        <f t="shared" si="58"/>
        <v/>
      </c>
      <c r="F472" s="21" t="str">
        <f t="shared" si="59"/>
        <v/>
      </c>
      <c r="G472" s="21" t="str">
        <f t="shared" si="60"/>
        <v/>
      </c>
      <c r="H472" s="20" t="str">
        <f t="shared" si="55"/>
        <v/>
      </c>
      <c r="I472" s="19" t="str">
        <f t="shared" si="61"/>
        <v/>
      </c>
      <c r="J472" s="19" t="str">
        <f t="shared" si="56"/>
        <v/>
      </c>
      <c r="K472" s="18" t="str">
        <f t="shared" si="57"/>
        <v/>
      </c>
    </row>
    <row r="473" spans="3:11" x14ac:dyDescent="0.25">
      <c r="C473" s="23"/>
      <c r="D473" s="22"/>
      <c r="E473" s="21" t="str">
        <f t="shared" si="58"/>
        <v/>
      </c>
      <c r="F473" s="21" t="str">
        <f t="shared" si="59"/>
        <v/>
      </c>
      <c r="G473" s="21" t="str">
        <f t="shared" si="60"/>
        <v/>
      </c>
      <c r="H473" s="20" t="str">
        <f t="shared" si="55"/>
        <v/>
      </c>
      <c r="I473" s="19" t="str">
        <f t="shared" si="61"/>
        <v/>
      </c>
      <c r="J473" s="19" t="str">
        <f t="shared" si="56"/>
        <v/>
      </c>
      <c r="K473" s="18" t="str">
        <f t="shared" si="57"/>
        <v/>
      </c>
    </row>
    <row r="474" spans="3:11" x14ac:dyDescent="0.25">
      <c r="C474" s="23"/>
      <c r="D474" s="22"/>
      <c r="E474" s="21" t="str">
        <f t="shared" si="58"/>
        <v/>
      </c>
      <c r="F474" s="21" t="str">
        <f t="shared" si="59"/>
        <v/>
      </c>
      <c r="G474" s="21" t="str">
        <f t="shared" si="60"/>
        <v/>
      </c>
      <c r="H474" s="20" t="str">
        <f t="shared" si="55"/>
        <v/>
      </c>
      <c r="I474" s="19" t="str">
        <f t="shared" si="61"/>
        <v/>
      </c>
      <c r="J474" s="19" t="str">
        <f t="shared" si="56"/>
        <v/>
      </c>
      <c r="K474" s="18" t="str">
        <f t="shared" si="57"/>
        <v/>
      </c>
    </row>
    <row r="475" spans="3:11" x14ac:dyDescent="0.25">
      <c r="C475" s="23"/>
      <c r="D475" s="22"/>
      <c r="E475" s="21" t="str">
        <f t="shared" si="58"/>
        <v/>
      </c>
      <c r="F475" s="21" t="str">
        <f t="shared" si="59"/>
        <v/>
      </c>
      <c r="G475" s="21" t="str">
        <f t="shared" si="60"/>
        <v/>
      </c>
      <c r="H475" s="20" t="str">
        <f t="shared" si="55"/>
        <v/>
      </c>
      <c r="I475" s="19" t="str">
        <f t="shared" si="61"/>
        <v/>
      </c>
      <c r="J475" s="19" t="str">
        <f t="shared" si="56"/>
        <v/>
      </c>
      <c r="K475" s="18" t="str">
        <f t="shared" si="57"/>
        <v/>
      </c>
    </row>
    <row r="476" spans="3:11" x14ac:dyDescent="0.25">
      <c r="C476" s="23"/>
      <c r="D476" s="22"/>
      <c r="E476" s="21" t="str">
        <f t="shared" si="58"/>
        <v/>
      </c>
      <c r="F476" s="21" t="str">
        <f t="shared" si="59"/>
        <v/>
      </c>
      <c r="G476" s="21" t="str">
        <f t="shared" si="60"/>
        <v/>
      </c>
      <c r="H476" s="20" t="str">
        <f t="shared" si="55"/>
        <v/>
      </c>
      <c r="I476" s="19" t="str">
        <f t="shared" si="61"/>
        <v/>
      </c>
      <c r="J476" s="19" t="str">
        <f t="shared" si="56"/>
        <v/>
      </c>
      <c r="K476" s="18" t="str">
        <f t="shared" si="57"/>
        <v/>
      </c>
    </row>
    <row r="477" spans="3:11" x14ac:dyDescent="0.25">
      <c r="C477" s="23"/>
      <c r="D477" s="22"/>
      <c r="E477" s="21" t="str">
        <f t="shared" si="58"/>
        <v/>
      </c>
      <c r="F477" s="21" t="str">
        <f t="shared" si="59"/>
        <v/>
      </c>
      <c r="G477" s="21" t="str">
        <f t="shared" si="60"/>
        <v/>
      </c>
      <c r="H477" s="20" t="str">
        <f t="shared" si="55"/>
        <v/>
      </c>
      <c r="I477" s="19" t="str">
        <f t="shared" si="61"/>
        <v/>
      </c>
      <c r="J477" s="19" t="str">
        <f t="shared" si="56"/>
        <v/>
      </c>
      <c r="K477" s="18" t="str">
        <f t="shared" si="57"/>
        <v/>
      </c>
    </row>
    <row r="478" spans="3:11" x14ac:dyDescent="0.25">
      <c r="C478" s="23"/>
      <c r="D478" s="22"/>
      <c r="E478" s="21" t="str">
        <f t="shared" si="58"/>
        <v/>
      </c>
      <c r="F478" s="21" t="str">
        <f t="shared" si="59"/>
        <v/>
      </c>
      <c r="G478" s="21" t="str">
        <f t="shared" si="60"/>
        <v/>
      </c>
      <c r="H478" s="20" t="str">
        <f t="shared" si="55"/>
        <v/>
      </c>
      <c r="I478" s="19" t="str">
        <f t="shared" si="61"/>
        <v/>
      </c>
      <c r="J478" s="19" t="str">
        <f t="shared" si="56"/>
        <v/>
      </c>
      <c r="K478" s="18" t="str">
        <f t="shared" si="57"/>
        <v/>
      </c>
    </row>
    <row r="479" spans="3:11" x14ac:dyDescent="0.25">
      <c r="C479" s="23"/>
      <c r="D479" s="22"/>
      <c r="E479" s="21" t="str">
        <f t="shared" si="58"/>
        <v/>
      </c>
      <c r="F479" s="21" t="str">
        <f t="shared" si="59"/>
        <v/>
      </c>
      <c r="G479" s="21" t="str">
        <f t="shared" si="60"/>
        <v/>
      </c>
      <c r="H479" s="20" t="str">
        <f t="shared" si="55"/>
        <v/>
      </c>
      <c r="I479" s="19" t="str">
        <f t="shared" si="61"/>
        <v/>
      </c>
      <c r="J479" s="19" t="str">
        <f t="shared" si="56"/>
        <v/>
      </c>
      <c r="K479" s="18" t="str">
        <f t="shared" si="57"/>
        <v/>
      </c>
    </row>
    <row r="480" spans="3:11" x14ac:dyDescent="0.25">
      <c r="C480" s="23"/>
      <c r="D480" s="22"/>
      <c r="E480" s="21" t="str">
        <f t="shared" si="58"/>
        <v/>
      </c>
      <c r="F480" s="21" t="str">
        <f t="shared" si="59"/>
        <v/>
      </c>
      <c r="G480" s="21" t="str">
        <f t="shared" si="60"/>
        <v/>
      </c>
      <c r="H480" s="20" t="str">
        <f t="shared" si="55"/>
        <v/>
      </c>
      <c r="I480" s="19" t="str">
        <f t="shared" si="61"/>
        <v/>
      </c>
      <c r="J480" s="19" t="str">
        <f t="shared" si="56"/>
        <v/>
      </c>
      <c r="K480" s="18" t="str">
        <f t="shared" si="57"/>
        <v/>
      </c>
    </row>
    <row r="481" spans="3:11" x14ac:dyDescent="0.25">
      <c r="C481" s="23"/>
      <c r="D481" s="22"/>
      <c r="E481" s="21" t="str">
        <f t="shared" si="58"/>
        <v/>
      </c>
      <c r="F481" s="21" t="str">
        <f t="shared" si="59"/>
        <v/>
      </c>
      <c r="G481" s="21" t="str">
        <f t="shared" si="60"/>
        <v/>
      </c>
      <c r="H481" s="20" t="str">
        <f t="shared" ref="H481:H544" si="62">IF(F481="","",MOD(F481,1)*60)</f>
        <v/>
      </c>
      <c r="I481" s="19" t="str">
        <f t="shared" si="61"/>
        <v/>
      </c>
      <c r="J481" s="19" t="str">
        <f t="shared" ref="J481:J544" si="63">IF(B481="","",I481+TIME(ABS($F$8),0,0))</f>
        <v/>
      </c>
      <c r="K481" s="18" t="str">
        <f t="shared" ref="K481:K544" si="64">IF(F481="","",ABS(T$12)+F481)</f>
        <v/>
      </c>
    </row>
    <row r="482" spans="3:11" x14ac:dyDescent="0.25">
      <c r="C482" s="23"/>
      <c r="D482" s="22"/>
      <c r="E482" s="21" t="str">
        <f t="shared" si="58"/>
        <v/>
      </c>
      <c r="F482" s="21" t="str">
        <f t="shared" si="59"/>
        <v/>
      </c>
      <c r="G482" s="21" t="str">
        <f t="shared" si="60"/>
        <v/>
      </c>
      <c r="H482" s="20" t="str">
        <f t="shared" si="62"/>
        <v/>
      </c>
      <c r="I482" s="19" t="str">
        <f t="shared" si="61"/>
        <v/>
      </c>
      <c r="J482" s="19" t="str">
        <f t="shared" si="63"/>
        <v/>
      </c>
      <c r="K482" s="18" t="str">
        <f t="shared" si="64"/>
        <v/>
      </c>
    </row>
    <row r="483" spans="3:11" x14ac:dyDescent="0.25">
      <c r="C483" s="23"/>
      <c r="D483" s="22"/>
      <c r="E483" s="21" t="str">
        <f t="shared" si="58"/>
        <v/>
      </c>
      <c r="F483" s="21" t="str">
        <f t="shared" si="59"/>
        <v/>
      </c>
      <c r="G483" s="21" t="str">
        <f t="shared" si="60"/>
        <v/>
      </c>
      <c r="H483" s="20" t="str">
        <f t="shared" si="62"/>
        <v/>
      </c>
      <c r="I483" s="19" t="str">
        <f t="shared" si="61"/>
        <v/>
      </c>
      <c r="J483" s="19" t="str">
        <f t="shared" si="63"/>
        <v/>
      </c>
      <c r="K483" s="18" t="str">
        <f t="shared" si="64"/>
        <v/>
      </c>
    </row>
    <row r="484" spans="3:11" x14ac:dyDescent="0.25">
      <c r="C484" s="23"/>
      <c r="D484" s="22"/>
      <c r="E484" s="21" t="str">
        <f t="shared" si="58"/>
        <v/>
      </c>
      <c r="F484" s="21" t="str">
        <f t="shared" si="59"/>
        <v/>
      </c>
      <c r="G484" s="21" t="str">
        <f t="shared" si="60"/>
        <v/>
      </c>
      <c r="H484" s="20" t="str">
        <f t="shared" si="62"/>
        <v/>
      </c>
      <c r="I484" s="19" t="str">
        <f t="shared" si="61"/>
        <v/>
      </c>
      <c r="J484" s="19" t="str">
        <f t="shared" si="63"/>
        <v/>
      </c>
      <c r="K484" s="18" t="str">
        <f t="shared" si="64"/>
        <v/>
      </c>
    </row>
    <row r="485" spans="3:11" x14ac:dyDescent="0.25">
      <c r="C485" s="23"/>
      <c r="D485" s="22"/>
      <c r="E485" s="21" t="str">
        <f t="shared" si="58"/>
        <v/>
      </c>
      <c r="F485" s="21" t="str">
        <f t="shared" si="59"/>
        <v/>
      </c>
      <c r="G485" s="21" t="str">
        <f t="shared" si="60"/>
        <v/>
      </c>
      <c r="H485" s="20" t="str">
        <f t="shared" si="62"/>
        <v/>
      </c>
      <c r="I485" s="19" t="str">
        <f t="shared" si="61"/>
        <v/>
      </c>
      <c r="J485" s="19" t="str">
        <f t="shared" si="63"/>
        <v/>
      </c>
      <c r="K485" s="18" t="str">
        <f t="shared" si="64"/>
        <v/>
      </c>
    </row>
    <row r="486" spans="3:11" x14ac:dyDescent="0.25">
      <c r="C486" s="23"/>
      <c r="D486" s="22"/>
      <c r="E486" s="21" t="str">
        <f t="shared" si="58"/>
        <v/>
      </c>
      <c r="F486" s="21" t="str">
        <f t="shared" si="59"/>
        <v/>
      </c>
      <c r="G486" s="21" t="str">
        <f t="shared" si="60"/>
        <v/>
      </c>
      <c r="H486" s="20" t="str">
        <f t="shared" si="62"/>
        <v/>
      </c>
      <c r="I486" s="19" t="str">
        <f t="shared" si="61"/>
        <v/>
      </c>
      <c r="J486" s="19" t="str">
        <f t="shared" si="63"/>
        <v/>
      </c>
      <c r="K486" s="18" t="str">
        <f t="shared" si="64"/>
        <v/>
      </c>
    </row>
    <row r="487" spans="3:11" x14ac:dyDescent="0.25">
      <c r="C487" s="23"/>
      <c r="D487" s="22"/>
      <c r="E487" s="21" t="str">
        <f t="shared" si="58"/>
        <v/>
      </c>
      <c r="F487" s="21" t="str">
        <f t="shared" si="59"/>
        <v/>
      </c>
      <c r="G487" s="21" t="str">
        <f t="shared" si="60"/>
        <v/>
      </c>
      <c r="H487" s="20" t="str">
        <f t="shared" si="62"/>
        <v/>
      </c>
      <c r="I487" s="19" t="str">
        <f t="shared" si="61"/>
        <v/>
      </c>
      <c r="J487" s="19" t="str">
        <f t="shared" si="63"/>
        <v/>
      </c>
      <c r="K487" s="18" t="str">
        <f t="shared" si="64"/>
        <v/>
      </c>
    </row>
    <row r="488" spans="3:11" x14ac:dyDescent="0.25">
      <c r="C488" s="23"/>
      <c r="D488" s="22"/>
      <c r="E488" s="21" t="str">
        <f t="shared" si="58"/>
        <v/>
      </c>
      <c r="F488" s="21" t="str">
        <f t="shared" si="59"/>
        <v/>
      </c>
      <c r="G488" s="21" t="str">
        <f t="shared" si="60"/>
        <v/>
      </c>
      <c r="H488" s="20" t="str">
        <f t="shared" si="62"/>
        <v/>
      </c>
      <c r="I488" s="19" t="str">
        <f t="shared" si="61"/>
        <v/>
      </c>
      <c r="J488" s="19" t="str">
        <f t="shared" si="63"/>
        <v/>
      </c>
      <c r="K488" s="18" t="str">
        <f t="shared" si="64"/>
        <v/>
      </c>
    </row>
    <row r="489" spans="3:11" x14ac:dyDescent="0.25">
      <c r="C489" s="23"/>
      <c r="D489" s="22"/>
      <c r="E489" s="21" t="str">
        <f t="shared" si="58"/>
        <v/>
      </c>
      <c r="F489" s="21" t="str">
        <f t="shared" si="59"/>
        <v/>
      </c>
      <c r="G489" s="21" t="str">
        <f t="shared" si="60"/>
        <v/>
      </c>
      <c r="H489" s="20" t="str">
        <f t="shared" si="62"/>
        <v/>
      </c>
      <c r="I489" s="19" t="str">
        <f t="shared" si="61"/>
        <v/>
      </c>
      <c r="J489" s="19" t="str">
        <f t="shared" si="63"/>
        <v/>
      </c>
      <c r="K489" s="18" t="str">
        <f t="shared" si="64"/>
        <v/>
      </c>
    </row>
    <row r="490" spans="3:11" x14ac:dyDescent="0.25">
      <c r="C490" s="23"/>
      <c r="D490" s="22"/>
      <c r="E490" s="21" t="str">
        <f t="shared" si="58"/>
        <v/>
      </c>
      <c r="F490" s="21" t="str">
        <f t="shared" si="59"/>
        <v/>
      </c>
      <c r="G490" s="21" t="str">
        <f t="shared" si="60"/>
        <v/>
      </c>
      <c r="H490" s="20" t="str">
        <f t="shared" si="62"/>
        <v/>
      </c>
      <c r="I490" s="19" t="str">
        <f t="shared" si="61"/>
        <v/>
      </c>
      <c r="J490" s="19" t="str">
        <f t="shared" si="63"/>
        <v/>
      </c>
      <c r="K490" s="18" t="str">
        <f t="shared" si="64"/>
        <v/>
      </c>
    </row>
    <row r="491" spans="3:11" x14ac:dyDescent="0.25">
      <c r="C491" s="23"/>
      <c r="D491" s="22"/>
      <c r="E491" s="21" t="str">
        <f t="shared" si="58"/>
        <v/>
      </c>
      <c r="F491" s="21" t="str">
        <f t="shared" si="59"/>
        <v/>
      </c>
      <c r="G491" s="21" t="str">
        <f t="shared" si="60"/>
        <v/>
      </c>
      <c r="H491" s="20" t="str">
        <f t="shared" si="62"/>
        <v/>
      </c>
      <c r="I491" s="19" t="str">
        <f t="shared" si="61"/>
        <v/>
      </c>
      <c r="J491" s="19" t="str">
        <f t="shared" si="63"/>
        <v/>
      </c>
      <c r="K491" s="18" t="str">
        <f t="shared" si="64"/>
        <v/>
      </c>
    </row>
    <row r="492" spans="3:11" x14ac:dyDescent="0.25">
      <c r="C492" s="23"/>
      <c r="D492" s="22"/>
      <c r="E492" s="21" t="str">
        <f t="shared" si="58"/>
        <v/>
      </c>
      <c r="F492" s="21" t="str">
        <f t="shared" si="59"/>
        <v/>
      </c>
      <c r="G492" s="21" t="str">
        <f t="shared" si="60"/>
        <v/>
      </c>
      <c r="H492" s="20" t="str">
        <f t="shared" si="62"/>
        <v/>
      </c>
      <c r="I492" s="19" t="str">
        <f t="shared" si="61"/>
        <v/>
      </c>
      <c r="J492" s="19" t="str">
        <f t="shared" si="63"/>
        <v/>
      </c>
      <c r="K492" s="18" t="str">
        <f t="shared" si="64"/>
        <v/>
      </c>
    </row>
    <row r="493" spans="3:11" x14ac:dyDescent="0.25">
      <c r="C493" s="23"/>
      <c r="D493" s="22"/>
      <c r="E493" s="21" t="str">
        <f t="shared" si="58"/>
        <v/>
      </c>
      <c r="F493" s="21" t="str">
        <f t="shared" si="59"/>
        <v/>
      </c>
      <c r="G493" s="21" t="str">
        <f t="shared" si="60"/>
        <v/>
      </c>
      <c r="H493" s="20" t="str">
        <f t="shared" si="62"/>
        <v/>
      </c>
      <c r="I493" s="19" t="str">
        <f t="shared" si="61"/>
        <v/>
      </c>
      <c r="J493" s="19" t="str">
        <f t="shared" si="63"/>
        <v/>
      </c>
      <c r="K493" s="18" t="str">
        <f t="shared" si="64"/>
        <v/>
      </c>
    </row>
    <row r="494" spans="3:11" x14ac:dyDescent="0.25">
      <c r="C494" s="23"/>
      <c r="D494" s="22"/>
      <c r="E494" s="21" t="str">
        <f t="shared" si="58"/>
        <v/>
      </c>
      <c r="F494" s="21" t="str">
        <f t="shared" si="59"/>
        <v/>
      </c>
      <c r="G494" s="21" t="str">
        <f t="shared" si="60"/>
        <v/>
      </c>
      <c r="H494" s="20" t="str">
        <f t="shared" si="62"/>
        <v/>
      </c>
      <c r="I494" s="19" t="str">
        <f t="shared" si="61"/>
        <v/>
      </c>
      <c r="J494" s="19" t="str">
        <f t="shared" si="63"/>
        <v/>
      </c>
      <c r="K494" s="18" t="str">
        <f t="shared" si="64"/>
        <v/>
      </c>
    </row>
    <row r="495" spans="3:11" x14ac:dyDescent="0.25">
      <c r="C495" s="23"/>
      <c r="D495" s="22"/>
      <c r="E495" s="21" t="str">
        <f t="shared" si="58"/>
        <v/>
      </c>
      <c r="F495" s="21" t="str">
        <f t="shared" si="59"/>
        <v/>
      </c>
      <c r="G495" s="21" t="str">
        <f t="shared" si="60"/>
        <v/>
      </c>
      <c r="H495" s="20" t="str">
        <f t="shared" si="62"/>
        <v/>
      </c>
      <c r="I495" s="19" t="str">
        <f t="shared" si="61"/>
        <v/>
      </c>
      <c r="J495" s="19" t="str">
        <f t="shared" si="63"/>
        <v/>
      </c>
      <c r="K495" s="18" t="str">
        <f t="shared" si="64"/>
        <v/>
      </c>
    </row>
    <row r="496" spans="3:11" x14ac:dyDescent="0.25">
      <c r="C496" s="23"/>
      <c r="D496" s="22"/>
      <c r="E496" s="21" t="str">
        <f t="shared" si="58"/>
        <v/>
      </c>
      <c r="F496" s="21" t="str">
        <f t="shared" si="59"/>
        <v/>
      </c>
      <c r="G496" s="21" t="str">
        <f t="shared" si="60"/>
        <v/>
      </c>
      <c r="H496" s="20" t="str">
        <f t="shared" si="62"/>
        <v/>
      </c>
      <c r="I496" s="19" t="str">
        <f t="shared" si="61"/>
        <v/>
      </c>
      <c r="J496" s="19" t="str">
        <f t="shared" si="63"/>
        <v/>
      </c>
      <c r="K496" s="18" t="str">
        <f t="shared" si="64"/>
        <v/>
      </c>
    </row>
    <row r="497" spans="3:16" x14ac:dyDescent="0.25">
      <c r="C497" s="23"/>
      <c r="D497" s="22"/>
      <c r="E497" s="21" t="str">
        <f t="shared" si="58"/>
        <v/>
      </c>
      <c r="F497" s="21" t="str">
        <f t="shared" si="59"/>
        <v/>
      </c>
      <c r="G497" s="21" t="str">
        <f t="shared" si="60"/>
        <v/>
      </c>
      <c r="H497" s="20" t="str">
        <f t="shared" si="62"/>
        <v/>
      </c>
      <c r="I497" s="19" t="str">
        <f t="shared" si="61"/>
        <v/>
      </c>
      <c r="J497" s="19" t="str">
        <f t="shared" si="63"/>
        <v/>
      </c>
      <c r="K497" s="18" t="str">
        <f t="shared" si="64"/>
        <v/>
      </c>
    </row>
    <row r="498" spans="3:16" x14ac:dyDescent="0.25">
      <c r="C498" s="23"/>
      <c r="D498" s="22"/>
      <c r="E498" s="21" t="str">
        <f t="shared" si="58"/>
        <v/>
      </c>
      <c r="F498" s="21" t="str">
        <f t="shared" si="59"/>
        <v/>
      </c>
      <c r="G498" s="21" t="str">
        <f t="shared" si="60"/>
        <v/>
      </c>
      <c r="H498" s="20" t="str">
        <f t="shared" si="62"/>
        <v/>
      </c>
      <c r="I498" s="19" t="str">
        <f t="shared" si="61"/>
        <v/>
      </c>
      <c r="J498" s="19" t="str">
        <f t="shared" si="63"/>
        <v/>
      </c>
      <c r="K498" s="18" t="str">
        <f t="shared" si="64"/>
        <v/>
      </c>
    </row>
    <row r="499" spans="3:16" x14ac:dyDescent="0.25">
      <c r="C499" s="23"/>
      <c r="D499" s="22"/>
      <c r="E499" s="21" t="str">
        <f t="shared" si="58"/>
        <v/>
      </c>
      <c r="F499" s="21" t="str">
        <f t="shared" si="59"/>
        <v/>
      </c>
      <c r="G499" s="21" t="str">
        <f t="shared" si="60"/>
        <v/>
      </c>
      <c r="H499" s="20" t="str">
        <f t="shared" si="62"/>
        <v/>
      </c>
      <c r="I499" s="19" t="str">
        <f t="shared" si="61"/>
        <v/>
      </c>
      <c r="J499" s="19" t="str">
        <f t="shared" si="63"/>
        <v/>
      </c>
      <c r="K499" s="18" t="str">
        <f t="shared" si="64"/>
        <v/>
      </c>
    </row>
    <row r="500" spans="3:16" x14ac:dyDescent="0.25">
      <c r="C500" s="23"/>
      <c r="D500" s="22"/>
      <c r="E500" s="21" t="str">
        <f t="shared" si="58"/>
        <v/>
      </c>
      <c r="F500" s="21" t="str">
        <f t="shared" si="59"/>
        <v/>
      </c>
      <c r="G500" s="21" t="str">
        <f t="shared" si="60"/>
        <v/>
      </c>
      <c r="H500" s="20" t="str">
        <f t="shared" si="62"/>
        <v/>
      </c>
      <c r="I500" s="19" t="str">
        <f t="shared" si="61"/>
        <v/>
      </c>
      <c r="J500" s="19" t="str">
        <f t="shared" si="63"/>
        <v/>
      </c>
      <c r="K500" s="18" t="str">
        <f t="shared" si="64"/>
        <v/>
      </c>
    </row>
    <row r="501" spans="3:16" x14ac:dyDescent="0.25">
      <c r="C501" s="23"/>
      <c r="D501" s="22"/>
      <c r="E501" s="21" t="str">
        <f t="shared" si="58"/>
        <v/>
      </c>
      <c r="F501" s="21" t="str">
        <f t="shared" si="59"/>
        <v/>
      </c>
      <c r="G501" s="21" t="str">
        <f t="shared" si="60"/>
        <v/>
      </c>
      <c r="H501" s="20" t="str">
        <f t="shared" si="62"/>
        <v/>
      </c>
      <c r="I501" s="19" t="str">
        <f t="shared" si="61"/>
        <v/>
      </c>
      <c r="J501" s="19" t="str">
        <f t="shared" si="63"/>
        <v/>
      </c>
      <c r="K501" s="18" t="str">
        <f t="shared" si="64"/>
        <v/>
      </c>
    </row>
    <row r="502" spans="3:16" x14ac:dyDescent="0.25">
      <c r="C502" s="23"/>
      <c r="D502" s="22"/>
      <c r="E502" s="21" t="str">
        <f t="shared" si="58"/>
        <v/>
      </c>
      <c r="F502" s="21" t="str">
        <f t="shared" si="59"/>
        <v/>
      </c>
      <c r="G502" s="21" t="str">
        <f t="shared" si="60"/>
        <v/>
      </c>
      <c r="H502" s="20" t="str">
        <f t="shared" si="62"/>
        <v/>
      </c>
      <c r="I502" s="19" t="str">
        <f t="shared" si="61"/>
        <v/>
      </c>
      <c r="J502" s="19" t="str">
        <f t="shared" si="63"/>
        <v/>
      </c>
      <c r="K502" s="18" t="str">
        <f t="shared" si="64"/>
        <v/>
      </c>
    </row>
    <row r="503" spans="3:16" x14ac:dyDescent="0.25">
      <c r="C503" s="23"/>
      <c r="D503" s="22"/>
      <c r="E503" s="21" t="str">
        <f t="shared" si="58"/>
        <v/>
      </c>
      <c r="F503" s="21" t="str">
        <f t="shared" si="59"/>
        <v/>
      </c>
      <c r="G503" s="21" t="str">
        <f t="shared" si="60"/>
        <v/>
      </c>
      <c r="H503" s="20" t="str">
        <f t="shared" si="62"/>
        <v/>
      </c>
      <c r="I503" s="19" t="str">
        <f t="shared" si="61"/>
        <v/>
      </c>
      <c r="J503" s="19" t="str">
        <f t="shared" si="63"/>
        <v/>
      </c>
      <c r="K503" s="18" t="str">
        <f t="shared" si="64"/>
        <v/>
      </c>
    </row>
    <row r="504" spans="3:16" x14ac:dyDescent="0.25">
      <c r="C504" s="23"/>
      <c r="D504" s="22"/>
      <c r="E504" s="21" t="str">
        <f t="shared" si="58"/>
        <v/>
      </c>
      <c r="F504" s="21" t="str">
        <f t="shared" si="59"/>
        <v/>
      </c>
      <c r="G504" s="21" t="str">
        <f t="shared" si="60"/>
        <v/>
      </c>
      <c r="H504" s="20" t="str">
        <f t="shared" si="62"/>
        <v/>
      </c>
      <c r="I504" s="19" t="str">
        <f t="shared" si="61"/>
        <v/>
      </c>
      <c r="J504" s="19" t="str">
        <f t="shared" si="63"/>
        <v/>
      </c>
      <c r="K504" s="18" t="str">
        <f t="shared" si="64"/>
        <v/>
      </c>
    </row>
    <row r="505" spans="3:16" x14ac:dyDescent="0.25">
      <c r="C505" s="23"/>
      <c r="D505" s="22"/>
      <c r="E505" s="21" t="str">
        <f t="shared" si="58"/>
        <v/>
      </c>
      <c r="F505" s="21" t="str">
        <f t="shared" si="59"/>
        <v/>
      </c>
      <c r="G505" s="21" t="str">
        <f t="shared" si="60"/>
        <v/>
      </c>
      <c r="H505" s="20" t="str">
        <f t="shared" si="62"/>
        <v/>
      </c>
      <c r="I505" s="19" t="str">
        <f t="shared" si="61"/>
        <v/>
      </c>
      <c r="J505" s="19" t="str">
        <f t="shared" si="63"/>
        <v/>
      </c>
      <c r="K505" s="18" t="str">
        <f t="shared" si="64"/>
        <v/>
      </c>
    </row>
    <row r="506" spans="3:16" x14ac:dyDescent="0.25">
      <c r="C506" s="23"/>
      <c r="D506" s="22"/>
      <c r="E506" s="21" t="str">
        <f t="shared" si="58"/>
        <v/>
      </c>
      <c r="F506" s="21" t="str">
        <f t="shared" si="59"/>
        <v/>
      </c>
      <c r="G506" s="21" t="str">
        <f t="shared" si="60"/>
        <v/>
      </c>
      <c r="H506" s="20" t="str">
        <f t="shared" si="62"/>
        <v/>
      </c>
      <c r="I506" s="19" t="str">
        <f t="shared" si="61"/>
        <v/>
      </c>
      <c r="J506" s="19" t="str">
        <f t="shared" si="63"/>
        <v/>
      </c>
      <c r="K506" s="18" t="str">
        <f t="shared" si="64"/>
        <v/>
      </c>
    </row>
    <row r="507" spans="3:16" x14ac:dyDescent="0.25">
      <c r="C507" s="23"/>
      <c r="D507" s="22"/>
      <c r="E507" s="21" t="str">
        <f t="shared" si="58"/>
        <v/>
      </c>
      <c r="F507" s="21" t="str">
        <f t="shared" si="59"/>
        <v/>
      </c>
      <c r="G507" s="21" t="str">
        <f t="shared" si="60"/>
        <v/>
      </c>
      <c r="H507" s="20" t="str">
        <f t="shared" si="62"/>
        <v/>
      </c>
      <c r="I507" s="19" t="str">
        <f t="shared" si="61"/>
        <v/>
      </c>
      <c r="J507" s="19" t="str">
        <f t="shared" si="63"/>
        <v/>
      </c>
      <c r="K507" s="18" t="str">
        <f t="shared" si="64"/>
        <v/>
      </c>
    </row>
    <row r="508" spans="3:16" x14ac:dyDescent="0.25">
      <c r="C508" s="23"/>
      <c r="D508" s="22"/>
      <c r="E508" s="21" t="str">
        <f t="shared" si="58"/>
        <v/>
      </c>
      <c r="F508" s="21" t="str">
        <f t="shared" si="59"/>
        <v/>
      </c>
      <c r="G508" s="21" t="str">
        <f t="shared" si="60"/>
        <v/>
      </c>
      <c r="H508" s="20" t="str">
        <f t="shared" si="62"/>
        <v/>
      </c>
      <c r="I508" s="19" t="str">
        <f t="shared" si="61"/>
        <v/>
      </c>
      <c r="J508" s="19" t="str">
        <f t="shared" si="63"/>
        <v/>
      </c>
      <c r="K508" s="18" t="str">
        <f t="shared" si="64"/>
        <v/>
      </c>
      <c r="P508" s="29"/>
    </row>
    <row r="509" spans="3:16" x14ac:dyDescent="0.25">
      <c r="C509" s="23"/>
      <c r="D509" s="22"/>
      <c r="E509" s="21" t="str">
        <f t="shared" si="58"/>
        <v/>
      </c>
      <c r="F509" s="21" t="str">
        <f t="shared" si="59"/>
        <v/>
      </c>
      <c r="G509" s="21" t="str">
        <f t="shared" si="60"/>
        <v/>
      </c>
      <c r="H509" s="20" t="str">
        <f t="shared" si="62"/>
        <v/>
      </c>
      <c r="I509" s="19" t="str">
        <f t="shared" si="61"/>
        <v/>
      </c>
      <c r="J509" s="19" t="str">
        <f t="shared" si="63"/>
        <v/>
      </c>
      <c r="K509" s="18" t="str">
        <f t="shared" si="64"/>
        <v/>
      </c>
    </row>
    <row r="510" spans="3:16" x14ac:dyDescent="0.25">
      <c r="C510" s="23"/>
      <c r="D510" s="22"/>
      <c r="E510" s="21" t="str">
        <f t="shared" si="58"/>
        <v/>
      </c>
      <c r="F510" s="21" t="str">
        <f t="shared" si="59"/>
        <v/>
      </c>
      <c r="G510" s="21" t="str">
        <f t="shared" si="60"/>
        <v/>
      </c>
      <c r="H510" s="20" t="str">
        <f t="shared" si="62"/>
        <v/>
      </c>
      <c r="I510" s="19" t="str">
        <f t="shared" si="61"/>
        <v/>
      </c>
      <c r="J510" s="19" t="str">
        <f t="shared" si="63"/>
        <v/>
      </c>
      <c r="K510" s="18" t="str">
        <f t="shared" si="64"/>
        <v/>
      </c>
    </row>
    <row r="511" spans="3:16" x14ac:dyDescent="0.25">
      <c r="C511" s="23"/>
      <c r="D511" s="22"/>
      <c r="E511" s="21" t="str">
        <f t="shared" si="58"/>
        <v/>
      </c>
      <c r="F511" s="21" t="str">
        <f t="shared" si="59"/>
        <v/>
      </c>
      <c r="G511" s="21" t="str">
        <f t="shared" si="60"/>
        <v/>
      </c>
      <c r="H511" s="20" t="str">
        <f t="shared" si="62"/>
        <v/>
      </c>
      <c r="I511" s="19" t="str">
        <f t="shared" si="61"/>
        <v/>
      </c>
      <c r="J511" s="19" t="str">
        <f t="shared" si="63"/>
        <v/>
      </c>
      <c r="K511" s="18" t="str">
        <f t="shared" si="64"/>
        <v/>
      </c>
    </row>
    <row r="512" spans="3:16" x14ac:dyDescent="0.25">
      <c r="C512" s="23"/>
      <c r="D512" s="22"/>
      <c r="E512" s="21" t="str">
        <f t="shared" si="58"/>
        <v/>
      </c>
      <c r="F512" s="21" t="str">
        <f t="shared" si="59"/>
        <v/>
      </c>
      <c r="G512" s="21" t="str">
        <f t="shared" si="60"/>
        <v/>
      </c>
      <c r="H512" s="20" t="str">
        <f t="shared" si="62"/>
        <v/>
      </c>
      <c r="I512" s="19" t="str">
        <f t="shared" si="61"/>
        <v/>
      </c>
      <c r="J512" s="19" t="str">
        <f t="shared" si="63"/>
        <v/>
      </c>
      <c r="K512" s="18" t="str">
        <f t="shared" si="64"/>
        <v/>
      </c>
    </row>
    <row r="513" spans="3:11" x14ac:dyDescent="0.25">
      <c r="C513" s="23"/>
      <c r="D513" s="22"/>
      <c r="E513" s="21" t="str">
        <f t="shared" si="58"/>
        <v/>
      </c>
      <c r="F513" s="21" t="str">
        <f t="shared" si="59"/>
        <v/>
      </c>
      <c r="G513" s="21" t="str">
        <f t="shared" si="60"/>
        <v/>
      </c>
      <c r="H513" s="20" t="str">
        <f t="shared" si="62"/>
        <v/>
      </c>
      <c r="I513" s="19" t="str">
        <f t="shared" si="61"/>
        <v/>
      </c>
      <c r="J513" s="19" t="str">
        <f t="shared" si="63"/>
        <v/>
      </c>
      <c r="K513" s="18" t="str">
        <f t="shared" si="64"/>
        <v/>
      </c>
    </row>
    <row r="514" spans="3:11" x14ac:dyDescent="0.25">
      <c r="C514" s="23"/>
      <c r="D514" s="22"/>
      <c r="E514" s="21" t="str">
        <f t="shared" si="58"/>
        <v/>
      </c>
      <c r="F514" s="21" t="str">
        <f t="shared" si="59"/>
        <v/>
      </c>
      <c r="G514" s="21" t="str">
        <f t="shared" si="60"/>
        <v/>
      </c>
      <c r="H514" s="20" t="str">
        <f t="shared" si="62"/>
        <v/>
      </c>
      <c r="I514" s="19" t="str">
        <f t="shared" si="61"/>
        <v/>
      </c>
      <c r="J514" s="19" t="str">
        <f t="shared" si="63"/>
        <v/>
      </c>
      <c r="K514" s="18" t="str">
        <f t="shared" si="64"/>
        <v/>
      </c>
    </row>
    <row r="515" spans="3:11" x14ac:dyDescent="0.25">
      <c r="C515" s="23"/>
      <c r="D515" s="22"/>
      <c r="E515" s="21" t="str">
        <f t="shared" si="58"/>
        <v/>
      </c>
      <c r="F515" s="21" t="str">
        <f t="shared" si="59"/>
        <v/>
      </c>
      <c r="G515" s="21" t="str">
        <f t="shared" si="60"/>
        <v/>
      </c>
      <c r="H515" s="20" t="str">
        <f t="shared" si="62"/>
        <v/>
      </c>
      <c r="I515" s="19" t="str">
        <f t="shared" si="61"/>
        <v/>
      </c>
      <c r="J515" s="19" t="str">
        <f t="shared" si="63"/>
        <v/>
      </c>
      <c r="K515" s="18" t="str">
        <f t="shared" si="64"/>
        <v/>
      </c>
    </row>
    <row r="516" spans="3:11" x14ac:dyDescent="0.25">
      <c r="C516" s="23"/>
      <c r="D516" s="22"/>
      <c r="E516" s="21" t="str">
        <f t="shared" si="58"/>
        <v/>
      </c>
      <c r="F516" s="21" t="str">
        <f t="shared" si="59"/>
        <v/>
      </c>
      <c r="G516" s="21" t="str">
        <f t="shared" si="60"/>
        <v/>
      </c>
      <c r="H516" s="20" t="str">
        <f t="shared" si="62"/>
        <v/>
      </c>
      <c r="I516" s="19" t="str">
        <f t="shared" si="61"/>
        <v/>
      </c>
      <c r="J516" s="19" t="str">
        <f t="shared" si="63"/>
        <v/>
      </c>
      <c r="K516" s="18" t="str">
        <f t="shared" si="64"/>
        <v/>
      </c>
    </row>
    <row r="517" spans="3:11" x14ac:dyDescent="0.25">
      <c r="C517" s="23"/>
      <c r="D517" s="22"/>
      <c r="E517" s="21" t="str">
        <f t="shared" si="58"/>
        <v/>
      </c>
      <c r="F517" s="21" t="str">
        <f t="shared" si="59"/>
        <v/>
      </c>
      <c r="G517" s="21" t="str">
        <f t="shared" si="60"/>
        <v/>
      </c>
      <c r="H517" s="20" t="str">
        <f t="shared" si="62"/>
        <v/>
      </c>
      <c r="I517" s="19" t="str">
        <f t="shared" si="61"/>
        <v/>
      </c>
      <c r="J517" s="19" t="str">
        <f t="shared" si="63"/>
        <v/>
      </c>
      <c r="K517" s="18" t="str">
        <f t="shared" si="64"/>
        <v/>
      </c>
    </row>
    <row r="518" spans="3:11" x14ac:dyDescent="0.25">
      <c r="C518" s="23"/>
      <c r="D518" s="22"/>
      <c r="E518" s="21" t="str">
        <f t="shared" si="58"/>
        <v/>
      </c>
      <c r="F518" s="21" t="str">
        <f t="shared" si="59"/>
        <v/>
      </c>
      <c r="G518" s="21" t="str">
        <f t="shared" si="60"/>
        <v/>
      </c>
      <c r="H518" s="20" t="str">
        <f t="shared" si="62"/>
        <v/>
      </c>
      <c r="I518" s="19" t="str">
        <f t="shared" si="61"/>
        <v/>
      </c>
      <c r="J518" s="19" t="str">
        <f t="shared" si="63"/>
        <v/>
      </c>
      <c r="K518" s="18" t="str">
        <f t="shared" si="64"/>
        <v/>
      </c>
    </row>
    <row r="519" spans="3:11" x14ac:dyDescent="0.25">
      <c r="C519" s="23"/>
      <c r="D519" s="22"/>
      <c r="E519" s="21" t="str">
        <f t="shared" si="58"/>
        <v/>
      </c>
      <c r="F519" s="21" t="str">
        <f t="shared" si="59"/>
        <v/>
      </c>
      <c r="G519" s="21" t="str">
        <f t="shared" si="60"/>
        <v/>
      </c>
      <c r="H519" s="20" t="str">
        <f t="shared" si="62"/>
        <v/>
      </c>
      <c r="I519" s="19" t="str">
        <f t="shared" si="61"/>
        <v/>
      </c>
      <c r="J519" s="19" t="str">
        <f t="shared" si="63"/>
        <v/>
      </c>
      <c r="K519" s="18" t="str">
        <f t="shared" si="64"/>
        <v/>
      </c>
    </row>
    <row r="520" spans="3:11" x14ac:dyDescent="0.25">
      <c r="C520" s="23"/>
      <c r="D520" s="22"/>
      <c r="E520" s="21" t="str">
        <f t="shared" ref="E520:E583" si="65">MID(C520,LEN("UTC ")+1,LEN("UTC - "))</f>
        <v/>
      </c>
      <c r="F520" s="21" t="str">
        <f t="shared" ref="F520:F583" si="66">IF(D520="Y",E520+1,E520)</f>
        <v/>
      </c>
      <c r="G520" s="21" t="str">
        <f t="shared" ref="G520:G583" si="67">IF(F520="","",IF(rDST="N",F520,F520+1))</f>
        <v/>
      </c>
      <c r="H520" s="20" t="str">
        <f t="shared" si="62"/>
        <v/>
      </c>
      <c r="I520" s="19" t="str">
        <f t="shared" ref="I520:I583" si="68">IF(B520="","",IF(F520&lt;0,rGreenwich-TIME(ABS(F520),(H520),0),rGreenwich+TIME(ABS(F520),(H520),0)))</f>
        <v/>
      </c>
      <c r="J520" s="19" t="str">
        <f t="shared" si="63"/>
        <v/>
      </c>
      <c r="K520" s="18" t="str">
        <f t="shared" si="64"/>
        <v/>
      </c>
    </row>
    <row r="521" spans="3:11" x14ac:dyDescent="0.25">
      <c r="C521" s="23"/>
      <c r="D521" s="22"/>
      <c r="E521" s="21" t="str">
        <f t="shared" si="65"/>
        <v/>
      </c>
      <c r="F521" s="21" t="str">
        <f t="shared" si="66"/>
        <v/>
      </c>
      <c r="G521" s="21" t="str">
        <f t="shared" si="67"/>
        <v/>
      </c>
      <c r="H521" s="20" t="str">
        <f t="shared" si="62"/>
        <v/>
      </c>
      <c r="I521" s="19" t="str">
        <f t="shared" si="68"/>
        <v/>
      </c>
      <c r="J521" s="19" t="str">
        <f t="shared" si="63"/>
        <v/>
      </c>
      <c r="K521" s="18" t="str">
        <f t="shared" si="64"/>
        <v/>
      </c>
    </row>
    <row r="522" spans="3:11" x14ac:dyDescent="0.25">
      <c r="C522" s="23"/>
      <c r="D522" s="22"/>
      <c r="E522" s="21" t="str">
        <f t="shared" si="65"/>
        <v/>
      </c>
      <c r="F522" s="21" t="str">
        <f t="shared" si="66"/>
        <v/>
      </c>
      <c r="G522" s="21" t="str">
        <f t="shared" si="67"/>
        <v/>
      </c>
      <c r="H522" s="20" t="str">
        <f t="shared" si="62"/>
        <v/>
      </c>
      <c r="I522" s="19" t="str">
        <f t="shared" si="68"/>
        <v/>
      </c>
      <c r="J522" s="19" t="str">
        <f t="shared" si="63"/>
        <v/>
      </c>
      <c r="K522" s="18" t="str">
        <f t="shared" si="64"/>
        <v/>
      </c>
    </row>
    <row r="523" spans="3:11" x14ac:dyDescent="0.25">
      <c r="C523" s="23"/>
      <c r="D523" s="22"/>
      <c r="E523" s="21" t="str">
        <f t="shared" si="65"/>
        <v/>
      </c>
      <c r="F523" s="21" t="str">
        <f t="shared" si="66"/>
        <v/>
      </c>
      <c r="G523" s="21" t="str">
        <f t="shared" si="67"/>
        <v/>
      </c>
      <c r="H523" s="20" t="str">
        <f t="shared" si="62"/>
        <v/>
      </c>
      <c r="I523" s="19" t="str">
        <f t="shared" si="68"/>
        <v/>
      </c>
      <c r="J523" s="19" t="str">
        <f t="shared" si="63"/>
        <v/>
      </c>
      <c r="K523" s="18" t="str">
        <f t="shared" si="64"/>
        <v/>
      </c>
    </row>
    <row r="524" spans="3:11" x14ac:dyDescent="0.25">
      <c r="C524" s="23"/>
      <c r="D524" s="22"/>
      <c r="E524" s="21" t="str">
        <f t="shared" si="65"/>
        <v/>
      </c>
      <c r="F524" s="21" t="str">
        <f t="shared" si="66"/>
        <v/>
      </c>
      <c r="G524" s="21" t="str">
        <f t="shared" si="67"/>
        <v/>
      </c>
      <c r="H524" s="20" t="str">
        <f t="shared" si="62"/>
        <v/>
      </c>
      <c r="I524" s="19" t="str">
        <f t="shared" si="68"/>
        <v/>
      </c>
      <c r="J524" s="19" t="str">
        <f t="shared" si="63"/>
        <v/>
      </c>
      <c r="K524" s="18" t="str">
        <f t="shared" si="64"/>
        <v/>
      </c>
    </row>
    <row r="525" spans="3:11" x14ac:dyDescent="0.25">
      <c r="C525" s="23"/>
      <c r="D525" s="22"/>
      <c r="E525" s="21" t="str">
        <f t="shared" si="65"/>
        <v/>
      </c>
      <c r="F525" s="21" t="str">
        <f t="shared" si="66"/>
        <v/>
      </c>
      <c r="G525" s="21" t="str">
        <f t="shared" si="67"/>
        <v/>
      </c>
      <c r="H525" s="20" t="str">
        <f t="shared" si="62"/>
        <v/>
      </c>
      <c r="I525" s="19" t="str">
        <f t="shared" si="68"/>
        <v/>
      </c>
      <c r="J525" s="19" t="str">
        <f t="shared" si="63"/>
        <v/>
      </c>
      <c r="K525" s="18" t="str">
        <f t="shared" si="64"/>
        <v/>
      </c>
    </row>
    <row r="526" spans="3:11" x14ac:dyDescent="0.25">
      <c r="C526" s="23"/>
      <c r="D526" s="22"/>
      <c r="E526" s="21" t="str">
        <f t="shared" si="65"/>
        <v/>
      </c>
      <c r="F526" s="21" t="str">
        <f t="shared" si="66"/>
        <v/>
      </c>
      <c r="G526" s="21" t="str">
        <f t="shared" si="67"/>
        <v/>
      </c>
      <c r="H526" s="20" t="str">
        <f t="shared" si="62"/>
        <v/>
      </c>
      <c r="I526" s="19" t="str">
        <f t="shared" si="68"/>
        <v/>
      </c>
      <c r="J526" s="19" t="str">
        <f t="shared" si="63"/>
        <v/>
      </c>
      <c r="K526" s="18" t="str">
        <f t="shared" si="64"/>
        <v/>
      </c>
    </row>
    <row r="527" spans="3:11" x14ac:dyDescent="0.25">
      <c r="C527" s="23"/>
      <c r="D527" s="22"/>
      <c r="E527" s="21" t="str">
        <f t="shared" si="65"/>
        <v/>
      </c>
      <c r="F527" s="21" t="str">
        <f t="shared" si="66"/>
        <v/>
      </c>
      <c r="G527" s="21" t="str">
        <f t="shared" si="67"/>
        <v/>
      </c>
      <c r="H527" s="20" t="str">
        <f t="shared" si="62"/>
        <v/>
      </c>
      <c r="I527" s="19" t="str">
        <f t="shared" si="68"/>
        <v/>
      </c>
      <c r="J527" s="19" t="str">
        <f t="shared" si="63"/>
        <v/>
      </c>
      <c r="K527" s="18" t="str">
        <f t="shared" si="64"/>
        <v/>
      </c>
    </row>
    <row r="528" spans="3:11" x14ac:dyDescent="0.25">
      <c r="C528" s="23"/>
      <c r="D528" s="22"/>
      <c r="E528" s="21" t="str">
        <f t="shared" si="65"/>
        <v/>
      </c>
      <c r="F528" s="21" t="str">
        <f t="shared" si="66"/>
        <v/>
      </c>
      <c r="G528" s="21" t="str">
        <f t="shared" si="67"/>
        <v/>
      </c>
      <c r="H528" s="20" t="str">
        <f t="shared" si="62"/>
        <v/>
      </c>
      <c r="I528" s="19" t="str">
        <f t="shared" si="68"/>
        <v/>
      </c>
      <c r="J528" s="19" t="str">
        <f t="shared" si="63"/>
        <v/>
      </c>
      <c r="K528" s="18" t="str">
        <f t="shared" si="64"/>
        <v/>
      </c>
    </row>
    <row r="529" spans="3:11" x14ac:dyDescent="0.25">
      <c r="C529" s="23"/>
      <c r="D529" s="22"/>
      <c r="E529" s="21" t="str">
        <f t="shared" si="65"/>
        <v/>
      </c>
      <c r="F529" s="21" t="str">
        <f t="shared" si="66"/>
        <v/>
      </c>
      <c r="G529" s="21" t="str">
        <f t="shared" si="67"/>
        <v/>
      </c>
      <c r="H529" s="20" t="str">
        <f t="shared" si="62"/>
        <v/>
      </c>
      <c r="I529" s="19" t="str">
        <f t="shared" si="68"/>
        <v/>
      </c>
      <c r="J529" s="19" t="str">
        <f t="shared" si="63"/>
        <v/>
      </c>
      <c r="K529" s="18" t="str">
        <f t="shared" si="64"/>
        <v/>
      </c>
    </row>
    <row r="530" spans="3:11" x14ac:dyDescent="0.25">
      <c r="C530" s="23"/>
      <c r="D530" s="22"/>
      <c r="E530" s="21" t="str">
        <f t="shared" si="65"/>
        <v/>
      </c>
      <c r="F530" s="21" t="str">
        <f t="shared" si="66"/>
        <v/>
      </c>
      <c r="G530" s="21" t="str">
        <f t="shared" si="67"/>
        <v/>
      </c>
      <c r="H530" s="20" t="str">
        <f t="shared" si="62"/>
        <v/>
      </c>
      <c r="I530" s="19" t="str">
        <f t="shared" si="68"/>
        <v/>
      </c>
      <c r="J530" s="19" t="str">
        <f t="shared" si="63"/>
        <v/>
      </c>
      <c r="K530" s="18" t="str">
        <f t="shared" si="64"/>
        <v/>
      </c>
    </row>
    <row r="531" spans="3:11" x14ac:dyDescent="0.25">
      <c r="C531" s="23"/>
      <c r="D531" s="22"/>
      <c r="E531" s="21" t="str">
        <f t="shared" si="65"/>
        <v/>
      </c>
      <c r="F531" s="21" t="str">
        <f t="shared" si="66"/>
        <v/>
      </c>
      <c r="G531" s="21" t="str">
        <f t="shared" si="67"/>
        <v/>
      </c>
      <c r="H531" s="20" t="str">
        <f t="shared" si="62"/>
        <v/>
      </c>
      <c r="I531" s="19" t="str">
        <f t="shared" si="68"/>
        <v/>
      </c>
      <c r="J531" s="19" t="str">
        <f t="shared" si="63"/>
        <v/>
      </c>
      <c r="K531" s="18" t="str">
        <f t="shared" si="64"/>
        <v/>
      </c>
    </row>
    <row r="532" spans="3:11" x14ac:dyDescent="0.25">
      <c r="C532" s="23"/>
      <c r="D532" s="22"/>
      <c r="E532" s="21" t="str">
        <f t="shared" si="65"/>
        <v/>
      </c>
      <c r="F532" s="21" t="str">
        <f t="shared" si="66"/>
        <v/>
      </c>
      <c r="G532" s="21" t="str">
        <f t="shared" si="67"/>
        <v/>
      </c>
      <c r="H532" s="20" t="str">
        <f t="shared" si="62"/>
        <v/>
      </c>
      <c r="I532" s="19" t="str">
        <f t="shared" si="68"/>
        <v/>
      </c>
      <c r="J532" s="19" t="str">
        <f t="shared" si="63"/>
        <v/>
      </c>
      <c r="K532" s="18" t="str">
        <f t="shared" si="64"/>
        <v/>
      </c>
    </row>
    <row r="533" spans="3:11" x14ac:dyDescent="0.25">
      <c r="C533" s="23"/>
      <c r="D533" s="22"/>
      <c r="E533" s="21" t="str">
        <f t="shared" si="65"/>
        <v/>
      </c>
      <c r="F533" s="21" t="str">
        <f t="shared" si="66"/>
        <v/>
      </c>
      <c r="G533" s="21" t="str">
        <f t="shared" si="67"/>
        <v/>
      </c>
      <c r="H533" s="20" t="str">
        <f t="shared" si="62"/>
        <v/>
      </c>
      <c r="I533" s="19" t="str">
        <f t="shared" si="68"/>
        <v/>
      </c>
      <c r="J533" s="19" t="str">
        <f t="shared" si="63"/>
        <v/>
      </c>
      <c r="K533" s="18" t="str">
        <f t="shared" si="64"/>
        <v/>
      </c>
    </row>
    <row r="534" spans="3:11" x14ac:dyDescent="0.25">
      <c r="C534" s="23"/>
      <c r="D534" s="22"/>
      <c r="E534" s="21" t="str">
        <f t="shared" si="65"/>
        <v/>
      </c>
      <c r="F534" s="21" t="str">
        <f t="shared" si="66"/>
        <v/>
      </c>
      <c r="G534" s="21" t="str">
        <f t="shared" si="67"/>
        <v/>
      </c>
      <c r="H534" s="20" t="str">
        <f t="shared" si="62"/>
        <v/>
      </c>
      <c r="I534" s="19" t="str">
        <f t="shared" si="68"/>
        <v/>
      </c>
      <c r="J534" s="19" t="str">
        <f t="shared" si="63"/>
        <v/>
      </c>
      <c r="K534" s="18" t="str">
        <f t="shared" si="64"/>
        <v/>
      </c>
    </row>
    <row r="535" spans="3:11" x14ac:dyDescent="0.25">
      <c r="C535" s="23"/>
      <c r="D535" s="22"/>
      <c r="E535" s="21" t="str">
        <f t="shared" si="65"/>
        <v/>
      </c>
      <c r="F535" s="21" t="str">
        <f t="shared" si="66"/>
        <v/>
      </c>
      <c r="G535" s="21" t="str">
        <f t="shared" si="67"/>
        <v/>
      </c>
      <c r="H535" s="20" t="str">
        <f t="shared" si="62"/>
        <v/>
      </c>
      <c r="I535" s="19" t="str">
        <f t="shared" si="68"/>
        <v/>
      </c>
      <c r="J535" s="19" t="str">
        <f t="shared" si="63"/>
        <v/>
      </c>
      <c r="K535" s="18" t="str">
        <f t="shared" si="64"/>
        <v/>
      </c>
    </row>
    <row r="536" spans="3:11" x14ac:dyDescent="0.25">
      <c r="C536" s="23"/>
      <c r="D536" s="22"/>
      <c r="E536" s="21" t="str">
        <f t="shared" si="65"/>
        <v/>
      </c>
      <c r="F536" s="21" t="str">
        <f t="shared" si="66"/>
        <v/>
      </c>
      <c r="G536" s="21" t="str">
        <f t="shared" si="67"/>
        <v/>
      </c>
      <c r="H536" s="20" t="str">
        <f t="shared" si="62"/>
        <v/>
      </c>
      <c r="I536" s="19" t="str">
        <f t="shared" si="68"/>
        <v/>
      </c>
      <c r="J536" s="19" t="str">
        <f t="shared" si="63"/>
        <v/>
      </c>
      <c r="K536" s="18" t="str">
        <f t="shared" si="64"/>
        <v/>
      </c>
    </row>
    <row r="537" spans="3:11" x14ac:dyDescent="0.25">
      <c r="C537" s="23"/>
      <c r="D537" s="22"/>
      <c r="E537" s="21" t="str">
        <f t="shared" si="65"/>
        <v/>
      </c>
      <c r="F537" s="21" t="str">
        <f t="shared" si="66"/>
        <v/>
      </c>
      <c r="G537" s="21" t="str">
        <f t="shared" si="67"/>
        <v/>
      </c>
      <c r="H537" s="20" t="str">
        <f t="shared" si="62"/>
        <v/>
      </c>
      <c r="I537" s="19" t="str">
        <f t="shared" si="68"/>
        <v/>
      </c>
      <c r="J537" s="19" t="str">
        <f t="shared" si="63"/>
        <v/>
      </c>
      <c r="K537" s="18" t="str">
        <f t="shared" si="64"/>
        <v/>
      </c>
    </row>
    <row r="538" spans="3:11" x14ac:dyDescent="0.25">
      <c r="C538" s="23"/>
      <c r="D538" s="22"/>
      <c r="E538" s="21" t="str">
        <f t="shared" si="65"/>
        <v/>
      </c>
      <c r="F538" s="21" t="str">
        <f t="shared" si="66"/>
        <v/>
      </c>
      <c r="G538" s="21" t="str">
        <f t="shared" si="67"/>
        <v/>
      </c>
      <c r="H538" s="20" t="str">
        <f t="shared" si="62"/>
        <v/>
      </c>
      <c r="I538" s="19" t="str">
        <f t="shared" si="68"/>
        <v/>
      </c>
      <c r="J538" s="19" t="str">
        <f t="shared" si="63"/>
        <v/>
      </c>
      <c r="K538" s="18" t="str">
        <f t="shared" si="64"/>
        <v/>
      </c>
    </row>
    <row r="539" spans="3:11" x14ac:dyDescent="0.25">
      <c r="C539" s="23"/>
      <c r="D539" s="22"/>
      <c r="E539" s="21" t="str">
        <f t="shared" si="65"/>
        <v/>
      </c>
      <c r="F539" s="21" t="str">
        <f t="shared" si="66"/>
        <v/>
      </c>
      <c r="G539" s="21" t="str">
        <f t="shared" si="67"/>
        <v/>
      </c>
      <c r="H539" s="20" t="str">
        <f t="shared" si="62"/>
        <v/>
      </c>
      <c r="I539" s="19" t="str">
        <f t="shared" si="68"/>
        <v/>
      </c>
      <c r="J539" s="19" t="str">
        <f t="shared" si="63"/>
        <v/>
      </c>
      <c r="K539" s="18" t="str">
        <f t="shared" si="64"/>
        <v/>
      </c>
    </row>
    <row r="540" spans="3:11" x14ac:dyDescent="0.25">
      <c r="C540" s="23"/>
      <c r="D540" s="22"/>
      <c r="E540" s="21" t="str">
        <f t="shared" si="65"/>
        <v/>
      </c>
      <c r="F540" s="21" t="str">
        <f t="shared" si="66"/>
        <v/>
      </c>
      <c r="G540" s="21" t="str">
        <f t="shared" si="67"/>
        <v/>
      </c>
      <c r="H540" s="20" t="str">
        <f t="shared" si="62"/>
        <v/>
      </c>
      <c r="I540" s="19" t="str">
        <f t="shared" si="68"/>
        <v/>
      </c>
      <c r="J540" s="19" t="str">
        <f t="shared" si="63"/>
        <v/>
      </c>
      <c r="K540" s="18" t="str">
        <f t="shared" si="64"/>
        <v/>
      </c>
    </row>
    <row r="541" spans="3:11" x14ac:dyDescent="0.25">
      <c r="C541" s="23"/>
      <c r="D541" s="22"/>
      <c r="E541" s="21" t="str">
        <f t="shared" si="65"/>
        <v/>
      </c>
      <c r="F541" s="21" t="str">
        <f t="shared" si="66"/>
        <v/>
      </c>
      <c r="G541" s="21" t="str">
        <f t="shared" si="67"/>
        <v/>
      </c>
      <c r="H541" s="20" t="str">
        <f t="shared" si="62"/>
        <v/>
      </c>
      <c r="I541" s="19" t="str">
        <f t="shared" si="68"/>
        <v/>
      </c>
      <c r="J541" s="19" t="str">
        <f t="shared" si="63"/>
        <v/>
      </c>
      <c r="K541" s="18" t="str">
        <f t="shared" si="64"/>
        <v/>
      </c>
    </row>
    <row r="542" spans="3:11" x14ac:dyDescent="0.25">
      <c r="C542" s="23"/>
      <c r="D542" s="22"/>
      <c r="E542" s="21" t="str">
        <f t="shared" si="65"/>
        <v/>
      </c>
      <c r="F542" s="21" t="str">
        <f t="shared" si="66"/>
        <v/>
      </c>
      <c r="G542" s="21" t="str">
        <f t="shared" si="67"/>
        <v/>
      </c>
      <c r="H542" s="20" t="str">
        <f t="shared" si="62"/>
        <v/>
      </c>
      <c r="I542" s="19" t="str">
        <f t="shared" si="68"/>
        <v/>
      </c>
      <c r="J542" s="19" t="str">
        <f t="shared" si="63"/>
        <v/>
      </c>
      <c r="K542" s="18" t="str">
        <f t="shared" si="64"/>
        <v/>
      </c>
    </row>
    <row r="543" spans="3:11" x14ac:dyDescent="0.25">
      <c r="C543" s="23"/>
      <c r="D543" s="22"/>
      <c r="E543" s="21" t="str">
        <f t="shared" si="65"/>
        <v/>
      </c>
      <c r="F543" s="21" t="str">
        <f t="shared" si="66"/>
        <v/>
      </c>
      <c r="G543" s="21" t="str">
        <f t="shared" si="67"/>
        <v/>
      </c>
      <c r="H543" s="20" t="str">
        <f t="shared" si="62"/>
        <v/>
      </c>
      <c r="I543" s="19" t="str">
        <f t="shared" si="68"/>
        <v/>
      </c>
      <c r="J543" s="19" t="str">
        <f t="shared" si="63"/>
        <v/>
      </c>
      <c r="K543" s="18" t="str">
        <f t="shared" si="64"/>
        <v/>
      </c>
    </row>
    <row r="544" spans="3:11" x14ac:dyDescent="0.25">
      <c r="C544" s="23"/>
      <c r="D544" s="22"/>
      <c r="E544" s="21" t="str">
        <f t="shared" si="65"/>
        <v/>
      </c>
      <c r="F544" s="21" t="str">
        <f t="shared" si="66"/>
        <v/>
      </c>
      <c r="G544" s="21" t="str">
        <f t="shared" si="67"/>
        <v/>
      </c>
      <c r="H544" s="20" t="str">
        <f t="shared" si="62"/>
        <v/>
      </c>
      <c r="I544" s="19" t="str">
        <f t="shared" si="68"/>
        <v/>
      </c>
      <c r="J544" s="19" t="str">
        <f t="shared" si="63"/>
        <v/>
      </c>
      <c r="K544" s="18" t="str">
        <f t="shared" si="64"/>
        <v/>
      </c>
    </row>
    <row r="545" spans="3:11" x14ac:dyDescent="0.25">
      <c r="C545" s="23"/>
      <c r="D545" s="22"/>
      <c r="E545" s="21" t="str">
        <f t="shared" si="65"/>
        <v/>
      </c>
      <c r="F545" s="21" t="str">
        <f t="shared" si="66"/>
        <v/>
      </c>
      <c r="G545" s="21" t="str">
        <f t="shared" si="67"/>
        <v/>
      </c>
      <c r="H545" s="20" t="str">
        <f t="shared" ref="H545:H608" si="69">IF(F545="","",MOD(F545,1)*60)</f>
        <v/>
      </c>
      <c r="I545" s="19" t="str">
        <f t="shared" si="68"/>
        <v/>
      </c>
      <c r="J545" s="19" t="str">
        <f t="shared" ref="J545:J608" si="70">IF(B545="","",I545+TIME(ABS($F$8),0,0))</f>
        <v/>
      </c>
      <c r="K545" s="18" t="str">
        <f t="shared" ref="K545:K608" si="71">IF(F545="","",ABS(T$12)+F545)</f>
        <v/>
      </c>
    </row>
    <row r="546" spans="3:11" x14ac:dyDescent="0.25">
      <c r="C546" s="23"/>
      <c r="D546" s="22"/>
      <c r="E546" s="21" t="str">
        <f t="shared" si="65"/>
        <v/>
      </c>
      <c r="F546" s="21" t="str">
        <f t="shared" si="66"/>
        <v/>
      </c>
      <c r="G546" s="21" t="str">
        <f t="shared" si="67"/>
        <v/>
      </c>
      <c r="H546" s="20" t="str">
        <f t="shared" si="69"/>
        <v/>
      </c>
      <c r="I546" s="19" t="str">
        <f t="shared" si="68"/>
        <v/>
      </c>
      <c r="J546" s="19" t="str">
        <f t="shared" si="70"/>
        <v/>
      </c>
      <c r="K546" s="18" t="str">
        <f t="shared" si="71"/>
        <v/>
      </c>
    </row>
    <row r="547" spans="3:11" x14ac:dyDescent="0.25">
      <c r="C547" s="23"/>
      <c r="D547" s="22"/>
      <c r="E547" s="21" t="str">
        <f t="shared" si="65"/>
        <v/>
      </c>
      <c r="F547" s="21" t="str">
        <f t="shared" si="66"/>
        <v/>
      </c>
      <c r="G547" s="21" t="str">
        <f t="shared" si="67"/>
        <v/>
      </c>
      <c r="H547" s="20" t="str">
        <f t="shared" si="69"/>
        <v/>
      </c>
      <c r="I547" s="19" t="str">
        <f t="shared" si="68"/>
        <v/>
      </c>
      <c r="J547" s="19" t="str">
        <f t="shared" si="70"/>
        <v/>
      </c>
      <c r="K547" s="18" t="str">
        <f t="shared" si="71"/>
        <v/>
      </c>
    </row>
    <row r="548" spans="3:11" x14ac:dyDescent="0.25">
      <c r="C548" s="23"/>
      <c r="D548" s="22"/>
      <c r="E548" s="21" t="str">
        <f t="shared" si="65"/>
        <v/>
      </c>
      <c r="F548" s="21" t="str">
        <f t="shared" si="66"/>
        <v/>
      </c>
      <c r="G548" s="21" t="str">
        <f t="shared" si="67"/>
        <v/>
      </c>
      <c r="H548" s="20" t="str">
        <f t="shared" si="69"/>
        <v/>
      </c>
      <c r="I548" s="19" t="str">
        <f t="shared" si="68"/>
        <v/>
      </c>
      <c r="J548" s="19" t="str">
        <f t="shared" si="70"/>
        <v/>
      </c>
      <c r="K548" s="18" t="str">
        <f t="shared" si="71"/>
        <v/>
      </c>
    </row>
    <row r="549" spans="3:11" x14ac:dyDescent="0.25">
      <c r="C549" s="23"/>
      <c r="D549" s="22"/>
      <c r="E549" s="21" t="str">
        <f t="shared" si="65"/>
        <v/>
      </c>
      <c r="F549" s="21" t="str">
        <f t="shared" si="66"/>
        <v/>
      </c>
      <c r="G549" s="21" t="str">
        <f t="shared" si="67"/>
        <v/>
      </c>
      <c r="H549" s="20" t="str">
        <f t="shared" si="69"/>
        <v/>
      </c>
      <c r="I549" s="19" t="str">
        <f t="shared" si="68"/>
        <v/>
      </c>
      <c r="J549" s="19" t="str">
        <f t="shared" si="70"/>
        <v/>
      </c>
      <c r="K549" s="18" t="str">
        <f t="shared" si="71"/>
        <v/>
      </c>
    </row>
    <row r="550" spans="3:11" x14ac:dyDescent="0.25">
      <c r="C550" s="23"/>
      <c r="D550" s="22"/>
      <c r="E550" s="21" t="str">
        <f t="shared" si="65"/>
        <v/>
      </c>
      <c r="F550" s="21" t="str">
        <f t="shared" si="66"/>
        <v/>
      </c>
      <c r="G550" s="21" t="str">
        <f t="shared" si="67"/>
        <v/>
      </c>
      <c r="H550" s="20" t="str">
        <f t="shared" si="69"/>
        <v/>
      </c>
      <c r="I550" s="19" t="str">
        <f t="shared" si="68"/>
        <v/>
      </c>
      <c r="J550" s="19" t="str">
        <f t="shared" si="70"/>
        <v/>
      </c>
      <c r="K550" s="18" t="str">
        <f t="shared" si="71"/>
        <v/>
      </c>
    </row>
    <row r="551" spans="3:11" x14ac:dyDescent="0.25">
      <c r="C551" s="23"/>
      <c r="D551" s="22"/>
      <c r="E551" s="21" t="str">
        <f t="shared" si="65"/>
        <v/>
      </c>
      <c r="F551" s="21" t="str">
        <f t="shared" si="66"/>
        <v/>
      </c>
      <c r="G551" s="21" t="str">
        <f t="shared" si="67"/>
        <v/>
      </c>
      <c r="H551" s="20" t="str">
        <f t="shared" si="69"/>
        <v/>
      </c>
      <c r="I551" s="19" t="str">
        <f t="shared" si="68"/>
        <v/>
      </c>
      <c r="J551" s="19" t="str">
        <f t="shared" si="70"/>
        <v/>
      </c>
      <c r="K551" s="18" t="str">
        <f t="shared" si="71"/>
        <v/>
      </c>
    </row>
    <row r="552" spans="3:11" x14ac:dyDescent="0.25">
      <c r="C552" s="23"/>
      <c r="D552" s="22"/>
      <c r="E552" s="21" t="str">
        <f t="shared" si="65"/>
        <v/>
      </c>
      <c r="F552" s="21" t="str">
        <f t="shared" si="66"/>
        <v/>
      </c>
      <c r="G552" s="21" t="str">
        <f t="shared" si="67"/>
        <v/>
      </c>
      <c r="H552" s="20" t="str">
        <f t="shared" si="69"/>
        <v/>
      </c>
      <c r="I552" s="19" t="str">
        <f t="shared" si="68"/>
        <v/>
      </c>
      <c r="J552" s="19" t="str">
        <f t="shared" si="70"/>
        <v/>
      </c>
      <c r="K552" s="18" t="str">
        <f t="shared" si="71"/>
        <v/>
      </c>
    </row>
    <row r="553" spans="3:11" x14ac:dyDescent="0.25">
      <c r="C553" s="23"/>
      <c r="D553" s="22"/>
      <c r="E553" s="21" t="str">
        <f t="shared" si="65"/>
        <v/>
      </c>
      <c r="F553" s="21" t="str">
        <f t="shared" si="66"/>
        <v/>
      </c>
      <c r="G553" s="21" t="str">
        <f t="shared" si="67"/>
        <v/>
      </c>
      <c r="H553" s="20" t="str">
        <f t="shared" si="69"/>
        <v/>
      </c>
      <c r="I553" s="19" t="str">
        <f t="shared" si="68"/>
        <v/>
      </c>
      <c r="J553" s="19" t="str">
        <f t="shared" si="70"/>
        <v/>
      </c>
      <c r="K553" s="18" t="str">
        <f t="shared" si="71"/>
        <v/>
      </c>
    </row>
    <row r="554" spans="3:11" x14ac:dyDescent="0.25">
      <c r="C554" s="23"/>
      <c r="D554" s="22"/>
      <c r="E554" s="21" t="str">
        <f t="shared" si="65"/>
        <v/>
      </c>
      <c r="F554" s="21" t="str">
        <f t="shared" si="66"/>
        <v/>
      </c>
      <c r="G554" s="21" t="str">
        <f t="shared" si="67"/>
        <v/>
      </c>
      <c r="H554" s="20" t="str">
        <f t="shared" si="69"/>
        <v/>
      </c>
      <c r="I554" s="19" t="str">
        <f t="shared" si="68"/>
        <v/>
      </c>
      <c r="J554" s="19" t="str">
        <f t="shared" si="70"/>
        <v/>
      </c>
      <c r="K554" s="18" t="str">
        <f t="shared" si="71"/>
        <v/>
      </c>
    </row>
    <row r="555" spans="3:11" x14ac:dyDescent="0.25">
      <c r="C555" s="23"/>
      <c r="D555" s="22"/>
      <c r="E555" s="21" t="str">
        <f t="shared" si="65"/>
        <v/>
      </c>
      <c r="F555" s="21" t="str">
        <f t="shared" si="66"/>
        <v/>
      </c>
      <c r="G555" s="21" t="str">
        <f t="shared" si="67"/>
        <v/>
      </c>
      <c r="H555" s="20" t="str">
        <f t="shared" si="69"/>
        <v/>
      </c>
      <c r="I555" s="19" t="str">
        <f t="shared" si="68"/>
        <v/>
      </c>
      <c r="J555" s="19" t="str">
        <f t="shared" si="70"/>
        <v/>
      </c>
      <c r="K555" s="18" t="str">
        <f t="shared" si="71"/>
        <v/>
      </c>
    </row>
    <row r="556" spans="3:11" x14ac:dyDescent="0.25">
      <c r="C556" s="23"/>
      <c r="D556" s="22"/>
      <c r="E556" s="21" t="str">
        <f t="shared" si="65"/>
        <v/>
      </c>
      <c r="F556" s="21" t="str">
        <f t="shared" si="66"/>
        <v/>
      </c>
      <c r="G556" s="21" t="str">
        <f t="shared" si="67"/>
        <v/>
      </c>
      <c r="H556" s="20" t="str">
        <f t="shared" si="69"/>
        <v/>
      </c>
      <c r="I556" s="19" t="str">
        <f t="shared" si="68"/>
        <v/>
      </c>
      <c r="J556" s="19" t="str">
        <f t="shared" si="70"/>
        <v/>
      </c>
      <c r="K556" s="18" t="str">
        <f t="shared" si="71"/>
        <v/>
      </c>
    </row>
    <row r="557" spans="3:11" x14ac:dyDescent="0.25">
      <c r="C557" s="23"/>
      <c r="D557" s="22"/>
      <c r="E557" s="21" t="str">
        <f t="shared" si="65"/>
        <v/>
      </c>
      <c r="F557" s="21" t="str">
        <f t="shared" si="66"/>
        <v/>
      </c>
      <c r="G557" s="21" t="str">
        <f t="shared" si="67"/>
        <v/>
      </c>
      <c r="H557" s="20" t="str">
        <f t="shared" si="69"/>
        <v/>
      </c>
      <c r="I557" s="19" t="str">
        <f t="shared" si="68"/>
        <v/>
      </c>
      <c r="J557" s="19" t="str">
        <f t="shared" si="70"/>
        <v/>
      </c>
      <c r="K557" s="18" t="str">
        <f t="shared" si="71"/>
        <v/>
      </c>
    </row>
    <row r="558" spans="3:11" x14ac:dyDescent="0.25">
      <c r="C558" s="23"/>
      <c r="D558" s="22"/>
      <c r="E558" s="21" t="str">
        <f t="shared" si="65"/>
        <v/>
      </c>
      <c r="F558" s="21" t="str">
        <f t="shared" si="66"/>
        <v/>
      </c>
      <c r="G558" s="21" t="str">
        <f t="shared" si="67"/>
        <v/>
      </c>
      <c r="H558" s="20" t="str">
        <f t="shared" si="69"/>
        <v/>
      </c>
      <c r="I558" s="19" t="str">
        <f t="shared" si="68"/>
        <v/>
      </c>
      <c r="J558" s="19" t="str">
        <f t="shared" si="70"/>
        <v/>
      </c>
      <c r="K558" s="18" t="str">
        <f t="shared" si="71"/>
        <v/>
      </c>
    </row>
    <row r="559" spans="3:11" x14ac:dyDescent="0.25">
      <c r="C559" s="23"/>
      <c r="D559" s="22"/>
      <c r="E559" s="21" t="str">
        <f t="shared" si="65"/>
        <v/>
      </c>
      <c r="F559" s="21" t="str">
        <f t="shared" si="66"/>
        <v/>
      </c>
      <c r="G559" s="21" t="str">
        <f t="shared" si="67"/>
        <v/>
      </c>
      <c r="H559" s="20" t="str">
        <f t="shared" si="69"/>
        <v/>
      </c>
      <c r="I559" s="19" t="str">
        <f t="shared" si="68"/>
        <v/>
      </c>
      <c r="J559" s="19" t="str">
        <f t="shared" si="70"/>
        <v/>
      </c>
      <c r="K559" s="18" t="str">
        <f t="shared" si="71"/>
        <v/>
      </c>
    </row>
    <row r="560" spans="3:11" x14ac:dyDescent="0.25">
      <c r="C560" s="23"/>
      <c r="D560" s="22"/>
      <c r="E560" s="21" t="str">
        <f t="shared" si="65"/>
        <v/>
      </c>
      <c r="F560" s="21" t="str">
        <f t="shared" si="66"/>
        <v/>
      </c>
      <c r="G560" s="21" t="str">
        <f t="shared" si="67"/>
        <v/>
      </c>
      <c r="H560" s="20" t="str">
        <f t="shared" si="69"/>
        <v/>
      </c>
      <c r="I560" s="19" t="str">
        <f t="shared" si="68"/>
        <v/>
      </c>
      <c r="J560" s="19" t="str">
        <f t="shared" si="70"/>
        <v/>
      </c>
      <c r="K560" s="18" t="str">
        <f t="shared" si="71"/>
        <v/>
      </c>
    </row>
    <row r="561" spans="3:11" x14ac:dyDescent="0.25">
      <c r="C561" s="23"/>
      <c r="D561" s="22"/>
      <c r="E561" s="21" t="str">
        <f t="shared" si="65"/>
        <v/>
      </c>
      <c r="F561" s="21" t="str">
        <f t="shared" si="66"/>
        <v/>
      </c>
      <c r="G561" s="21" t="str">
        <f t="shared" si="67"/>
        <v/>
      </c>
      <c r="H561" s="20" t="str">
        <f t="shared" si="69"/>
        <v/>
      </c>
      <c r="I561" s="19" t="str">
        <f t="shared" si="68"/>
        <v/>
      </c>
      <c r="J561" s="19" t="str">
        <f t="shared" si="70"/>
        <v/>
      </c>
      <c r="K561" s="18" t="str">
        <f t="shared" si="71"/>
        <v/>
      </c>
    </row>
    <row r="562" spans="3:11" x14ac:dyDescent="0.25">
      <c r="C562" s="23"/>
      <c r="D562" s="22"/>
      <c r="E562" s="21" t="str">
        <f t="shared" si="65"/>
        <v/>
      </c>
      <c r="F562" s="21" t="str">
        <f t="shared" si="66"/>
        <v/>
      </c>
      <c r="G562" s="21" t="str">
        <f t="shared" si="67"/>
        <v/>
      </c>
      <c r="H562" s="20" t="str">
        <f t="shared" si="69"/>
        <v/>
      </c>
      <c r="I562" s="19" t="str">
        <f t="shared" si="68"/>
        <v/>
      </c>
      <c r="J562" s="19" t="str">
        <f t="shared" si="70"/>
        <v/>
      </c>
      <c r="K562" s="18" t="str">
        <f t="shared" si="71"/>
        <v/>
      </c>
    </row>
    <row r="563" spans="3:11" x14ac:dyDescent="0.25">
      <c r="C563" s="23"/>
      <c r="D563" s="22"/>
      <c r="E563" s="21" t="str">
        <f t="shared" si="65"/>
        <v/>
      </c>
      <c r="F563" s="21" t="str">
        <f t="shared" si="66"/>
        <v/>
      </c>
      <c r="G563" s="21" t="str">
        <f t="shared" si="67"/>
        <v/>
      </c>
      <c r="H563" s="20" t="str">
        <f t="shared" si="69"/>
        <v/>
      </c>
      <c r="I563" s="19" t="str">
        <f t="shared" si="68"/>
        <v/>
      </c>
      <c r="J563" s="19" t="str">
        <f t="shared" si="70"/>
        <v/>
      </c>
      <c r="K563" s="18" t="str">
        <f t="shared" si="71"/>
        <v/>
      </c>
    </row>
    <row r="564" spans="3:11" x14ac:dyDescent="0.25">
      <c r="C564" s="23"/>
      <c r="D564" s="22"/>
      <c r="E564" s="21" t="str">
        <f t="shared" si="65"/>
        <v/>
      </c>
      <c r="F564" s="21" t="str">
        <f t="shared" si="66"/>
        <v/>
      </c>
      <c r="G564" s="21" t="str">
        <f t="shared" si="67"/>
        <v/>
      </c>
      <c r="H564" s="20" t="str">
        <f t="shared" si="69"/>
        <v/>
      </c>
      <c r="I564" s="19" t="str">
        <f t="shared" si="68"/>
        <v/>
      </c>
      <c r="J564" s="19" t="str">
        <f t="shared" si="70"/>
        <v/>
      </c>
      <c r="K564" s="18" t="str">
        <f t="shared" si="71"/>
        <v/>
      </c>
    </row>
    <row r="565" spans="3:11" x14ac:dyDescent="0.25">
      <c r="C565" s="23"/>
      <c r="D565" s="22"/>
      <c r="E565" s="21" t="str">
        <f t="shared" si="65"/>
        <v/>
      </c>
      <c r="F565" s="21" t="str">
        <f t="shared" si="66"/>
        <v/>
      </c>
      <c r="G565" s="21" t="str">
        <f t="shared" si="67"/>
        <v/>
      </c>
      <c r="H565" s="20" t="str">
        <f t="shared" si="69"/>
        <v/>
      </c>
      <c r="I565" s="19" t="str">
        <f t="shared" si="68"/>
        <v/>
      </c>
      <c r="J565" s="19" t="str">
        <f t="shared" si="70"/>
        <v/>
      </c>
      <c r="K565" s="18" t="str">
        <f t="shared" si="71"/>
        <v/>
      </c>
    </row>
    <row r="566" spans="3:11" x14ac:dyDescent="0.25">
      <c r="C566" s="23"/>
      <c r="D566" s="22"/>
      <c r="E566" s="21" t="str">
        <f t="shared" si="65"/>
        <v/>
      </c>
      <c r="F566" s="21" t="str">
        <f t="shared" si="66"/>
        <v/>
      </c>
      <c r="G566" s="21" t="str">
        <f t="shared" si="67"/>
        <v/>
      </c>
      <c r="H566" s="20" t="str">
        <f t="shared" si="69"/>
        <v/>
      </c>
      <c r="I566" s="19" t="str">
        <f t="shared" si="68"/>
        <v/>
      </c>
      <c r="J566" s="19" t="str">
        <f t="shared" si="70"/>
        <v/>
      </c>
      <c r="K566" s="18" t="str">
        <f t="shared" si="71"/>
        <v/>
      </c>
    </row>
    <row r="567" spans="3:11" x14ac:dyDescent="0.25">
      <c r="C567" s="23"/>
      <c r="D567" s="22"/>
      <c r="E567" s="21" t="str">
        <f t="shared" si="65"/>
        <v/>
      </c>
      <c r="F567" s="21" t="str">
        <f t="shared" si="66"/>
        <v/>
      </c>
      <c r="G567" s="21" t="str">
        <f t="shared" si="67"/>
        <v/>
      </c>
      <c r="H567" s="20" t="str">
        <f t="shared" si="69"/>
        <v/>
      </c>
      <c r="I567" s="19" t="str">
        <f t="shared" si="68"/>
        <v/>
      </c>
      <c r="J567" s="19" t="str">
        <f t="shared" si="70"/>
        <v/>
      </c>
      <c r="K567" s="18" t="str">
        <f t="shared" si="71"/>
        <v/>
      </c>
    </row>
    <row r="568" spans="3:11" x14ac:dyDescent="0.25">
      <c r="C568" s="23"/>
      <c r="D568" s="22"/>
      <c r="E568" s="21" t="str">
        <f t="shared" si="65"/>
        <v/>
      </c>
      <c r="F568" s="21" t="str">
        <f t="shared" si="66"/>
        <v/>
      </c>
      <c r="G568" s="21" t="str">
        <f t="shared" si="67"/>
        <v/>
      </c>
      <c r="H568" s="20" t="str">
        <f t="shared" si="69"/>
        <v/>
      </c>
      <c r="I568" s="19" t="str">
        <f t="shared" si="68"/>
        <v/>
      </c>
      <c r="J568" s="19" t="str">
        <f t="shared" si="70"/>
        <v/>
      </c>
      <c r="K568" s="18" t="str">
        <f t="shared" si="71"/>
        <v/>
      </c>
    </row>
    <row r="569" spans="3:11" x14ac:dyDescent="0.25">
      <c r="C569" s="23"/>
      <c r="D569" s="22"/>
      <c r="E569" s="21" t="str">
        <f t="shared" si="65"/>
        <v/>
      </c>
      <c r="F569" s="21" t="str">
        <f t="shared" si="66"/>
        <v/>
      </c>
      <c r="G569" s="21" t="str">
        <f t="shared" si="67"/>
        <v/>
      </c>
      <c r="H569" s="20" t="str">
        <f t="shared" si="69"/>
        <v/>
      </c>
      <c r="I569" s="19" t="str">
        <f t="shared" si="68"/>
        <v/>
      </c>
      <c r="J569" s="19" t="str">
        <f t="shared" si="70"/>
        <v/>
      </c>
      <c r="K569" s="18" t="str">
        <f t="shared" si="71"/>
        <v/>
      </c>
    </row>
    <row r="570" spans="3:11" x14ac:dyDescent="0.25">
      <c r="C570" s="23"/>
      <c r="D570" s="22"/>
      <c r="E570" s="21" t="str">
        <f t="shared" si="65"/>
        <v/>
      </c>
      <c r="F570" s="21" t="str">
        <f t="shared" si="66"/>
        <v/>
      </c>
      <c r="G570" s="21" t="str">
        <f t="shared" si="67"/>
        <v/>
      </c>
      <c r="H570" s="20" t="str">
        <f t="shared" si="69"/>
        <v/>
      </c>
      <c r="I570" s="19" t="str">
        <f t="shared" si="68"/>
        <v/>
      </c>
      <c r="J570" s="19" t="str">
        <f t="shared" si="70"/>
        <v/>
      </c>
      <c r="K570" s="18" t="str">
        <f t="shared" si="71"/>
        <v/>
      </c>
    </row>
    <row r="571" spans="3:11" x14ac:dyDescent="0.25">
      <c r="C571" s="23"/>
      <c r="D571" s="22"/>
      <c r="E571" s="21" t="str">
        <f t="shared" si="65"/>
        <v/>
      </c>
      <c r="F571" s="21" t="str">
        <f t="shared" si="66"/>
        <v/>
      </c>
      <c r="G571" s="21" t="str">
        <f t="shared" si="67"/>
        <v/>
      </c>
      <c r="H571" s="20" t="str">
        <f t="shared" si="69"/>
        <v/>
      </c>
      <c r="I571" s="19" t="str">
        <f t="shared" si="68"/>
        <v/>
      </c>
      <c r="J571" s="19" t="str">
        <f t="shared" si="70"/>
        <v/>
      </c>
      <c r="K571" s="18" t="str">
        <f t="shared" si="71"/>
        <v/>
      </c>
    </row>
    <row r="572" spans="3:11" x14ac:dyDescent="0.25">
      <c r="C572" s="23"/>
      <c r="D572" s="22"/>
      <c r="E572" s="21" t="str">
        <f t="shared" si="65"/>
        <v/>
      </c>
      <c r="F572" s="21" t="str">
        <f t="shared" si="66"/>
        <v/>
      </c>
      <c r="G572" s="21" t="str">
        <f t="shared" si="67"/>
        <v/>
      </c>
      <c r="H572" s="20" t="str">
        <f t="shared" si="69"/>
        <v/>
      </c>
      <c r="I572" s="19" t="str">
        <f t="shared" si="68"/>
        <v/>
      </c>
      <c r="J572" s="19" t="str">
        <f t="shared" si="70"/>
        <v/>
      </c>
      <c r="K572" s="18" t="str">
        <f t="shared" si="71"/>
        <v/>
      </c>
    </row>
    <row r="573" spans="3:11" x14ac:dyDescent="0.25">
      <c r="C573" s="23"/>
      <c r="D573" s="22"/>
      <c r="E573" s="21" t="str">
        <f t="shared" si="65"/>
        <v/>
      </c>
      <c r="F573" s="21" t="str">
        <f t="shared" si="66"/>
        <v/>
      </c>
      <c r="G573" s="21" t="str">
        <f t="shared" si="67"/>
        <v/>
      </c>
      <c r="H573" s="20" t="str">
        <f t="shared" si="69"/>
        <v/>
      </c>
      <c r="I573" s="19" t="str">
        <f t="shared" si="68"/>
        <v/>
      </c>
      <c r="J573" s="19" t="str">
        <f t="shared" si="70"/>
        <v/>
      </c>
      <c r="K573" s="18" t="str">
        <f t="shared" si="71"/>
        <v/>
      </c>
    </row>
    <row r="574" spans="3:11" x14ac:dyDescent="0.25">
      <c r="C574" s="23"/>
      <c r="D574" s="22"/>
      <c r="E574" s="21" t="str">
        <f t="shared" si="65"/>
        <v/>
      </c>
      <c r="F574" s="21" t="str">
        <f t="shared" si="66"/>
        <v/>
      </c>
      <c r="G574" s="21" t="str">
        <f t="shared" si="67"/>
        <v/>
      </c>
      <c r="H574" s="20" t="str">
        <f t="shared" si="69"/>
        <v/>
      </c>
      <c r="I574" s="19" t="str">
        <f t="shared" si="68"/>
        <v/>
      </c>
      <c r="J574" s="19" t="str">
        <f t="shared" si="70"/>
        <v/>
      </c>
      <c r="K574" s="18" t="str">
        <f t="shared" si="71"/>
        <v/>
      </c>
    </row>
    <row r="575" spans="3:11" x14ac:dyDescent="0.25">
      <c r="C575" s="23"/>
      <c r="D575" s="22"/>
      <c r="E575" s="21" t="str">
        <f t="shared" si="65"/>
        <v/>
      </c>
      <c r="F575" s="21" t="str">
        <f t="shared" si="66"/>
        <v/>
      </c>
      <c r="G575" s="21" t="str">
        <f t="shared" si="67"/>
        <v/>
      </c>
      <c r="H575" s="20" t="str">
        <f t="shared" si="69"/>
        <v/>
      </c>
      <c r="I575" s="19" t="str">
        <f t="shared" si="68"/>
        <v/>
      </c>
      <c r="J575" s="19" t="str">
        <f t="shared" si="70"/>
        <v/>
      </c>
      <c r="K575" s="18" t="str">
        <f t="shared" si="71"/>
        <v/>
      </c>
    </row>
    <row r="576" spans="3:11" x14ac:dyDescent="0.25">
      <c r="C576" s="23"/>
      <c r="D576" s="22"/>
      <c r="E576" s="21" t="str">
        <f t="shared" si="65"/>
        <v/>
      </c>
      <c r="F576" s="21" t="str">
        <f t="shared" si="66"/>
        <v/>
      </c>
      <c r="G576" s="21" t="str">
        <f t="shared" si="67"/>
        <v/>
      </c>
      <c r="H576" s="20" t="str">
        <f t="shared" si="69"/>
        <v/>
      </c>
      <c r="I576" s="19" t="str">
        <f t="shared" si="68"/>
        <v/>
      </c>
      <c r="J576" s="19" t="str">
        <f t="shared" si="70"/>
        <v/>
      </c>
      <c r="K576" s="18" t="str">
        <f t="shared" si="71"/>
        <v/>
      </c>
    </row>
    <row r="577" spans="3:11" x14ac:dyDescent="0.25">
      <c r="C577" s="23"/>
      <c r="D577" s="22"/>
      <c r="E577" s="21" t="str">
        <f t="shared" si="65"/>
        <v/>
      </c>
      <c r="F577" s="21" t="str">
        <f t="shared" si="66"/>
        <v/>
      </c>
      <c r="G577" s="21" t="str">
        <f t="shared" si="67"/>
        <v/>
      </c>
      <c r="H577" s="20" t="str">
        <f t="shared" si="69"/>
        <v/>
      </c>
      <c r="I577" s="19" t="str">
        <f t="shared" si="68"/>
        <v/>
      </c>
      <c r="J577" s="19" t="str">
        <f t="shared" si="70"/>
        <v/>
      </c>
      <c r="K577" s="18" t="str">
        <f t="shared" si="71"/>
        <v/>
      </c>
    </row>
    <row r="578" spans="3:11" x14ac:dyDescent="0.25">
      <c r="C578" s="23"/>
      <c r="D578" s="22"/>
      <c r="E578" s="21" t="str">
        <f t="shared" si="65"/>
        <v/>
      </c>
      <c r="F578" s="21" t="str">
        <f t="shared" si="66"/>
        <v/>
      </c>
      <c r="G578" s="21" t="str">
        <f t="shared" si="67"/>
        <v/>
      </c>
      <c r="H578" s="20" t="str">
        <f t="shared" si="69"/>
        <v/>
      </c>
      <c r="I578" s="19" t="str">
        <f t="shared" si="68"/>
        <v/>
      </c>
      <c r="J578" s="19" t="str">
        <f t="shared" si="70"/>
        <v/>
      </c>
      <c r="K578" s="18" t="str">
        <f t="shared" si="71"/>
        <v/>
      </c>
    </row>
    <row r="579" spans="3:11" x14ac:dyDescent="0.25">
      <c r="C579" s="23"/>
      <c r="D579" s="22"/>
      <c r="E579" s="21" t="str">
        <f t="shared" si="65"/>
        <v/>
      </c>
      <c r="F579" s="21" t="str">
        <f t="shared" si="66"/>
        <v/>
      </c>
      <c r="G579" s="21" t="str">
        <f t="shared" si="67"/>
        <v/>
      </c>
      <c r="H579" s="20" t="str">
        <f t="shared" si="69"/>
        <v/>
      </c>
      <c r="I579" s="19" t="str">
        <f t="shared" si="68"/>
        <v/>
      </c>
      <c r="J579" s="19" t="str">
        <f t="shared" si="70"/>
        <v/>
      </c>
      <c r="K579" s="18" t="str">
        <f t="shared" si="71"/>
        <v/>
      </c>
    </row>
    <row r="580" spans="3:11" x14ac:dyDescent="0.25">
      <c r="C580" s="23"/>
      <c r="D580" s="22"/>
      <c r="E580" s="21" t="str">
        <f t="shared" si="65"/>
        <v/>
      </c>
      <c r="F580" s="21" t="str">
        <f t="shared" si="66"/>
        <v/>
      </c>
      <c r="G580" s="21" t="str">
        <f t="shared" si="67"/>
        <v/>
      </c>
      <c r="H580" s="20" t="str">
        <f t="shared" si="69"/>
        <v/>
      </c>
      <c r="I580" s="19" t="str">
        <f t="shared" si="68"/>
        <v/>
      </c>
      <c r="J580" s="19" t="str">
        <f t="shared" si="70"/>
        <v/>
      </c>
      <c r="K580" s="18" t="str">
        <f t="shared" si="71"/>
        <v/>
      </c>
    </row>
    <row r="581" spans="3:11" x14ac:dyDescent="0.25">
      <c r="C581" s="23"/>
      <c r="D581" s="22"/>
      <c r="E581" s="21" t="str">
        <f t="shared" si="65"/>
        <v/>
      </c>
      <c r="F581" s="21" t="str">
        <f t="shared" si="66"/>
        <v/>
      </c>
      <c r="G581" s="21" t="str">
        <f t="shared" si="67"/>
        <v/>
      </c>
      <c r="H581" s="20" t="str">
        <f t="shared" si="69"/>
        <v/>
      </c>
      <c r="I581" s="19" t="str">
        <f t="shared" si="68"/>
        <v/>
      </c>
      <c r="J581" s="19" t="str">
        <f t="shared" si="70"/>
        <v/>
      </c>
      <c r="K581" s="18" t="str">
        <f t="shared" si="71"/>
        <v/>
      </c>
    </row>
    <row r="582" spans="3:11" x14ac:dyDescent="0.25">
      <c r="C582" s="23"/>
      <c r="D582" s="22"/>
      <c r="E582" s="21" t="str">
        <f t="shared" si="65"/>
        <v/>
      </c>
      <c r="F582" s="21" t="str">
        <f t="shared" si="66"/>
        <v/>
      </c>
      <c r="G582" s="21" t="str">
        <f t="shared" si="67"/>
        <v/>
      </c>
      <c r="H582" s="20" t="str">
        <f t="shared" si="69"/>
        <v/>
      </c>
      <c r="I582" s="19" t="str">
        <f t="shared" si="68"/>
        <v/>
      </c>
      <c r="J582" s="19" t="str">
        <f t="shared" si="70"/>
        <v/>
      </c>
      <c r="K582" s="18" t="str">
        <f t="shared" si="71"/>
        <v/>
      </c>
    </row>
    <row r="583" spans="3:11" x14ac:dyDescent="0.25">
      <c r="C583" s="23"/>
      <c r="D583" s="22"/>
      <c r="E583" s="21" t="str">
        <f t="shared" si="65"/>
        <v/>
      </c>
      <c r="F583" s="21" t="str">
        <f t="shared" si="66"/>
        <v/>
      </c>
      <c r="G583" s="21" t="str">
        <f t="shared" si="67"/>
        <v/>
      </c>
      <c r="H583" s="20" t="str">
        <f t="shared" si="69"/>
        <v/>
      </c>
      <c r="I583" s="19" t="str">
        <f t="shared" si="68"/>
        <v/>
      </c>
      <c r="J583" s="19" t="str">
        <f t="shared" si="70"/>
        <v/>
      </c>
      <c r="K583" s="18" t="str">
        <f t="shared" si="71"/>
        <v/>
      </c>
    </row>
    <row r="584" spans="3:11" x14ac:dyDescent="0.25">
      <c r="C584" s="23"/>
      <c r="D584" s="22"/>
      <c r="E584" s="21" t="str">
        <f t="shared" ref="E584:E642" si="72">MID(C584,LEN("UTC ")+1,LEN("UTC - "))</f>
        <v/>
      </c>
      <c r="F584" s="21" t="str">
        <f t="shared" ref="F584:F642" si="73">IF(D584="Y",E584+1,E584)</f>
        <v/>
      </c>
      <c r="G584" s="21" t="str">
        <f t="shared" ref="G584:G642" si="74">IF(F584="","",IF(rDST="N",F584,F584+1))</f>
        <v/>
      </c>
      <c r="H584" s="20" t="str">
        <f t="shared" si="69"/>
        <v/>
      </c>
      <c r="I584" s="19" t="str">
        <f t="shared" ref="I584:I642" si="75">IF(B584="","",IF(F584&lt;0,rGreenwich-TIME(ABS(F584),(H584),0),rGreenwich+TIME(ABS(F584),(H584),0)))</f>
        <v/>
      </c>
      <c r="J584" s="19" t="str">
        <f t="shared" si="70"/>
        <v/>
      </c>
      <c r="K584" s="18" t="str">
        <f t="shared" si="71"/>
        <v/>
      </c>
    </row>
    <row r="585" spans="3:11" x14ac:dyDescent="0.25">
      <c r="C585" s="23"/>
      <c r="D585" s="22"/>
      <c r="E585" s="21" t="str">
        <f t="shared" si="72"/>
        <v/>
      </c>
      <c r="F585" s="21" t="str">
        <f t="shared" si="73"/>
        <v/>
      </c>
      <c r="G585" s="21" t="str">
        <f t="shared" si="74"/>
        <v/>
      </c>
      <c r="H585" s="20" t="str">
        <f t="shared" si="69"/>
        <v/>
      </c>
      <c r="I585" s="19" t="str">
        <f t="shared" si="75"/>
        <v/>
      </c>
      <c r="J585" s="19" t="str">
        <f t="shared" si="70"/>
        <v/>
      </c>
      <c r="K585" s="18" t="str">
        <f t="shared" si="71"/>
        <v/>
      </c>
    </row>
    <row r="586" spans="3:11" x14ac:dyDescent="0.25">
      <c r="C586" s="23"/>
      <c r="D586" s="22"/>
      <c r="E586" s="21" t="str">
        <f t="shared" si="72"/>
        <v/>
      </c>
      <c r="F586" s="21" t="str">
        <f t="shared" si="73"/>
        <v/>
      </c>
      <c r="G586" s="21" t="str">
        <f t="shared" si="74"/>
        <v/>
      </c>
      <c r="H586" s="20" t="str">
        <f t="shared" si="69"/>
        <v/>
      </c>
      <c r="I586" s="19" t="str">
        <f t="shared" si="75"/>
        <v/>
      </c>
      <c r="J586" s="19" t="str">
        <f t="shared" si="70"/>
        <v/>
      </c>
      <c r="K586" s="18" t="str">
        <f t="shared" si="71"/>
        <v/>
      </c>
    </row>
    <row r="587" spans="3:11" x14ac:dyDescent="0.25">
      <c r="C587" s="23"/>
      <c r="D587" s="22"/>
      <c r="E587" s="21" t="str">
        <f t="shared" si="72"/>
        <v/>
      </c>
      <c r="F587" s="21" t="str">
        <f t="shared" si="73"/>
        <v/>
      </c>
      <c r="G587" s="21" t="str">
        <f t="shared" si="74"/>
        <v/>
      </c>
      <c r="H587" s="20" t="str">
        <f t="shared" si="69"/>
        <v/>
      </c>
      <c r="I587" s="19" t="str">
        <f t="shared" si="75"/>
        <v/>
      </c>
      <c r="J587" s="19" t="str">
        <f t="shared" si="70"/>
        <v/>
      </c>
      <c r="K587" s="18" t="str">
        <f t="shared" si="71"/>
        <v/>
      </c>
    </row>
    <row r="588" spans="3:11" x14ac:dyDescent="0.25">
      <c r="C588" s="23"/>
      <c r="D588" s="22"/>
      <c r="E588" s="21" t="str">
        <f t="shared" si="72"/>
        <v/>
      </c>
      <c r="F588" s="21" t="str">
        <f t="shared" si="73"/>
        <v/>
      </c>
      <c r="G588" s="21" t="str">
        <f t="shared" si="74"/>
        <v/>
      </c>
      <c r="H588" s="20" t="str">
        <f t="shared" si="69"/>
        <v/>
      </c>
      <c r="I588" s="19" t="str">
        <f t="shared" si="75"/>
        <v/>
      </c>
      <c r="J588" s="19" t="str">
        <f t="shared" si="70"/>
        <v/>
      </c>
      <c r="K588" s="18" t="str">
        <f t="shared" si="71"/>
        <v/>
      </c>
    </row>
    <row r="589" spans="3:11" x14ac:dyDescent="0.25">
      <c r="C589" s="23"/>
      <c r="D589" s="22"/>
      <c r="E589" s="21" t="str">
        <f t="shared" si="72"/>
        <v/>
      </c>
      <c r="F589" s="21" t="str">
        <f t="shared" si="73"/>
        <v/>
      </c>
      <c r="G589" s="21" t="str">
        <f t="shared" si="74"/>
        <v/>
      </c>
      <c r="H589" s="20" t="str">
        <f t="shared" si="69"/>
        <v/>
      </c>
      <c r="I589" s="19" t="str">
        <f t="shared" si="75"/>
        <v/>
      </c>
      <c r="J589" s="19" t="str">
        <f t="shared" si="70"/>
        <v/>
      </c>
      <c r="K589" s="18" t="str">
        <f t="shared" si="71"/>
        <v/>
      </c>
    </row>
    <row r="590" spans="3:11" x14ac:dyDescent="0.25">
      <c r="C590" s="23"/>
      <c r="D590" s="22"/>
      <c r="E590" s="21" t="str">
        <f t="shared" si="72"/>
        <v/>
      </c>
      <c r="F590" s="21" t="str">
        <f t="shared" si="73"/>
        <v/>
      </c>
      <c r="G590" s="21" t="str">
        <f t="shared" si="74"/>
        <v/>
      </c>
      <c r="H590" s="20" t="str">
        <f t="shared" si="69"/>
        <v/>
      </c>
      <c r="I590" s="19" t="str">
        <f t="shared" si="75"/>
        <v/>
      </c>
      <c r="J590" s="19" t="str">
        <f t="shared" si="70"/>
        <v/>
      </c>
      <c r="K590" s="18" t="str">
        <f t="shared" si="71"/>
        <v/>
      </c>
    </row>
    <row r="591" spans="3:11" x14ac:dyDescent="0.25">
      <c r="C591" s="23"/>
      <c r="D591" s="22"/>
      <c r="E591" s="21" t="str">
        <f t="shared" si="72"/>
        <v/>
      </c>
      <c r="F591" s="21" t="str">
        <f t="shared" si="73"/>
        <v/>
      </c>
      <c r="G591" s="21" t="str">
        <f t="shared" si="74"/>
        <v/>
      </c>
      <c r="H591" s="20" t="str">
        <f t="shared" si="69"/>
        <v/>
      </c>
      <c r="I591" s="19" t="str">
        <f t="shared" si="75"/>
        <v/>
      </c>
      <c r="J591" s="19" t="str">
        <f t="shared" si="70"/>
        <v/>
      </c>
      <c r="K591" s="18" t="str">
        <f t="shared" si="71"/>
        <v/>
      </c>
    </row>
    <row r="592" spans="3:11" x14ac:dyDescent="0.25">
      <c r="C592" s="23"/>
      <c r="D592" s="22"/>
      <c r="E592" s="21" t="str">
        <f t="shared" si="72"/>
        <v/>
      </c>
      <c r="F592" s="21" t="str">
        <f t="shared" si="73"/>
        <v/>
      </c>
      <c r="G592" s="21" t="str">
        <f t="shared" si="74"/>
        <v/>
      </c>
      <c r="H592" s="20" t="str">
        <f t="shared" si="69"/>
        <v/>
      </c>
      <c r="I592" s="19" t="str">
        <f t="shared" si="75"/>
        <v/>
      </c>
      <c r="J592" s="19" t="str">
        <f t="shared" si="70"/>
        <v/>
      </c>
      <c r="K592" s="18" t="str">
        <f t="shared" si="71"/>
        <v/>
      </c>
    </row>
    <row r="593" spans="3:11" x14ac:dyDescent="0.25">
      <c r="C593" s="23"/>
      <c r="D593" s="22"/>
      <c r="E593" s="21" t="str">
        <f t="shared" si="72"/>
        <v/>
      </c>
      <c r="F593" s="21" t="str">
        <f t="shared" si="73"/>
        <v/>
      </c>
      <c r="G593" s="21" t="str">
        <f t="shared" si="74"/>
        <v/>
      </c>
      <c r="H593" s="20" t="str">
        <f t="shared" si="69"/>
        <v/>
      </c>
      <c r="I593" s="19" t="str">
        <f t="shared" si="75"/>
        <v/>
      </c>
      <c r="J593" s="19" t="str">
        <f t="shared" si="70"/>
        <v/>
      </c>
      <c r="K593" s="18" t="str">
        <f t="shared" si="71"/>
        <v/>
      </c>
    </row>
    <row r="594" spans="3:11" x14ac:dyDescent="0.25">
      <c r="C594" s="23"/>
      <c r="D594" s="22"/>
      <c r="E594" s="21" t="str">
        <f t="shared" si="72"/>
        <v/>
      </c>
      <c r="F594" s="21" t="str">
        <f t="shared" si="73"/>
        <v/>
      </c>
      <c r="G594" s="21" t="str">
        <f t="shared" si="74"/>
        <v/>
      </c>
      <c r="H594" s="20" t="str">
        <f t="shared" si="69"/>
        <v/>
      </c>
      <c r="I594" s="19" t="str">
        <f t="shared" si="75"/>
        <v/>
      </c>
      <c r="J594" s="19" t="str">
        <f t="shared" si="70"/>
        <v/>
      </c>
      <c r="K594" s="18" t="str">
        <f t="shared" si="71"/>
        <v/>
      </c>
    </row>
    <row r="595" spans="3:11" x14ac:dyDescent="0.25">
      <c r="C595" s="23"/>
      <c r="D595" s="22"/>
      <c r="E595" s="21" t="str">
        <f t="shared" si="72"/>
        <v/>
      </c>
      <c r="F595" s="21" t="str">
        <f t="shared" si="73"/>
        <v/>
      </c>
      <c r="G595" s="21" t="str">
        <f t="shared" si="74"/>
        <v/>
      </c>
      <c r="H595" s="20" t="str">
        <f t="shared" si="69"/>
        <v/>
      </c>
      <c r="I595" s="19" t="str">
        <f t="shared" si="75"/>
        <v/>
      </c>
      <c r="J595" s="19" t="str">
        <f t="shared" si="70"/>
        <v/>
      </c>
      <c r="K595" s="18" t="str">
        <f t="shared" si="71"/>
        <v/>
      </c>
    </row>
    <row r="596" spans="3:11" x14ac:dyDescent="0.25">
      <c r="C596" s="23"/>
      <c r="D596" s="22"/>
      <c r="E596" s="21" t="str">
        <f t="shared" si="72"/>
        <v/>
      </c>
      <c r="F596" s="21" t="str">
        <f t="shared" si="73"/>
        <v/>
      </c>
      <c r="G596" s="21" t="str">
        <f t="shared" si="74"/>
        <v/>
      </c>
      <c r="H596" s="20" t="str">
        <f t="shared" si="69"/>
        <v/>
      </c>
      <c r="I596" s="19" t="str">
        <f t="shared" si="75"/>
        <v/>
      </c>
      <c r="J596" s="19" t="str">
        <f t="shared" si="70"/>
        <v/>
      </c>
      <c r="K596" s="18" t="str">
        <f t="shared" si="71"/>
        <v/>
      </c>
    </row>
    <row r="597" spans="3:11" x14ac:dyDescent="0.25">
      <c r="C597" s="23"/>
      <c r="D597" s="22"/>
      <c r="E597" s="21" t="str">
        <f t="shared" si="72"/>
        <v/>
      </c>
      <c r="F597" s="21" t="str">
        <f t="shared" si="73"/>
        <v/>
      </c>
      <c r="G597" s="21" t="str">
        <f t="shared" si="74"/>
        <v/>
      </c>
      <c r="H597" s="20" t="str">
        <f t="shared" si="69"/>
        <v/>
      </c>
      <c r="I597" s="19" t="str">
        <f t="shared" si="75"/>
        <v/>
      </c>
      <c r="J597" s="19" t="str">
        <f t="shared" si="70"/>
        <v/>
      </c>
      <c r="K597" s="18" t="str">
        <f t="shared" si="71"/>
        <v/>
      </c>
    </row>
    <row r="598" spans="3:11" x14ac:dyDescent="0.25">
      <c r="C598" s="23"/>
      <c r="D598" s="22"/>
      <c r="E598" s="21" t="str">
        <f t="shared" si="72"/>
        <v/>
      </c>
      <c r="F598" s="21" t="str">
        <f t="shared" si="73"/>
        <v/>
      </c>
      <c r="G598" s="21" t="str">
        <f t="shared" si="74"/>
        <v/>
      </c>
      <c r="H598" s="20" t="str">
        <f t="shared" si="69"/>
        <v/>
      </c>
      <c r="I598" s="19" t="str">
        <f t="shared" si="75"/>
        <v/>
      </c>
      <c r="J598" s="19" t="str">
        <f t="shared" si="70"/>
        <v/>
      </c>
      <c r="K598" s="18" t="str">
        <f t="shared" si="71"/>
        <v/>
      </c>
    </row>
    <row r="599" spans="3:11" x14ac:dyDescent="0.25">
      <c r="C599" s="23"/>
      <c r="D599" s="22"/>
      <c r="E599" s="21" t="str">
        <f t="shared" si="72"/>
        <v/>
      </c>
      <c r="F599" s="21" t="str">
        <f t="shared" si="73"/>
        <v/>
      </c>
      <c r="G599" s="21" t="str">
        <f t="shared" si="74"/>
        <v/>
      </c>
      <c r="H599" s="20" t="str">
        <f t="shared" si="69"/>
        <v/>
      </c>
      <c r="I599" s="19" t="str">
        <f t="shared" si="75"/>
        <v/>
      </c>
      <c r="J599" s="19" t="str">
        <f t="shared" si="70"/>
        <v/>
      </c>
      <c r="K599" s="18" t="str">
        <f t="shared" si="71"/>
        <v/>
      </c>
    </row>
    <row r="600" spans="3:11" x14ac:dyDescent="0.25">
      <c r="C600" s="23"/>
      <c r="D600" s="22"/>
      <c r="E600" s="21" t="str">
        <f t="shared" si="72"/>
        <v/>
      </c>
      <c r="F600" s="21" t="str">
        <f t="shared" si="73"/>
        <v/>
      </c>
      <c r="G600" s="21" t="str">
        <f t="shared" si="74"/>
        <v/>
      </c>
      <c r="H600" s="20" t="str">
        <f t="shared" si="69"/>
        <v/>
      </c>
      <c r="I600" s="19" t="str">
        <f t="shared" si="75"/>
        <v/>
      </c>
      <c r="J600" s="19" t="str">
        <f t="shared" si="70"/>
        <v/>
      </c>
      <c r="K600" s="18" t="str">
        <f t="shared" si="71"/>
        <v/>
      </c>
    </row>
    <row r="601" spans="3:11" x14ac:dyDescent="0.25">
      <c r="C601" s="23"/>
      <c r="D601" s="22"/>
      <c r="E601" s="21" t="str">
        <f t="shared" si="72"/>
        <v/>
      </c>
      <c r="F601" s="21" t="str">
        <f t="shared" si="73"/>
        <v/>
      </c>
      <c r="G601" s="21" t="str">
        <f t="shared" si="74"/>
        <v/>
      </c>
      <c r="H601" s="20" t="str">
        <f t="shared" si="69"/>
        <v/>
      </c>
      <c r="I601" s="19" t="str">
        <f t="shared" si="75"/>
        <v/>
      </c>
      <c r="J601" s="19" t="str">
        <f t="shared" si="70"/>
        <v/>
      </c>
      <c r="K601" s="18" t="str">
        <f t="shared" si="71"/>
        <v/>
      </c>
    </row>
    <row r="602" spans="3:11" x14ac:dyDescent="0.25">
      <c r="C602" s="23"/>
      <c r="D602" s="22"/>
      <c r="E602" s="21" t="str">
        <f t="shared" si="72"/>
        <v/>
      </c>
      <c r="F602" s="21" t="str">
        <f t="shared" si="73"/>
        <v/>
      </c>
      <c r="G602" s="21" t="str">
        <f t="shared" si="74"/>
        <v/>
      </c>
      <c r="H602" s="20" t="str">
        <f t="shared" si="69"/>
        <v/>
      </c>
      <c r="I602" s="19" t="str">
        <f t="shared" si="75"/>
        <v/>
      </c>
      <c r="J602" s="19" t="str">
        <f t="shared" si="70"/>
        <v/>
      </c>
      <c r="K602" s="18" t="str">
        <f t="shared" si="71"/>
        <v/>
      </c>
    </row>
    <row r="603" spans="3:11" x14ac:dyDescent="0.25">
      <c r="C603" s="23"/>
      <c r="D603" s="22"/>
      <c r="E603" s="21" t="str">
        <f t="shared" si="72"/>
        <v/>
      </c>
      <c r="F603" s="21" t="str">
        <f t="shared" si="73"/>
        <v/>
      </c>
      <c r="G603" s="21" t="str">
        <f t="shared" si="74"/>
        <v/>
      </c>
      <c r="H603" s="20" t="str">
        <f t="shared" si="69"/>
        <v/>
      </c>
      <c r="I603" s="19" t="str">
        <f t="shared" si="75"/>
        <v/>
      </c>
      <c r="J603" s="19" t="str">
        <f t="shared" si="70"/>
        <v/>
      </c>
      <c r="K603" s="18" t="str">
        <f t="shared" si="71"/>
        <v/>
      </c>
    </row>
    <row r="604" spans="3:11" x14ac:dyDescent="0.25">
      <c r="C604" s="23"/>
      <c r="D604" s="22"/>
      <c r="E604" s="21" t="str">
        <f t="shared" si="72"/>
        <v/>
      </c>
      <c r="F604" s="21" t="str">
        <f t="shared" si="73"/>
        <v/>
      </c>
      <c r="G604" s="21" t="str">
        <f t="shared" si="74"/>
        <v/>
      </c>
      <c r="H604" s="20" t="str">
        <f t="shared" si="69"/>
        <v/>
      </c>
      <c r="I604" s="19" t="str">
        <f t="shared" si="75"/>
        <v/>
      </c>
      <c r="J604" s="19" t="str">
        <f t="shared" si="70"/>
        <v/>
      </c>
      <c r="K604" s="18" t="str">
        <f t="shared" si="71"/>
        <v/>
      </c>
    </row>
    <row r="605" spans="3:11" x14ac:dyDescent="0.25">
      <c r="C605" s="23"/>
      <c r="D605" s="22"/>
      <c r="E605" s="21" t="str">
        <f t="shared" si="72"/>
        <v/>
      </c>
      <c r="F605" s="21" t="str">
        <f t="shared" si="73"/>
        <v/>
      </c>
      <c r="G605" s="21" t="str">
        <f t="shared" si="74"/>
        <v/>
      </c>
      <c r="H605" s="20" t="str">
        <f t="shared" si="69"/>
        <v/>
      </c>
      <c r="I605" s="19" t="str">
        <f t="shared" si="75"/>
        <v/>
      </c>
      <c r="J605" s="19" t="str">
        <f t="shared" si="70"/>
        <v/>
      </c>
      <c r="K605" s="18" t="str">
        <f t="shared" si="71"/>
        <v/>
      </c>
    </row>
    <row r="606" spans="3:11" x14ac:dyDescent="0.25">
      <c r="C606" s="23"/>
      <c r="D606" s="22"/>
      <c r="E606" s="21" t="str">
        <f t="shared" si="72"/>
        <v/>
      </c>
      <c r="F606" s="21" t="str">
        <f t="shared" si="73"/>
        <v/>
      </c>
      <c r="G606" s="21" t="str">
        <f t="shared" si="74"/>
        <v/>
      </c>
      <c r="H606" s="20" t="str">
        <f t="shared" si="69"/>
        <v/>
      </c>
      <c r="I606" s="19" t="str">
        <f t="shared" si="75"/>
        <v/>
      </c>
      <c r="J606" s="19" t="str">
        <f t="shared" si="70"/>
        <v/>
      </c>
      <c r="K606" s="18" t="str">
        <f t="shared" si="71"/>
        <v/>
      </c>
    </row>
    <row r="607" spans="3:11" x14ac:dyDescent="0.25">
      <c r="C607" s="23"/>
      <c r="D607" s="22"/>
      <c r="E607" s="21" t="str">
        <f t="shared" si="72"/>
        <v/>
      </c>
      <c r="F607" s="21" t="str">
        <f t="shared" si="73"/>
        <v/>
      </c>
      <c r="G607" s="21" t="str">
        <f t="shared" si="74"/>
        <v/>
      </c>
      <c r="H607" s="20" t="str">
        <f t="shared" si="69"/>
        <v/>
      </c>
      <c r="I607" s="19" t="str">
        <f t="shared" si="75"/>
        <v/>
      </c>
      <c r="J607" s="19" t="str">
        <f t="shared" si="70"/>
        <v/>
      </c>
      <c r="K607" s="18" t="str">
        <f t="shared" si="71"/>
        <v/>
      </c>
    </row>
    <row r="608" spans="3:11" x14ac:dyDescent="0.25">
      <c r="C608" s="23"/>
      <c r="D608" s="22"/>
      <c r="E608" s="21" t="str">
        <f t="shared" si="72"/>
        <v/>
      </c>
      <c r="F608" s="21" t="str">
        <f t="shared" si="73"/>
        <v/>
      </c>
      <c r="G608" s="21" t="str">
        <f t="shared" si="74"/>
        <v/>
      </c>
      <c r="H608" s="20" t="str">
        <f t="shared" si="69"/>
        <v/>
      </c>
      <c r="I608" s="19" t="str">
        <f t="shared" si="75"/>
        <v/>
      </c>
      <c r="J608" s="19" t="str">
        <f t="shared" si="70"/>
        <v/>
      </c>
      <c r="K608" s="18" t="str">
        <f t="shared" si="71"/>
        <v/>
      </c>
    </row>
    <row r="609" spans="3:11" x14ac:dyDescent="0.25">
      <c r="C609" s="23"/>
      <c r="D609" s="22"/>
      <c r="E609" s="21" t="str">
        <f t="shared" si="72"/>
        <v/>
      </c>
      <c r="F609" s="21" t="str">
        <f t="shared" si="73"/>
        <v/>
      </c>
      <c r="G609" s="21" t="str">
        <f t="shared" si="74"/>
        <v/>
      </c>
      <c r="H609" s="20" t="str">
        <f t="shared" ref="H609:H642" si="76">IF(F609="","",MOD(F609,1)*60)</f>
        <v/>
      </c>
      <c r="I609" s="19" t="str">
        <f t="shared" si="75"/>
        <v/>
      </c>
      <c r="J609" s="19" t="str">
        <f t="shared" ref="J609:J642" si="77">IF(B609="","",I609+TIME(ABS($F$8),0,0))</f>
        <v/>
      </c>
      <c r="K609" s="18" t="str">
        <f t="shared" ref="K609:K642" si="78">IF(F609="","",ABS(T$12)+F609)</f>
        <v/>
      </c>
    </row>
    <row r="610" spans="3:11" x14ac:dyDescent="0.25">
      <c r="C610" s="23"/>
      <c r="D610" s="22"/>
      <c r="E610" s="21" t="str">
        <f t="shared" si="72"/>
        <v/>
      </c>
      <c r="F610" s="21" t="str">
        <f t="shared" si="73"/>
        <v/>
      </c>
      <c r="G610" s="21" t="str">
        <f t="shared" si="74"/>
        <v/>
      </c>
      <c r="H610" s="20" t="str">
        <f t="shared" si="76"/>
        <v/>
      </c>
      <c r="I610" s="19" t="str">
        <f t="shared" si="75"/>
        <v/>
      </c>
      <c r="J610" s="19" t="str">
        <f t="shared" si="77"/>
        <v/>
      </c>
      <c r="K610" s="18" t="str">
        <f t="shared" si="78"/>
        <v/>
      </c>
    </row>
    <row r="611" spans="3:11" x14ac:dyDescent="0.25">
      <c r="C611" s="23"/>
      <c r="D611" s="22"/>
      <c r="E611" s="21" t="str">
        <f t="shared" si="72"/>
        <v/>
      </c>
      <c r="F611" s="21" t="str">
        <f t="shared" si="73"/>
        <v/>
      </c>
      <c r="G611" s="21" t="str">
        <f t="shared" si="74"/>
        <v/>
      </c>
      <c r="H611" s="20" t="str">
        <f t="shared" si="76"/>
        <v/>
      </c>
      <c r="I611" s="19" t="str">
        <f t="shared" si="75"/>
        <v/>
      </c>
      <c r="J611" s="19" t="str">
        <f t="shared" si="77"/>
        <v/>
      </c>
      <c r="K611" s="18" t="str">
        <f t="shared" si="78"/>
        <v/>
      </c>
    </row>
    <row r="612" spans="3:11" x14ac:dyDescent="0.25">
      <c r="C612" s="23"/>
      <c r="D612" s="22"/>
      <c r="E612" s="21" t="str">
        <f t="shared" si="72"/>
        <v/>
      </c>
      <c r="F612" s="21" t="str">
        <f t="shared" si="73"/>
        <v/>
      </c>
      <c r="G612" s="21" t="str">
        <f t="shared" si="74"/>
        <v/>
      </c>
      <c r="H612" s="20" t="str">
        <f t="shared" si="76"/>
        <v/>
      </c>
      <c r="I612" s="19" t="str">
        <f t="shared" si="75"/>
        <v/>
      </c>
      <c r="J612" s="19" t="str">
        <f t="shared" si="77"/>
        <v/>
      </c>
      <c r="K612" s="18" t="str">
        <f t="shared" si="78"/>
        <v/>
      </c>
    </row>
    <row r="613" spans="3:11" x14ac:dyDescent="0.25">
      <c r="C613" s="23"/>
      <c r="D613" s="22"/>
      <c r="E613" s="21" t="str">
        <f t="shared" si="72"/>
        <v/>
      </c>
      <c r="F613" s="21" t="str">
        <f t="shared" si="73"/>
        <v/>
      </c>
      <c r="G613" s="21" t="str">
        <f t="shared" si="74"/>
        <v/>
      </c>
      <c r="H613" s="20" t="str">
        <f t="shared" si="76"/>
        <v/>
      </c>
      <c r="I613" s="19" t="str">
        <f t="shared" si="75"/>
        <v/>
      </c>
      <c r="J613" s="19" t="str">
        <f t="shared" si="77"/>
        <v/>
      </c>
      <c r="K613" s="18" t="str">
        <f t="shared" si="78"/>
        <v/>
      </c>
    </row>
    <row r="614" spans="3:11" x14ac:dyDescent="0.25">
      <c r="C614" s="23"/>
      <c r="D614" s="22"/>
      <c r="E614" s="21" t="str">
        <f t="shared" si="72"/>
        <v/>
      </c>
      <c r="F614" s="21" t="str">
        <f t="shared" si="73"/>
        <v/>
      </c>
      <c r="G614" s="21" t="str">
        <f t="shared" si="74"/>
        <v/>
      </c>
      <c r="H614" s="20" t="str">
        <f t="shared" si="76"/>
        <v/>
      </c>
      <c r="I614" s="19" t="str">
        <f t="shared" si="75"/>
        <v/>
      </c>
      <c r="J614" s="19" t="str">
        <f t="shared" si="77"/>
        <v/>
      </c>
      <c r="K614" s="18" t="str">
        <f t="shared" si="78"/>
        <v/>
      </c>
    </row>
    <row r="615" spans="3:11" x14ac:dyDescent="0.25">
      <c r="C615" s="23"/>
      <c r="D615" s="22"/>
      <c r="E615" s="21" t="str">
        <f t="shared" si="72"/>
        <v/>
      </c>
      <c r="F615" s="21" t="str">
        <f t="shared" si="73"/>
        <v/>
      </c>
      <c r="G615" s="21" t="str">
        <f t="shared" si="74"/>
        <v/>
      </c>
      <c r="H615" s="20" t="str">
        <f t="shared" si="76"/>
        <v/>
      </c>
      <c r="I615" s="19" t="str">
        <f t="shared" si="75"/>
        <v/>
      </c>
      <c r="J615" s="19" t="str">
        <f t="shared" si="77"/>
        <v/>
      </c>
      <c r="K615" s="18" t="str">
        <f t="shared" si="78"/>
        <v/>
      </c>
    </row>
    <row r="616" spans="3:11" x14ac:dyDescent="0.25">
      <c r="C616" s="23"/>
      <c r="D616" s="22"/>
      <c r="E616" s="21" t="str">
        <f t="shared" si="72"/>
        <v/>
      </c>
      <c r="F616" s="21" t="str">
        <f t="shared" si="73"/>
        <v/>
      </c>
      <c r="G616" s="21" t="str">
        <f t="shared" si="74"/>
        <v/>
      </c>
      <c r="H616" s="20" t="str">
        <f t="shared" si="76"/>
        <v/>
      </c>
      <c r="I616" s="19" t="str">
        <f t="shared" si="75"/>
        <v/>
      </c>
      <c r="J616" s="19" t="str">
        <f t="shared" si="77"/>
        <v/>
      </c>
      <c r="K616" s="18" t="str">
        <f t="shared" si="78"/>
        <v/>
      </c>
    </row>
    <row r="617" spans="3:11" x14ac:dyDescent="0.25">
      <c r="C617" s="23"/>
      <c r="D617" s="22"/>
      <c r="E617" s="21" t="str">
        <f t="shared" si="72"/>
        <v/>
      </c>
      <c r="F617" s="21" t="str">
        <f t="shared" si="73"/>
        <v/>
      </c>
      <c r="G617" s="21" t="str">
        <f t="shared" si="74"/>
        <v/>
      </c>
      <c r="H617" s="20" t="str">
        <f t="shared" si="76"/>
        <v/>
      </c>
      <c r="I617" s="19" t="str">
        <f t="shared" si="75"/>
        <v/>
      </c>
      <c r="J617" s="19" t="str">
        <f t="shared" si="77"/>
        <v/>
      </c>
      <c r="K617" s="18" t="str">
        <f t="shared" si="78"/>
        <v/>
      </c>
    </row>
    <row r="618" spans="3:11" x14ac:dyDescent="0.25">
      <c r="C618" s="23"/>
      <c r="D618" s="22"/>
      <c r="E618" s="21" t="str">
        <f t="shared" si="72"/>
        <v/>
      </c>
      <c r="F618" s="21" t="str">
        <f t="shared" si="73"/>
        <v/>
      </c>
      <c r="G618" s="21" t="str">
        <f t="shared" si="74"/>
        <v/>
      </c>
      <c r="H618" s="20" t="str">
        <f t="shared" si="76"/>
        <v/>
      </c>
      <c r="I618" s="19" t="str">
        <f t="shared" si="75"/>
        <v/>
      </c>
      <c r="J618" s="19" t="str">
        <f t="shared" si="77"/>
        <v/>
      </c>
      <c r="K618" s="18" t="str">
        <f t="shared" si="78"/>
        <v/>
      </c>
    </row>
    <row r="619" spans="3:11" x14ac:dyDescent="0.25">
      <c r="C619" s="23"/>
      <c r="D619" s="22"/>
      <c r="E619" s="21" t="str">
        <f t="shared" si="72"/>
        <v/>
      </c>
      <c r="F619" s="21" t="str">
        <f t="shared" si="73"/>
        <v/>
      </c>
      <c r="G619" s="21" t="str">
        <f t="shared" si="74"/>
        <v/>
      </c>
      <c r="H619" s="20" t="str">
        <f t="shared" si="76"/>
        <v/>
      </c>
      <c r="I619" s="19" t="str">
        <f t="shared" si="75"/>
        <v/>
      </c>
      <c r="J619" s="19" t="str">
        <f t="shared" si="77"/>
        <v/>
      </c>
      <c r="K619" s="18" t="str">
        <f t="shared" si="78"/>
        <v/>
      </c>
    </row>
    <row r="620" spans="3:11" x14ac:dyDescent="0.25">
      <c r="C620" s="23"/>
      <c r="D620" s="22"/>
      <c r="E620" s="21" t="str">
        <f t="shared" si="72"/>
        <v/>
      </c>
      <c r="F620" s="21" t="str">
        <f t="shared" si="73"/>
        <v/>
      </c>
      <c r="G620" s="21" t="str">
        <f t="shared" si="74"/>
        <v/>
      </c>
      <c r="H620" s="20" t="str">
        <f t="shared" si="76"/>
        <v/>
      </c>
      <c r="I620" s="19" t="str">
        <f t="shared" si="75"/>
        <v/>
      </c>
      <c r="J620" s="19" t="str">
        <f t="shared" si="77"/>
        <v/>
      </c>
      <c r="K620" s="18" t="str">
        <f t="shared" si="78"/>
        <v/>
      </c>
    </row>
    <row r="621" spans="3:11" x14ac:dyDescent="0.25">
      <c r="C621" s="23"/>
      <c r="D621" s="22"/>
      <c r="E621" s="21" t="str">
        <f t="shared" si="72"/>
        <v/>
      </c>
      <c r="F621" s="21" t="str">
        <f t="shared" si="73"/>
        <v/>
      </c>
      <c r="G621" s="21" t="str">
        <f t="shared" si="74"/>
        <v/>
      </c>
      <c r="H621" s="20" t="str">
        <f t="shared" si="76"/>
        <v/>
      </c>
      <c r="I621" s="19" t="str">
        <f t="shared" si="75"/>
        <v/>
      </c>
      <c r="J621" s="19" t="str">
        <f t="shared" si="77"/>
        <v/>
      </c>
      <c r="K621" s="18" t="str">
        <f t="shared" si="78"/>
        <v/>
      </c>
    </row>
    <row r="622" spans="3:11" x14ac:dyDescent="0.25">
      <c r="C622" s="23"/>
      <c r="D622" s="22"/>
      <c r="E622" s="21" t="str">
        <f t="shared" si="72"/>
        <v/>
      </c>
      <c r="F622" s="21" t="str">
        <f t="shared" si="73"/>
        <v/>
      </c>
      <c r="G622" s="21" t="str">
        <f t="shared" si="74"/>
        <v/>
      </c>
      <c r="H622" s="20" t="str">
        <f t="shared" si="76"/>
        <v/>
      </c>
      <c r="I622" s="19" t="str">
        <f t="shared" si="75"/>
        <v/>
      </c>
      <c r="J622" s="19" t="str">
        <f t="shared" si="77"/>
        <v/>
      </c>
      <c r="K622" s="18" t="str">
        <f t="shared" si="78"/>
        <v/>
      </c>
    </row>
    <row r="623" spans="3:11" x14ac:dyDescent="0.25">
      <c r="C623" s="23"/>
      <c r="D623" s="22"/>
      <c r="E623" s="21" t="str">
        <f t="shared" si="72"/>
        <v/>
      </c>
      <c r="F623" s="21" t="str">
        <f t="shared" si="73"/>
        <v/>
      </c>
      <c r="G623" s="21" t="str">
        <f t="shared" si="74"/>
        <v/>
      </c>
      <c r="H623" s="20" t="str">
        <f t="shared" si="76"/>
        <v/>
      </c>
      <c r="I623" s="19" t="str">
        <f t="shared" si="75"/>
        <v/>
      </c>
      <c r="J623" s="19" t="str">
        <f t="shared" si="77"/>
        <v/>
      </c>
      <c r="K623" s="18" t="str">
        <f t="shared" si="78"/>
        <v/>
      </c>
    </row>
    <row r="624" spans="3:11" x14ac:dyDescent="0.25">
      <c r="C624" s="23"/>
      <c r="D624" s="22"/>
      <c r="E624" s="21" t="str">
        <f t="shared" si="72"/>
        <v/>
      </c>
      <c r="F624" s="21" t="str">
        <f t="shared" si="73"/>
        <v/>
      </c>
      <c r="G624" s="21" t="str">
        <f t="shared" si="74"/>
        <v/>
      </c>
      <c r="H624" s="20" t="str">
        <f t="shared" si="76"/>
        <v/>
      </c>
      <c r="I624" s="19" t="str">
        <f t="shared" si="75"/>
        <v/>
      </c>
      <c r="J624" s="19" t="str">
        <f t="shared" si="77"/>
        <v/>
      </c>
      <c r="K624" s="18" t="str">
        <f t="shared" si="78"/>
        <v/>
      </c>
    </row>
    <row r="625" spans="3:11" x14ac:dyDescent="0.25">
      <c r="C625" s="23"/>
      <c r="D625" s="22"/>
      <c r="E625" s="21" t="str">
        <f t="shared" si="72"/>
        <v/>
      </c>
      <c r="F625" s="21" t="str">
        <f t="shared" si="73"/>
        <v/>
      </c>
      <c r="G625" s="21" t="str">
        <f t="shared" si="74"/>
        <v/>
      </c>
      <c r="H625" s="20" t="str">
        <f t="shared" si="76"/>
        <v/>
      </c>
      <c r="I625" s="19" t="str">
        <f t="shared" si="75"/>
        <v/>
      </c>
      <c r="J625" s="19" t="str">
        <f t="shared" si="77"/>
        <v/>
      </c>
      <c r="K625" s="18" t="str">
        <f t="shared" si="78"/>
        <v/>
      </c>
    </row>
    <row r="626" spans="3:11" x14ac:dyDescent="0.25">
      <c r="C626" s="23"/>
      <c r="D626" s="22"/>
      <c r="E626" s="21" t="str">
        <f t="shared" si="72"/>
        <v/>
      </c>
      <c r="F626" s="21" t="str">
        <f t="shared" si="73"/>
        <v/>
      </c>
      <c r="G626" s="21" t="str">
        <f t="shared" si="74"/>
        <v/>
      </c>
      <c r="H626" s="20" t="str">
        <f t="shared" si="76"/>
        <v/>
      </c>
      <c r="I626" s="19" t="str">
        <f t="shared" si="75"/>
        <v/>
      </c>
      <c r="J626" s="19" t="str">
        <f t="shared" si="77"/>
        <v/>
      </c>
      <c r="K626" s="18" t="str">
        <f t="shared" si="78"/>
        <v/>
      </c>
    </row>
    <row r="627" spans="3:11" x14ac:dyDescent="0.25">
      <c r="C627" s="23"/>
      <c r="D627" s="22"/>
      <c r="E627" s="21" t="str">
        <f t="shared" si="72"/>
        <v/>
      </c>
      <c r="F627" s="21" t="str">
        <f t="shared" si="73"/>
        <v/>
      </c>
      <c r="G627" s="21" t="str">
        <f t="shared" si="74"/>
        <v/>
      </c>
      <c r="H627" s="20" t="str">
        <f t="shared" si="76"/>
        <v/>
      </c>
      <c r="I627" s="19" t="str">
        <f t="shared" si="75"/>
        <v/>
      </c>
      <c r="J627" s="19" t="str">
        <f t="shared" si="77"/>
        <v/>
      </c>
      <c r="K627" s="18" t="str">
        <f t="shared" si="78"/>
        <v/>
      </c>
    </row>
    <row r="628" spans="3:11" x14ac:dyDescent="0.25">
      <c r="C628" s="23"/>
      <c r="D628" s="22"/>
      <c r="E628" s="21" t="str">
        <f t="shared" si="72"/>
        <v/>
      </c>
      <c r="F628" s="21" t="str">
        <f t="shared" si="73"/>
        <v/>
      </c>
      <c r="G628" s="21" t="str">
        <f t="shared" si="74"/>
        <v/>
      </c>
      <c r="H628" s="20" t="str">
        <f t="shared" si="76"/>
        <v/>
      </c>
      <c r="I628" s="19" t="str">
        <f t="shared" si="75"/>
        <v/>
      </c>
      <c r="J628" s="19" t="str">
        <f t="shared" si="77"/>
        <v/>
      </c>
      <c r="K628" s="18" t="str">
        <f t="shared" si="78"/>
        <v/>
      </c>
    </row>
    <row r="629" spans="3:11" x14ac:dyDescent="0.25">
      <c r="C629" s="23"/>
      <c r="D629" s="22"/>
      <c r="E629" s="21" t="str">
        <f t="shared" si="72"/>
        <v/>
      </c>
      <c r="F629" s="21" t="str">
        <f t="shared" si="73"/>
        <v/>
      </c>
      <c r="G629" s="21" t="str">
        <f t="shared" si="74"/>
        <v/>
      </c>
      <c r="H629" s="20" t="str">
        <f t="shared" si="76"/>
        <v/>
      </c>
      <c r="I629" s="19" t="str">
        <f t="shared" si="75"/>
        <v/>
      </c>
      <c r="J629" s="19" t="str">
        <f t="shared" si="77"/>
        <v/>
      </c>
      <c r="K629" s="18" t="str">
        <f t="shared" si="78"/>
        <v/>
      </c>
    </row>
    <row r="630" spans="3:11" x14ac:dyDescent="0.25">
      <c r="C630" s="23"/>
      <c r="D630" s="22"/>
      <c r="E630" s="21" t="str">
        <f t="shared" si="72"/>
        <v/>
      </c>
      <c r="F630" s="21" t="str">
        <f t="shared" si="73"/>
        <v/>
      </c>
      <c r="G630" s="21" t="str">
        <f t="shared" si="74"/>
        <v/>
      </c>
      <c r="H630" s="20" t="str">
        <f t="shared" si="76"/>
        <v/>
      </c>
      <c r="I630" s="19" t="str">
        <f t="shared" si="75"/>
        <v/>
      </c>
      <c r="J630" s="19" t="str">
        <f t="shared" si="77"/>
        <v/>
      </c>
      <c r="K630" s="18" t="str">
        <f t="shared" si="78"/>
        <v/>
      </c>
    </row>
    <row r="631" spans="3:11" x14ac:dyDescent="0.25">
      <c r="C631" s="23"/>
      <c r="D631" s="22"/>
      <c r="E631" s="21" t="str">
        <f t="shared" si="72"/>
        <v/>
      </c>
      <c r="F631" s="21" t="str">
        <f t="shared" si="73"/>
        <v/>
      </c>
      <c r="G631" s="21" t="str">
        <f t="shared" si="74"/>
        <v/>
      </c>
      <c r="H631" s="20" t="str">
        <f t="shared" si="76"/>
        <v/>
      </c>
      <c r="I631" s="19" t="str">
        <f t="shared" si="75"/>
        <v/>
      </c>
      <c r="J631" s="19" t="str">
        <f t="shared" si="77"/>
        <v/>
      </c>
      <c r="K631" s="18" t="str">
        <f t="shared" si="78"/>
        <v/>
      </c>
    </row>
    <row r="632" spans="3:11" x14ac:dyDescent="0.25">
      <c r="C632" s="23"/>
      <c r="D632" s="22"/>
      <c r="E632" s="21" t="str">
        <f t="shared" si="72"/>
        <v/>
      </c>
      <c r="F632" s="21" t="str">
        <f t="shared" si="73"/>
        <v/>
      </c>
      <c r="G632" s="21" t="str">
        <f t="shared" si="74"/>
        <v/>
      </c>
      <c r="H632" s="20" t="str">
        <f t="shared" si="76"/>
        <v/>
      </c>
      <c r="I632" s="19" t="str">
        <f t="shared" si="75"/>
        <v/>
      </c>
      <c r="J632" s="19" t="str">
        <f t="shared" si="77"/>
        <v/>
      </c>
      <c r="K632" s="18" t="str">
        <f t="shared" si="78"/>
        <v/>
      </c>
    </row>
    <row r="633" spans="3:11" x14ac:dyDescent="0.25">
      <c r="C633" s="23"/>
      <c r="D633" s="22"/>
      <c r="E633" s="21" t="str">
        <f t="shared" si="72"/>
        <v/>
      </c>
      <c r="F633" s="21" t="str">
        <f t="shared" si="73"/>
        <v/>
      </c>
      <c r="G633" s="21" t="str">
        <f t="shared" si="74"/>
        <v/>
      </c>
      <c r="H633" s="20" t="str">
        <f t="shared" si="76"/>
        <v/>
      </c>
      <c r="I633" s="19" t="str">
        <f t="shared" si="75"/>
        <v/>
      </c>
      <c r="J633" s="19" t="str">
        <f t="shared" si="77"/>
        <v/>
      </c>
      <c r="K633" s="18" t="str">
        <f t="shared" si="78"/>
        <v/>
      </c>
    </row>
    <row r="634" spans="3:11" x14ac:dyDescent="0.25">
      <c r="C634" s="23"/>
      <c r="D634" s="22"/>
      <c r="E634" s="21" t="str">
        <f t="shared" si="72"/>
        <v/>
      </c>
      <c r="F634" s="21" t="str">
        <f t="shared" si="73"/>
        <v/>
      </c>
      <c r="G634" s="21" t="str">
        <f t="shared" si="74"/>
        <v/>
      </c>
      <c r="H634" s="20" t="str">
        <f t="shared" si="76"/>
        <v/>
      </c>
      <c r="I634" s="19" t="str">
        <f t="shared" si="75"/>
        <v/>
      </c>
      <c r="J634" s="19" t="str">
        <f t="shared" si="77"/>
        <v/>
      </c>
      <c r="K634" s="18" t="str">
        <f t="shared" si="78"/>
        <v/>
      </c>
    </row>
    <row r="635" spans="3:11" x14ac:dyDescent="0.25">
      <c r="C635" s="23"/>
      <c r="D635" s="22"/>
      <c r="E635" s="21" t="str">
        <f t="shared" si="72"/>
        <v/>
      </c>
      <c r="F635" s="21" t="str">
        <f t="shared" si="73"/>
        <v/>
      </c>
      <c r="G635" s="21" t="str">
        <f t="shared" si="74"/>
        <v/>
      </c>
      <c r="H635" s="20" t="str">
        <f t="shared" si="76"/>
        <v/>
      </c>
      <c r="I635" s="19" t="str">
        <f t="shared" si="75"/>
        <v/>
      </c>
      <c r="J635" s="19" t="str">
        <f t="shared" si="77"/>
        <v/>
      </c>
      <c r="K635" s="18" t="str">
        <f t="shared" si="78"/>
        <v/>
      </c>
    </row>
    <row r="636" spans="3:11" x14ac:dyDescent="0.25">
      <c r="C636" s="23"/>
      <c r="D636" s="22"/>
      <c r="E636" s="21" t="str">
        <f t="shared" si="72"/>
        <v/>
      </c>
      <c r="F636" s="21" t="str">
        <f t="shared" si="73"/>
        <v/>
      </c>
      <c r="G636" s="21" t="str">
        <f t="shared" si="74"/>
        <v/>
      </c>
      <c r="H636" s="20" t="str">
        <f t="shared" si="76"/>
        <v/>
      </c>
      <c r="I636" s="19" t="str">
        <f t="shared" si="75"/>
        <v/>
      </c>
      <c r="J636" s="19" t="str">
        <f t="shared" si="77"/>
        <v/>
      </c>
      <c r="K636" s="18" t="str">
        <f t="shared" si="78"/>
        <v/>
      </c>
    </row>
    <row r="637" spans="3:11" x14ac:dyDescent="0.25">
      <c r="C637" s="23"/>
      <c r="D637" s="22"/>
      <c r="E637" s="21" t="str">
        <f t="shared" si="72"/>
        <v/>
      </c>
      <c r="F637" s="21" t="str">
        <f t="shared" si="73"/>
        <v/>
      </c>
      <c r="G637" s="21" t="str">
        <f t="shared" si="74"/>
        <v/>
      </c>
      <c r="H637" s="20" t="str">
        <f t="shared" si="76"/>
        <v/>
      </c>
      <c r="I637" s="19" t="str">
        <f t="shared" si="75"/>
        <v/>
      </c>
      <c r="J637" s="19" t="str">
        <f t="shared" si="77"/>
        <v/>
      </c>
      <c r="K637" s="18" t="str">
        <f t="shared" si="78"/>
        <v/>
      </c>
    </row>
    <row r="638" spans="3:11" x14ac:dyDescent="0.25">
      <c r="C638" s="23"/>
      <c r="D638" s="22"/>
      <c r="E638" s="21" t="str">
        <f t="shared" si="72"/>
        <v/>
      </c>
      <c r="F638" s="21" t="str">
        <f t="shared" si="73"/>
        <v/>
      </c>
      <c r="G638" s="21" t="str">
        <f t="shared" si="74"/>
        <v/>
      </c>
      <c r="H638" s="20" t="str">
        <f t="shared" si="76"/>
        <v/>
      </c>
      <c r="I638" s="19" t="str">
        <f t="shared" si="75"/>
        <v/>
      </c>
      <c r="J638" s="19" t="str">
        <f t="shared" si="77"/>
        <v/>
      </c>
      <c r="K638" s="18" t="str">
        <f t="shared" si="78"/>
        <v/>
      </c>
    </row>
    <row r="639" spans="3:11" x14ac:dyDescent="0.25">
      <c r="C639" s="23"/>
      <c r="D639" s="22"/>
      <c r="E639" s="21" t="str">
        <f t="shared" si="72"/>
        <v/>
      </c>
      <c r="F639" s="21" t="str">
        <f t="shared" si="73"/>
        <v/>
      </c>
      <c r="G639" s="21" t="str">
        <f t="shared" si="74"/>
        <v/>
      </c>
      <c r="H639" s="20" t="str">
        <f t="shared" si="76"/>
        <v/>
      </c>
      <c r="I639" s="19" t="str">
        <f t="shared" si="75"/>
        <v/>
      </c>
      <c r="J639" s="19" t="str">
        <f t="shared" si="77"/>
        <v/>
      </c>
      <c r="K639" s="18" t="str">
        <f t="shared" si="78"/>
        <v/>
      </c>
    </row>
    <row r="640" spans="3:11" x14ac:dyDescent="0.25">
      <c r="C640" s="23"/>
      <c r="D640" s="22"/>
      <c r="E640" s="21" t="str">
        <f t="shared" si="72"/>
        <v/>
      </c>
      <c r="F640" s="21" t="str">
        <f t="shared" si="73"/>
        <v/>
      </c>
      <c r="G640" s="21" t="str">
        <f t="shared" si="74"/>
        <v/>
      </c>
      <c r="H640" s="20" t="str">
        <f t="shared" si="76"/>
        <v/>
      </c>
      <c r="I640" s="19" t="str">
        <f t="shared" si="75"/>
        <v/>
      </c>
      <c r="J640" s="19" t="str">
        <f t="shared" si="77"/>
        <v/>
      </c>
      <c r="K640" s="18" t="str">
        <f t="shared" si="78"/>
        <v/>
      </c>
    </row>
    <row r="641" spans="3:11" x14ac:dyDescent="0.25">
      <c r="C641" s="23"/>
      <c r="D641" s="22"/>
      <c r="E641" s="21" t="str">
        <f t="shared" si="72"/>
        <v/>
      </c>
      <c r="F641" s="21" t="str">
        <f t="shared" si="73"/>
        <v/>
      </c>
      <c r="G641" s="21" t="str">
        <f t="shared" si="74"/>
        <v/>
      </c>
      <c r="H641" s="20" t="str">
        <f t="shared" si="76"/>
        <v/>
      </c>
      <c r="I641" s="19" t="str">
        <f t="shared" si="75"/>
        <v/>
      </c>
      <c r="J641" s="19" t="str">
        <f t="shared" si="77"/>
        <v/>
      </c>
      <c r="K641" s="18" t="str">
        <f t="shared" si="78"/>
        <v/>
      </c>
    </row>
    <row r="642" spans="3:11" x14ac:dyDescent="0.25">
      <c r="C642" s="23"/>
      <c r="D642" s="22"/>
      <c r="E642" s="21" t="str">
        <f t="shared" si="72"/>
        <v/>
      </c>
      <c r="F642" s="21" t="str">
        <f t="shared" si="73"/>
        <v/>
      </c>
      <c r="G642" s="21" t="str">
        <f t="shared" si="74"/>
        <v/>
      </c>
      <c r="H642" s="20" t="str">
        <f t="shared" si="76"/>
        <v/>
      </c>
      <c r="I642" s="19" t="str">
        <f t="shared" si="75"/>
        <v/>
      </c>
      <c r="J642" s="19" t="str">
        <f t="shared" si="77"/>
        <v/>
      </c>
      <c r="K642" s="18" t="str">
        <f t="shared" si="78"/>
        <v/>
      </c>
    </row>
  </sheetData>
  <phoneticPr fontId="3" type="noConversion"/>
  <dataValidations count="1">
    <dataValidation type="list" allowBlank="1" showInputMessage="1" showErrorMessage="1" sqref="D5 D8:D642">
      <formula1>"Y,N"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TOC</vt:lpstr>
      <vt:lpstr>To Do List</vt:lpstr>
      <vt:lpstr>Sheet0</vt:lpstr>
      <vt:lpstr>HiddenSheet</vt:lpstr>
      <vt:lpstr>ContactsTable</vt:lpstr>
      <vt:lpstr>hidden_AddedSheets</vt:lpstr>
      <vt:lpstr>hidden_PasswordLower</vt:lpstr>
      <vt:lpstr>hidden_PasswordNumbers</vt:lpstr>
      <vt:lpstr>hidden_PasswordSymbol</vt:lpstr>
      <vt:lpstr>hidden_PasswordUpper</vt:lpstr>
      <vt:lpstr>hidden_Roles</vt:lpstr>
      <vt:lpstr>hidden_YesNo</vt:lpstr>
      <vt:lpstr>rCurrentTime</vt:lpstr>
      <vt:lpstr>rDocBases</vt:lpstr>
      <vt:lpstr>rDST</vt:lpstr>
      <vt:lpstr>rGreenwich</vt:lpstr>
      <vt:lpstr>rhidden0</vt:lpstr>
      <vt:lpstr>rhidden1</vt:lpstr>
      <vt:lpstr>rhidden2</vt:lpstr>
      <vt:lpstr>rhidden3</vt:lpstr>
      <vt:lpstr>rProjectHide</vt:lpstr>
      <vt:lpstr>rProjectNew</vt:lpstr>
      <vt:lpstr>rProjectTable</vt:lpstr>
      <vt:lpstr>rProjectToggle</vt:lpstr>
      <vt:lpstr>rSite</vt:lpstr>
      <vt:lpstr>rSites</vt:lpstr>
      <vt:lpstr>rSortColumn</vt:lpstr>
      <vt:lpstr>rTimeZoneTable</vt:lpstr>
      <vt:lpstr>rToday</vt:lpstr>
      <vt:lpstr>rToDoTable</vt:lpstr>
      <vt:lpstr>rToDoTableWithHeader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Christopher Henry (Haleon)</dc:creator>
  <cp:keywords/>
  <dc:description/>
  <cp:lastModifiedBy>User</cp:lastModifiedBy>
  <cp:revision/>
  <dcterms:created xsi:type="dcterms:W3CDTF">2015-06-05T18:17:20Z</dcterms:created>
  <dcterms:modified xsi:type="dcterms:W3CDTF">2022-11-25T19:58:44Z</dcterms:modified>
  <cp:category/>
  <cp:contentStatus/>
</cp:coreProperties>
</file>